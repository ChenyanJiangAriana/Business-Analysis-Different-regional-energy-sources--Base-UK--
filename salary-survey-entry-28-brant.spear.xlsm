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270" windowWidth="18780" windowHeight="11640" activeTab="3"/>
  </bookViews>
  <sheets>
    <sheet name="Data" sheetId="1" r:id="rId1"/>
    <sheet name="Reference" sheetId="4" r:id="rId2"/>
    <sheet name="Brains" sheetId="2" r:id="rId3"/>
    <sheet name="Dashboard" sheetId="3" r:id="rId4"/>
  </sheets>
  <definedNames>
    <definedName name="_xlnm._FilterDatabase" localSheetId="2" hidden="1">Brains!#REF!</definedName>
    <definedName name="_xlnm._FilterDatabase" localSheetId="0" hidden="1">Data!$A$1:$R$1884</definedName>
    <definedName name="_xlnm._FilterDatabase" localSheetId="1" hidden="1">Reference!#REF!</definedName>
    <definedName name="bcCountry">Dashboard!$C$29</definedName>
    <definedName name="bcxAxis">Dashboard!$C$32</definedName>
    <definedName name="bcyAxis">Dashboard!$C$35</definedName>
    <definedName name="Country">Reference!$B$3:$B$104</definedName>
    <definedName name="CountryAll">Reference!$H$3:$H$105</definedName>
    <definedName name="Experience">Reference!$D$3:$D$7</definedName>
    <definedName name="Fields">Reference!$F$3:$F$7</definedName>
    <definedName name="Fields1">Reference!$G$3:$G$6</definedName>
    <definedName name="Fields2">Reference!$K$3:$K$5</definedName>
    <definedName name="Fields3">Reference!$K$8:$K$10</definedName>
    <definedName name="Hours">Reference!$C$3:$C$7</definedName>
    <definedName name="JobType">Reference!$A$3:$A$12</definedName>
    <definedName name="labels1">OFFSET(Brains!$C$6,0,0,1,COUNTA(Brains!$C$6:$L$6)-COUNTBLANK(Brains!$C$6:$L$6))</definedName>
    <definedName name="_xlnm.Print_Area" localSheetId="3">Dashboard!$A$1:$S$49</definedName>
    <definedName name="Rank">Reference!$I$3:$I$104</definedName>
    <definedName name="Salary">Reference!$E$3:$E$10</definedName>
    <definedName name="sers1">OFFSET(Brains!$C$7,Brains!$D$2,0,1,COUNTA(Brains!$C$8:$L$8)-COUNTBLANK(Brains!$C$8:$L$8))</definedName>
    <definedName name="sers2">OFFSET(Brains!$C$10,Brains!$D$2,0,1,COUNTA(Brains!$C$11:$L$11)-COUNTBLANK(Brains!$C$11:$L$11))</definedName>
    <definedName name="TypeRange">Reference!$J$3:$J$4</definedName>
  </definedNames>
  <calcPr calcId="125725"/>
</workbook>
</file>

<file path=xl/calcChain.xml><?xml version="1.0" encoding="utf-8"?>
<calcChain xmlns="http://schemas.openxmlformats.org/spreadsheetml/2006/main">
  <c r="Q15" i="3"/>
  <c r="Q13"/>
  <c r="Q12"/>
  <c r="C24" i="2"/>
  <c r="C23"/>
  <c r="C22"/>
  <c r="C2"/>
  <c r="D2" s="1"/>
  <c r="C10"/>
  <c r="C7"/>
  <c r="C5"/>
  <c r="E5" s="1"/>
  <c r="D14"/>
  <c r="A18"/>
  <c r="D1"/>
  <c r="H812" i="1" s="1"/>
  <c r="D5" i="2"/>
  <c r="A20" l="1"/>
  <c r="I22" i="3" s="1"/>
  <c r="G5" i="2"/>
  <c r="A3" s="1"/>
  <c r="B4" i="3" s="1"/>
  <c r="H2" i="1"/>
  <c r="V2" s="1"/>
  <c r="H1881"/>
  <c r="P1881" s="1"/>
  <c r="H1877"/>
  <c r="P1877" s="1"/>
  <c r="H1873"/>
  <c r="P1873" s="1"/>
  <c r="H1869"/>
  <c r="P1869" s="1"/>
  <c r="H1865"/>
  <c r="P1865" s="1"/>
  <c r="H1861"/>
  <c r="P1861" s="1"/>
  <c r="H1857"/>
  <c r="H1853"/>
  <c r="P1853" s="1"/>
  <c r="H1849"/>
  <c r="P1849" s="1"/>
  <c r="H1845"/>
  <c r="P1845" s="1"/>
  <c r="H1841"/>
  <c r="P1841" s="1"/>
  <c r="H1837"/>
  <c r="P1837" s="1"/>
  <c r="H1833"/>
  <c r="P1833" s="1"/>
  <c r="H1829"/>
  <c r="P1829" s="1"/>
  <c r="H1825"/>
  <c r="P1825" s="1"/>
  <c r="H1821"/>
  <c r="P1821" s="1"/>
  <c r="H1817"/>
  <c r="P1817" s="1"/>
  <c r="H1813"/>
  <c r="P1813" s="1"/>
  <c r="H1809"/>
  <c r="V1809" s="1"/>
  <c r="H1805"/>
  <c r="P1805" s="1"/>
  <c r="H1801"/>
  <c r="P1801" s="1"/>
  <c r="H1797"/>
  <c r="P1797" s="1"/>
  <c r="H1793"/>
  <c r="P1793" s="1"/>
  <c r="H1789"/>
  <c r="H1785"/>
  <c r="H1781"/>
  <c r="P1781" s="1"/>
  <c r="H1777"/>
  <c r="P1777" s="1"/>
  <c r="H1773"/>
  <c r="P1773" s="1"/>
  <c r="H1769"/>
  <c r="P1769" s="1"/>
  <c r="H1765"/>
  <c r="P1765" s="1"/>
  <c r="H1761"/>
  <c r="V1761" s="1"/>
  <c r="H1757"/>
  <c r="P1757" s="1"/>
  <c r="H1753"/>
  <c r="P1753" s="1"/>
  <c r="H1749"/>
  <c r="P1749" s="1"/>
  <c r="H1745"/>
  <c r="P1745" s="1"/>
  <c r="H1741"/>
  <c r="P1741" s="1"/>
  <c r="H1737"/>
  <c r="P1737" s="1"/>
  <c r="H1733"/>
  <c r="P1733" s="1"/>
  <c r="H1729"/>
  <c r="P1729" s="1"/>
  <c r="H1725"/>
  <c r="P1725" s="1"/>
  <c r="H1721"/>
  <c r="H1717"/>
  <c r="P1717" s="1"/>
  <c r="H1713"/>
  <c r="H1709"/>
  <c r="V1709" s="1"/>
  <c r="H1705"/>
  <c r="P1705" s="1"/>
  <c r="H1701"/>
  <c r="P1701" s="1"/>
  <c r="H1697"/>
  <c r="P1697" s="1"/>
  <c r="H1693"/>
  <c r="P1693" s="1"/>
  <c r="H1689"/>
  <c r="P1689" s="1"/>
  <c r="H1685"/>
  <c r="P1685" s="1"/>
  <c r="H1681"/>
  <c r="P1681" s="1"/>
  <c r="H1677"/>
  <c r="P1677" s="1"/>
  <c r="H1673"/>
  <c r="P1673" s="1"/>
  <c r="H1669"/>
  <c r="P1669" s="1"/>
  <c r="H1665"/>
  <c r="P1665" s="1"/>
  <c r="H1661"/>
  <c r="P1661" s="1"/>
  <c r="H1657"/>
  <c r="P1657" s="1"/>
  <c r="H1653"/>
  <c r="P1653" s="1"/>
  <c r="H1649"/>
  <c r="P1649" s="1"/>
  <c r="H1645"/>
  <c r="P1645" s="1"/>
  <c r="H1641"/>
  <c r="P1641" s="1"/>
  <c r="H1637"/>
  <c r="P1637" s="1"/>
  <c r="H1633"/>
  <c r="P1633" s="1"/>
  <c r="H1629"/>
  <c r="P1629" s="1"/>
  <c r="H1625"/>
  <c r="P1625" s="1"/>
  <c r="H1621"/>
  <c r="P1621" s="1"/>
  <c r="H1617"/>
  <c r="P1617" s="1"/>
  <c r="H1613"/>
  <c r="P1613" s="1"/>
  <c r="H1609"/>
  <c r="H1605"/>
  <c r="P1605" s="1"/>
  <c r="H1601"/>
  <c r="P1601" s="1"/>
  <c r="H1597"/>
  <c r="P1597" s="1"/>
  <c r="H1593"/>
  <c r="P1593" s="1"/>
  <c r="H1589"/>
  <c r="P1589" s="1"/>
  <c r="H1585"/>
  <c r="P1585" s="1"/>
  <c r="H1581"/>
  <c r="P1581" s="1"/>
  <c r="H1577"/>
  <c r="P1577" s="1"/>
  <c r="H1573"/>
  <c r="P1573" s="1"/>
  <c r="H1569"/>
  <c r="V1569" s="1"/>
  <c r="H1565"/>
  <c r="P1565" s="1"/>
  <c r="H1561"/>
  <c r="H1557"/>
  <c r="P1557" s="1"/>
  <c r="H1553"/>
  <c r="H1549"/>
  <c r="P1549" s="1"/>
  <c r="H1545"/>
  <c r="H1541"/>
  <c r="P1541" s="1"/>
  <c r="H1537"/>
  <c r="P1537" s="1"/>
  <c r="H1533"/>
  <c r="P1533" s="1"/>
  <c r="H1529"/>
  <c r="P1529" s="1"/>
  <c r="H1525"/>
  <c r="V1525" s="1"/>
  <c r="H1521"/>
  <c r="P1521" s="1"/>
  <c r="H1517"/>
  <c r="P1517" s="1"/>
  <c r="H1513"/>
  <c r="P1513" s="1"/>
  <c r="H1509"/>
  <c r="P1509" s="1"/>
  <c r="H1505"/>
  <c r="P1505" s="1"/>
  <c r="H1501"/>
  <c r="P1501" s="1"/>
  <c r="H1497"/>
  <c r="P1497" s="1"/>
  <c r="H1493"/>
  <c r="P1493" s="1"/>
  <c r="H1489"/>
  <c r="P1489" s="1"/>
  <c r="H1485"/>
  <c r="P1485" s="1"/>
  <c r="H1481"/>
  <c r="P1481" s="1"/>
  <c r="H1477"/>
  <c r="P1477" s="1"/>
  <c r="H1473"/>
  <c r="P1473" s="1"/>
  <c r="H1469"/>
  <c r="P1469" s="1"/>
  <c r="H1465"/>
  <c r="P1465" s="1"/>
  <c r="H1461"/>
  <c r="P1461" s="1"/>
  <c r="H1457"/>
  <c r="P1457" s="1"/>
  <c r="H1453"/>
  <c r="P1453" s="1"/>
  <c r="H1449"/>
  <c r="P1449" s="1"/>
  <c r="H1445"/>
  <c r="P1445" s="1"/>
  <c r="H1441"/>
  <c r="P1441" s="1"/>
  <c r="H1437"/>
  <c r="P1437" s="1"/>
  <c r="H1433"/>
  <c r="P1433" s="1"/>
  <c r="H1429"/>
  <c r="P1429" s="1"/>
  <c r="H1425"/>
  <c r="P1425" s="1"/>
  <c r="H1421"/>
  <c r="V1421" s="1"/>
  <c r="H1417"/>
  <c r="P1417" s="1"/>
  <c r="H1413"/>
  <c r="P1413" s="1"/>
  <c r="H1409"/>
  <c r="P1409" s="1"/>
  <c r="H1405"/>
  <c r="H1401"/>
  <c r="P1401" s="1"/>
  <c r="H1397"/>
  <c r="P1397" s="1"/>
  <c r="H1393"/>
  <c r="P1393" s="1"/>
  <c r="H1389"/>
  <c r="P1389" s="1"/>
  <c r="H1385"/>
  <c r="P1385" s="1"/>
  <c r="H1381"/>
  <c r="P1381" s="1"/>
  <c r="H1377"/>
  <c r="P1377" s="1"/>
  <c r="H1373"/>
  <c r="P1373" s="1"/>
  <c r="H1369"/>
  <c r="P1369" s="1"/>
  <c r="H1365"/>
  <c r="P1365" s="1"/>
  <c r="H1361"/>
  <c r="P1361" s="1"/>
  <c r="H1357"/>
  <c r="H1353"/>
  <c r="P1353" s="1"/>
  <c r="H1349"/>
  <c r="P1349" s="1"/>
  <c r="H1345"/>
  <c r="P1345" s="1"/>
  <c r="H1341"/>
  <c r="P1341" s="1"/>
  <c r="H1337"/>
  <c r="H1333"/>
  <c r="P1333" s="1"/>
  <c r="H1329"/>
  <c r="H1325"/>
  <c r="P1325" s="1"/>
  <c r="H1321"/>
  <c r="P1321" s="1"/>
  <c r="H1317"/>
  <c r="P1317" s="1"/>
  <c r="H1313"/>
  <c r="P1313" s="1"/>
  <c r="H1309"/>
  <c r="P1309" s="1"/>
  <c r="H1305"/>
  <c r="P1305" s="1"/>
  <c r="H1301"/>
  <c r="P1301" s="1"/>
  <c r="H1297"/>
  <c r="P1297" s="1"/>
  <c r="H1293"/>
  <c r="P1293" s="1"/>
  <c r="H1289"/>
  <c r="P1289" s="1"/>
  <c r="H1285"/>
  <c r="P1285" s="1"/>
  <c r="H1281"/>
  <c r="H1277"/>
  <c r="P1277" s="1"/>
  <c r="H1273"/>
  <c r="P1273" s="1"/>
  <c r="H1269"/>
  <c r="P1269" s="1"/>
  <c r="H1265"/>
  <c r="P1265" s="1"/>
  <c r="H1261"/>
  <c r="P1261" s="1"/>
  <c r="H1257"/>
  <c r="P1257" s="1"/>
  <c r="H1253"/>
  <c r="P1253" s="1"/>
  <c r="H1249"/>
  <c r="P1249" s="1"/>
  <c r="H1245"/>
  <c r="V1245" s="1"/>
  <c r="H1241"/>
  <c r="P1241" s="1"/>
  <c r="H1237"/>
  <c r="P1237" s="1"/>
  <c r="H1233"/>
  <c r="H1229"/>
  <c r="P1229" s="1"/>
  <c r="H1225"/>
  <c r="P1225" s="1"/>
  <c r="H1221"/>
  <c r="P1221" s="1"/>
  <c r="H1217"/>
  <c r="P1217" s="1"/>
  <c r="H1213"/>
  <c r="P1213" s="1"/>
  <c r="H1209"/>
  <c r="P1209" s="1"/>
  <c r="H1205"/>
  <c r="P1205" s="1"/>
  <c r="H1201"/>
  <c r="P1201" s="1"/>
  <c r="H1197"/>
  <c r="P1197" s="1"/>
  <c r="H1193"/>
  <c r="P1193" s="1"/>
  <c r="H1189"/>
  <c r="P1189" s="1"/>
  <c r="H1185"/>
  <c r="P1185" s="1"/>
  <c r="H1181"/>
  <c r="P1181" s="1"/>
  <c r="H1177"/>
  <c r="P1177" s="1"/>
  <c r="H1173"/>
  <c r="M65" i="4" s="1"/>
  <c r="H1169" i="1"/>
  <c r="P1169" s="1"/>
  <c r="H1165"/>
  <c r="P1165" s="1"/>
  <c r="H1161"/>
  <c r="P1161" s="1"/>
  <c r="H1157"/>
  <c r="P1157" s="1"/>
  <c r="H1153"/>
  <c r="P1153" s="1"/>
  <c r="H1149"/>
  <c r="P1149" s="1"/>
  <c r="H1145"/>
  <c r="P1145" s="1"/>
  <c r="H1141"/>
  <c r="P1141" s="1"/>
  <c r="H1137"/>
  <c r="P1137" s="1"/>
  <c r="H1133"/>
  <c r="P1133" s="1"/>
  <c r="H1129"/>
  <c r="P1129" s="1"/>
  <c r="H1125"/>
  <c r="P1125" s="1"/>
  <c r="H1121"/>
  <c r="P1121" s="1"/>
  <c r="H1117"/>
  <c r="P1117" s="1"/>
  <c r="H1113"/>
  <c r="P1113" s="1"/>
  <c r="H1109"/>
  <c r="P1109" s="1"/>
  <c r="H1105"/>
  <c r="P1105" s="1"/>
  <c r="H1101"/>
  <c r="P1101" s="1"/>
  <c r="H1097"/>
  <c r="P1097" s="1"/>
  <c r="H1093"/>
  <c r="P1093" s="1"/>
  <c r="H1089"/>
  <c r="P1089" s="1"/>
  <c r="H1085"/>
  <c r="P1085" s="1"/>
  <c r="H1081"/>
  <c r="P1081" s="1"/>
  <c r="H1077"/>
  <c r="V1077" s="1"/>
  <c r="H1073"/>
  <c r="H1069"/>
  <c r="P1069" s="1"/>
  <c r="H1065"/>
  <c r="P1065" s="1"/>
  <c r="H1061"/>
  <c r="P1061" s="1"/>
  <c r="H1057"/>
  <c r="P1057" s="1"/>
  <c r="H1053"/>
  <c r="P1053" s="1"/>
  <c r="H1049"/>
  <c r="P1049" s="1"/>
  <c r="H1045"/>
  <c r="H1041"/>
  <c r="P1041" s="1"/>
  <c r="H1037"/>
  <c r="P1037" s="1"/>
  <c r="H1033"/>
  <c r="P1033" s="1"/>
  <c r="H1029"/>
  <c r="P1029" s="1"/>
  <c r="H1024"/>
  <c r="P1024" s="1"/>
  <c r="H1016"/>
  <c r="H1008"/>
  <c r="P1008" s="1"/>
  <c r="H1000"/>
  <c r="H992"/>
  <c r="P992" s="1"/>
  <c r="H984"/>
  <c r="P984" s="1"/>
  <c r="H976"/>
  <c r="P976" s="1"/>
  <c r="H968"/>
  <c r="P968" s="1"/>
  <c r="H960"/>
  <c r="V960" s="1"/>
  <c r="H952"/>
  <c r="P952" s="1"/>
  <c r="H944"/>
  <c r="P944" s="1"/>
  <c r="H936"/>
  <c r="P936" s="1"/>
  <c r="H928"/>
  <c r="P928" s="1"/>
  <c r="H920"/>
  <c r="H912"/>
  <c r="P912" s="1"/>
  <c r="H904"/>
  <c r="V904" s="1"/>
  <c r="H896"/>
  <c r="P896" s="1"/>
  <c r="H888"/>
  <c r="P888" s="1"/>
  <c r="H880"/>
  <c r="P880" s="1"/>
  <c r="H872"/>
  <c r="V872" s="1"/>
  <c r="H864"/>
  <c r="P864" s="1"/>
  <c r="H856"/>
  <c r="P856" s="1"/>
  <c r="H848"/>
  <c r="P848" s="1"/>
  <c r="H840"/>
  <c r="V840" s="1"/>
  <c r="H832"/>
  <c r="V832" s="1"/>
  <c r="H824"/>
  <c r="P824" s="1"/>
  <c r="H816"/>
  <c r="P816" s="1"/>
  <c r="H808"/>
  <c r="P808" s="1"/>
  <c r="H1882"/>
  <c r="V1882" s="1"/>
  <c r="H1878"/>
  <c r="P1878" s="1"/>
  <c r="H1874"/>
  <c r="P1874" s="1"/>
  <c r="H1870"/>
  <c r="H1866"/>
  <c r="P1866" s="1"/>
  <c r="H1862"/>
  <c r="P1862" s="1"/>
  <c r="H1858"/>
  <c r="P1858" s="1"/>
  <c r="H1854"/>
  <c r="P1854" s="1"/>
  <c r="H1850"/>
  <c r="P1850" s="1"/>
  <c r="H1846"/>
  <c r="P1846" s="1"/>
  <c r="H1842"/>
  <c r="P1842" s="1"/>
  <c r="H1838"/>
  <c r="V1838" s="1"/>
  <c r="H1834"/>
  <c r="P1834" s="1"/>
  <c r="H1830"/>
  <c r="P1830" s="1"/>
  <c r="H1826"/>
  <c r="P1826" s="1"/>
  <c r="H1822"/>
  <c r="P1822" s="1"/>
  <c r="H1818"/>
  <c r="H1814"/>
  <c r="P1814" s="1"/>
  <c r="H1810"/>
  <c r="P1810" s="1"/>
  <c r="H1806"/>
  <c r="P1806" s="1"/>
  <c r="H1802"/>
  <c r="P1802" s="1"/>
  <c r="H1798"/>
  <c r="P1798" s="1"/>
  <c r="H1794"/>
  <c r="H1790"/>
  <c r="P1790" s="1"/>
  <c r="H1786"/>
  <c r="P1786" s="1"/>
  <c r="H1782"/>
  <c r="P1782" s="1"/>
  <c r="H1778"/>
  <c r="P1778" s="1"/>
  <c r="H1774"/>
  <c r="V1774" s="1"/>
  <c r="H1770"/>
  <c r="P1770" s="1"/>
  <c r="H1766"/>
  <c r="H1762"/>
  <c r="P1762" s="1"/>
  <c r="H1758"/>
  <c r="P1758" s="1"/>
  <c r="H1754"/>
  <c r="P1754" s="1"/>
  <c r="H1750"/>
  <c r="P1750" s="1"/>
  <c r="H1746"/>
  <c r="P1746" s="1"/>
  <c r="H1742"/>
  <c r="P1742" s="1"/>
  <c r="H1738"/>
  <c r="P1738" s="1"/>
  <c r="H1734"/>
  <c r="P1734" s="1"/>
  <c r="H1730"/>
  <c r="P1730" s="1"/>
  <c r="H1726"/>
  <c r="P1726" s="1"/>
  <c r="H1722"/>
  <c r="P1722" s="1"/>
  <c r="H1718"/>
  <c r="P1718" s="1"/>
  <c r="H1714"/>
  <c r="P1714" s="1"/>
  <c r="H1710"/>
  <c r="P1710" s="1"/>
  <c r="H1706"/>
  <c r="P1706" s="1"/>
  <c r="H1702"/>
  <c r="P1702" s="1"/>
  <c r="H1698"/>
  <c r="P1698" s="1"/>
  <c r="H1694"/>
  <c r="V1694" s="1"/>
  <c r="H1690"/>
  <c r="H1686"/>
  <c r="P1686" s="1"/>
  <c r="H1682"/>
  <c r="P1682" s="1"/>
  <c r="H1678"/>
  <c r="P1678" s="1"/>
  <c r="H1674"/>
  <c r="P1674" s="1"/>
  <c r="H1670"/>
  <c r="P1670" s="1"/>
  <c r="H1666"/>
  <c r="P1666" s="1"/>
  <c r="H1662"/>
  <c r="P1662" s="1"/>
  <c r="H1658"/>
  <c r="H1654"/>
  <c r="P1654" s="1"/>
  <c r="H1650"/>
  <c r="P1650" s="1"/>
  <c r="H1646"/>
  <c r="H1642"/>
  <c r="P1642" s="1"/>
  <c r="H1638"/>
  <c r="P1638" s="1"/>
  <c r="H1634"/>
  <c r="P1634" s="1"/>
  <c r="H1630"/>
  <c r="P1630" s="1"/>
  <c r="H1626"/>
  <c r="P1626" s="1"/>
  <c r="H1622"/>
  <c r="P1622" s="1"/>
  <c r="H1618"/>
  <c r="P1618" s="1"/>
  <c r="H1614"/>
  <c r="P1614" s="1"/>
  <c r="H1610"/>
  <c r="P1610" s="1"/>
  <c r="H1606"/>
  <c r="H1602"/>
  <c r="P1602" s="1"/>
  <c r="H1598"/>
  <c r="P1598" s="1"/>
  <c r="H1594"/>
  <c r="P1594" s="1"/>
  <c r="H1590"/>
  <c r="P1590" s="1"/>
  <c r="H1586"/>
  <c r="P1586" s="1"/>
  <c r="H1582"/>
  <c r="P1582" s="1"/>
  <c r="H1578"/>
  <c r="P1578" s="1"/>
  <c r="H1574"/>
  <c r="P1574" s="1"/>
  <c r="H1570"/>
  <c r="H1566"/>
  <c r="P1566" s="1"/>
  <c r="H1562"/>
  <c r="P1562" s="1"/>
  <c r="H1558"/>
  <c r="P1558" s="1"/>
  <c r="H1554"/>
  <c r="P1554" s="1"/>
  <c r="H1550"/>
  <c r="P1550" s="1"/>
  <c r="H1546"/>
  <c r="V1546" s="1"/>
  <c r="H1542"/>
  <c r="H1538"/>
  <c r="P1538" s="1"/>
  <c r="H1534"/>
  <c r="V1534" s="1"/>
  <c r="H1530"/>
  <c r="P1530" s="1"/>
  <c r="H1526"/>
  <c r="P1526" s="1"/>
  <c r="H1522"/>
  <c r="P1522" s="1"/>
  <c r="H1518"/>
  <c r="P1518" s="1"/>
  <c r="H1514"/>
  <c r="P1514" s="1"/>
  <c r="H1510"/>
  <c r="H1506"/>
  <c r="P1506" s="1"/>
  <c r="H1502"/>
  <c r="P1502" s="1"/>
  <c r="H1498"/>
  <c r="P1498" s="1"/>
  <c r="H1494"/>
  <c r="P1494" s="1"/>
  <c r="H1490"/>
  <c r="P1490" s="1"/>
  <c r="H1486"/>
  <c r="P1486" s="1"/>
  <c r="H1482"/>
  <c r="P1482" s="1"/>
  <c r="H1478"/>
  <c r="P1478" s="1"/>
  <c r="H1474"/>
  <c r="H1470"/>
  <c r="P1470" s="1"/>
  <c r="H1466"/>
  <c r="P1466" s="1"/>
  <c r="H1462"/>
  <c r="P1462" s="1"/>
  <c r="H1458"/>
  <c r="P1458" s="1"/>
  <c r="H1454"/>
  <c r="P1454" s="1"/>
  <c r="H1450"/>
  <c r="H1446"/>
  <c r="P1446" s="1"/>
  <c r="H1442"/>
  <c r="P1442" s="1"/>
  <c r="H1438"/>
  <c r="P1438" s="1"/>
  <c r="H1434"/>
  <c r="P1434" s="1"/>
  <c r="H1430"/>
  <c r="P1430" s="1"/>
  <c r="H1426"/>
  <c r="P1426" s="1"/>
  <c r="H1422"/>
  <c r="P1422" s="1"/>
  <c r="H1418"/>
  <c r="H1414"/>
  <c r="P1414" s="1"/>
  <c r="H1410"/>
  <c r="P1410" s="1"/>
  <c r="H1406"/>
  <c r="H1402"/>
  <c r="P1402" s="1"/>
  <c r="H1398"/>
  <c r="P1398" s="1"/>
  <c r="H1394"/>
  <c r="P1394" s="1"/>
  <c r="H1390"/>
  <c r="P1390" s="1"/>
  <c r="H1386"/>
  <c r="P1386" s="1"/>
  <c r="H1382"/>
  <c r="P1382" s="1"/>
  <c r="H1378"/>
  <c r="P1378" s="1"/>
  <c r="H1374"/>
  <c r="H1370"/>
  <c r="P1370" s="1"/>
  <c r="H1366"/>
  <c r="V1366" s="1"/>
  <c r="H1362"/>
  <c r="P1362" s="1"/>
  <c r="H1358"/>
  <c r="P1358" s="1"/>
  <c r="H1354"/>
  <c r="P1354" s="1"/>
  <c r="H1350"/>
  <c r="P1350" s="1"/>
  <c r="H1346"/>
  <c r="H1342"/>
  <c r="P1342" s="1"/>
  <c r="H1338"/>
  <c r="P1338" s="1"/>
  <c r="H1334"/>
  <c r="P1334" s="1"/>
  <c r="H1330"/>
  <c r="P1330" s="1"/>
  <c r="H1326"/>
  <c r="P1326" s="1"/>
  <c r="H1322"/>
  <c r="P1322" s="1"/>
  <c r="H1318"/>
  <c r="P1318" s="1"/>
  <c r="H1314"/>
  <c r="P1314" s="1"/>
  <c r="H1310"/>
  <c r="P1310" s="1"/>
  <c r="H1306"/>
  <c r="H1302"/>
  <c r="P1302" s="1"/>
  <c r="H1298"/>
  <c r="P1298" s="1"/>
  <c r="H1294"/>
  <c r="P1294" s="1"/>
  <c r="H1290"/>
  <c r="P1290" s="1"/>
  <c r="H1286"/>
  <c r="P1286" s="1"/>
  <c r="H1282"/>
  <c r="P1282" s="1"/>
  <c r="H1278"/>
  <c r="V1278" s="1"/>
  <c r="H1274"/>
  <c r="P1274" s="1"/>
  <c r="H1270"/>
  <c r="P1270" s="1"/>
  <c r="H1266"/>
  <c r="P1266" s="1"/>
  <c r="H1262"/>
  <c r="P1262" s="1"/>
  <c r="H1258"/>
  <c r="P1258" s="1"/>
  <c r="H1254"/>
  <c r="P1254" s="1"/>
  <c r="H1250"/>
  <c r="P1250" s="1"/>
  <c r="H1246"/>
  <c r="P1246" s="1"/>
  <c r="H1242"/>
  <c r="P1242" s="1"/>
  <c r="H1238"/>
  <c r="P1238" s="1"/>
  <c r="H1234"/>
  <c r="P1234" s="1"/>
  <c r="H1230"/>
  <c r="P1230" s="1"/>
  <c r="H1226"/>
  <c r="P1226" s="1"/>
  <c r="H1222"/>
  <c r="P1222" s="1"/>
  <c r="H1218"/>
  <c r="P1218" s="1"/>
  <c r="H1214"/>
  <c r="P1214" s="1"/>
  <c r="H1210"/>
  <c r="P1210" s="1"/>
  <c r="H1206"/>
  <c r="H1202"/>
  <c r="P1202" s="1"/>
  <c r="H1198"/>
  <c r="P1198" s="1"/>
  <c r="H1194"/>
  <c r="P1194" s="1"/>
  <c r="H1190"/>
  <c r="P1190" s="1"/>
  <c r="H1186"/>
  <c r="H1182"/>
  <c r="P1182" s="1"/>
  <c r="H1178"/>
  <c r="P1178" s="1"/>
  <c r="H1174"/>
  <c r="P1174" s="1"/>
  <c r="H1170"/>
  <c r="P1170" s="1"/>
  <c r="H1166"/>
  <c r="P1166" s="1"/>
  <c r="H1162"/>
  <c r="P1162" s="1"/>
  <c r="H1158"/>
  <c r="P1158" s="1"/>
  <c r="H1154"/>
  <c r="P1154" s="1"/>
  <c r="H1150"/>
  <c r="P1150" s="1"/>
  <c r="H1146"/>
  <c r="P1146" s="1"/>
  <c r="H1142"/>
  <c r="P1142" s="1"/>
  <c r="H1138"/>
  <c r="P1138" s="1"/>
  <c r="H1134"/>
  <c r="P1134" s="1"/>
  <c r="H1130"/>
  <c r="P1130" s="1"/>
  <c r="H1126"/>
  <c r="P1126" s="1"/>
  <c r="H1122"/>
  <c r="P1122" s="1"/>
  <c r="H1118"/>
  <c r="H1114"/>
  <c r="P1114" s="1"/>
  <c r="H1110"/>
  <c r="P1110" s="1"/>
  <c r="H1106"/>
  <c r="P1106" s="1"/>
  <c r="H1102"/>
  <c r="P1102" s="1"/>
  <c r="H1098"/>
  <c r="P1098" s="1"/>
  <c r="H1094"/>
  <c r="P1094" s="1"/>
  <c r="H1090"/>
  <c r="P1090" s="1"/>
  <c r="H1086"/>
  <c r="P1086" s="1"/>
  <c r="H1082"/>
  <c r="P1082" s="1"/>
  <c r="H1078"/>
  <c r="P1078" s="1"/>
  <c r="H1074"/>
  <c r="P1074" s="1"/>
  <c r="H1070"/>
  <c r="P1070" s="1"/>
  <c r="H1066"/>
  <c r="V1066" s="1"/>
  <c r="H1062"/>
  <c r="P1062" s="1"/>
  <c r="H1058"/>
  <c r="P1058" s="1"/>
  <c r="H1054"/>
  <c r="P1054" s="1"/>
  <c r="H1050"/>
  <c r="P1050" s="1"/>
  <c r="H1046"/>
  <c r="P1046" s="1"/>
  <c r="H1042"/>
  <c r="P1042" s="1"/>
  <c r="H1038"/>
  <c r="P1038" s="1"/>
  <c r="H1034"/>
  <c r="P1034" s="1"/>
  <c r="H1030"/>
  <c r="P1030" s="1"/>
  <c r="H1025"/>
  <c r="P1025" s="1"/>
  <c r="H1017"/>
  <c r="P1017" s="1"/>
  <c r="H1009"/>
  <c r="V1009" s="1"/>
  <c r="H1001"/>
  <c r="P1001" s="1"/>
  <c r="H993"/>
  <c r="P993" s="1"/>
  <c r="H985"/>
  <c r="P985" s="1"/>
  <c r="H977"/>
  <c r="P977" s="1"/>
  <c r="H969"/>
  <c r="P969" s="1"/>
  <c r="H961"/>
  <c r="P961" s="1"/>
  <c r="H953"/>
  <c r="P953" s="1"/>
  <c r="H945"/>
  <c r="P945" s="1"/>
  <c r="H937"/>
  <c r="P937" s="1"/>
  <c r="H929"/>
  <c r="H921"/>
  <c r="P921" s="1"/>
  <c r="H913"/>
  <c r="P913" s="1"/>
  <c r="H905"/>
  <c r="P905" s="1"/>
  <c r="H897"/>
  <c r="P897" s="1"/>
  <c r="H889"/>
  <c r="P889" s="1"/>
  <c r="H881"/>
  <c r="P881" s="1"/>
  <c r="H873"/>
  <c r="H865"/>
  <c r="P865" s="1"/>
  <c r="H857"/>
  <c r="P857" s="1"/>
  <c r="H849"/>
  <c r="P849" s="1"/>
  <c r="H841"/>
  <c r="H833"/>
  <c r="P833" s="1"/>
  <c r="H825"/>
  <c r="P825" s="1"/>
  <c r="H817"/>
  <c r="P817" s="1"/>
  <c r="H809"/>
  <c r="P809" s="1"/>
  <c r="H1883"/>
  <c r="P1883" s="1"/>
  <c r="H1879"/>
  <c r="P1879" s="1"/>
  <c r="H1875"/>
  <c r="P1875" s="1"/>
  <c r="H1871"/>
  <c r="P1871" s="1"/>
  <c r="H1867"/>
  <c r="P1867" s="1"/>
  <c r="H1863"/>
  <c r="P1863" s="1"/>
  <c r="H1859"/>
  <c r="P1859" s="1"/>
  <c r="H1855"/>
  <c r="P1855" s="1"/>
  <c r="H1851"/>
  <c r="V1851" s="1"/>
  <c r="H1847"/>
  <c r="P1847" s="1"/>
  <c r="H1843"/>
  <c r="P1843" s="1"/>
  <c r="H1839"/>
  <c r="P1839" s="1"/>
  <c r="H1835"/>
  <c r="P1835" s="1"/>
  <c r="H1831"/>
  <c r="P1831" s="1"/>
  <c r="H1827"/>
  <c r="V1827" s="1"/>
  <c r="H1823"/>
  <c r="P1823" s="1"/>
  <c r="H1819"/>
  <c r="P1819" s="1"/>
  <c r="H1815"/>
  <c r="V1815" s="1"/>
  <c r="H1811"/>
  <c r="P1811" s="1"/>
  <c r="H1807"/>
  <c r="P1807" s="1"/>
  <c r="H1803"/>
  <c r="P1803" s="1"/>
  <c r="H1799"/>
  <c r="M75" i="4" s="1"/>
  <c r="H1795" i="1"/>
  <c r="P1795" s="1"/>
  <c r="H1791"/>
  <c r="P1791" s="1"/>
  <c r="H1787"/>
  <c r="H1783"/>
  <c r="P1783" s="1"/>
  <c r="H1779"/>
  <c r="P1779" s="1"/>
  <c r="H1775"/>
  <c r="P1775" s="1"/>
  <c r="H1771"/>
  <c r="H1767"/>
  <c r="P1767" s="1"/>
  <c r="H1763"/>
  <c r="P1763" s="1"/>
  <c r="H1759"/>
  <c r="H1755"/>
  <c r="V1755" s="1"/>
  <c r="H1751"/>
  <c r="P1751" s="1"/>
  <c r="H1747"/>
  <c r="P1747" s="1"/>
  <c r="H1743"/>
  <c r="P1743" s="1"/>
  <c r="H1739"/>
  <c r="P1739" s="1"/>
  <c r="H1735"/>
  <c r="P1735" s="1"/>
  <c r="H1731"/>
  <c r="P1731" s="1"/>
  <c r="H1727"/>
  <c r="P1727" s="1"/>
  <c r="H1723"/>
  <c r="P1723" s="1"/>
  <c r="H1719"/>
  <c r="P1719" s="1"/>
  <c r="H1715"/>
  <c r="P1715" s="1"/>
  <c r="H1711"/>
  <c r="P1711" s="1"/>
  <c r="H1707"/>
  <c r="P1707" s="1"/>
  <c r="H1703"/>
  <c r="H1699"/>
  <c r="P1699" s="1"/>
  <c r="H1695"/>
  <c r="V1695" s="1"/>
  <c r="H1691"/>
  <c r="P1691" s="1"/>
  <c r="H1687"/>
  <c r="P1687" s="1"/>
  <c r="H1683"/>
  <c r="P1683" s="1"/>
  <c r="H1679"/>
  <c r="P1679" s="1"/>
  <c r="H1675"/>
  <c r="V1675" s="1"/>
  <c r="H1671"/>
  <c r="P1671" s="1"/>
  <c r="H1667"/>
  <c r="P1667" s="1"/>
  <c r="H1663"/>
  <c r="P1663" s="1"/>
  <c r="H1659"/>
  <c r="P1659" s="1"/>
  <c r="H1655"/>
  <c r="P1655" s="1"/>
  <c r="H1651"/>
  <c r="P1651" s="1"/>
  <c r="H1647"/>
  <c r="V1647" s="1"/>
  <c r="H1643"/>
  <c r="H1639"/>
  <c r="P1639" s="1"/>
  <c r="H1635"/>
  <c r="P1635" s="1"/>
  <c r="H1631"/>
  <c r="P1631" s="1"/>
  <c r="H1627"/>
  <c r="P1627" s="1"/>
  <c r="H1623"/>
  <c r="P1623" s="1"/>
  <c r="H1619"/>
  <c r="P1619" s="1"/>
  <c r="H1615"/>
  <c r="P1615" s="1"/>
  <c r="H1611"/>
  <c r="P1611" s="1"/>
  <c r="H1607"/>
  <c r="P1607" s="1"/>
  <c r="H1603"/>
  <c r="P1603" s="1"/>
  <c r="H1599"/>
  <c r="P1599" s="1"/>
  <c r="H1595"/>
  <c r="P1595" s="1"/>
  <c r="H1591"/>
  <c r="V1591" s="1"/>
  <c r="H1587"/>
  <c r="P1587" s="1"/>
  <c r="H1583"/>
  <c r="H1579"/>
  <c r="P1579" s="1"/>
  <c r="H1575"/>
  <c r="P1575" s="1"/>
  <c r="H1571"/>
  <c r="P1571" s="1"/>
  <c r="H1567"/>
  <c r="P1567" s="1"/>
  <c r="H1563"/>
  <c r="P1563" s="1"/>
  <c r="H1559"/>
  <c r="P1559" s="1"/>
  <c r="H1555"/>
  <c r="P1555" s="1"/>
  <c r="H1551"/>
  <c r="H1547"/>
  <c r="H1543"/>
  <c r="P1543" s="1"/>
  <c r="H1539"/>
  <c r="P1539" s="1"/>
  <c r="H1535"/>
  <c r="P1535" s="1"/>
  <c r="H1531"/>
  <c r="P1531" s="1"/>
  <c r="H1527"/>
  <c r="P1527" s="1"/>
  <c r="H1523"/>
  <c r="V1523" s="1"/>
  <c r="H1519"/>
  <c r="P1519" s="1"/>
  <c r="H1515"/>
  <c r="P1515" s="1"/>
  <c r="H1511"/>
  <c r="P1511" s="1"/>
  <c r="H1507"/>
  <c r="P1507" s="1"/>
  <c r="H1503"/>
  <c r="P1503" s="1"/>
  <c r="H1499"/>
  <c r="P1499" s="1"/>
  <c r="H1495"/>
  <c r="P1495" s="1"/>
  <c r="H1491"/>
  <c r="P1491" s="1"/>
  <c r="H1487"/>
  <c r="P1487" s="1"/>
  <c r="H1483"/>
  <c r="P1483" s="1"/>
  <c r="H1479"/>
  <c r="P1479" s="1"/>
  <c r="H1475"/>
  <c r="P1475" s="1"/>
  <c r="H1471"/>
  <c r="P1471" s="1"/>
  <c r="H1467"/>
  <c r="P1467" s="1"/>
  <c r="H1463"/>
  <c r="P1463" s="1"/>
  <c r="H1459"/>
  <c r="P1459" s="1"/>
  <c r="H1455"/>
  <c r="P1455" s="1"/>
  <c r="H1451"/>
  <c r="P1451" s="1"/>
  <c r="H1447"/>
  <c r="P1447" s="1"/>
  <c r="H1443"/>
  <c r="P1443" s="1"/>
  <c r="H1439"/>
  <c r="P1439" s="1"/>
  <c r="H1435"/>
  <c r="P1435" s="1"/>
  <c r="H1431"/>
  <c r="P1431" s="1"/>
  <c r="H1427"/>
  <c r="P1427" s="1"/>
  <c r="H1423"/>
  <c r="P1423" s="1"/>
  <c r="H1419"/>
  <c r="P1419" s="1"/>
  <c r="H1415"/>
  <c r="P1415" s="1"/>
  <c r="H1411"/>
  <c r="P1411" s="1"/>
  <c r="H1407"/>
  <c r="H1403"/>
  <c r="M40" i="4" s="1"/>
  <c r="H1399" i="1"/>
  <c r="P1399" s="1"/>
  <c r="H1395"/>
  <c r="H1391"/>
  <c r="P1391" s="1"/>
  <c r="H1387"/>
  <c r="P1387" s="1"/>
  <c r="H1383"/>
  <c r="P1383" s="1"/>
  <c r="H1379"/>
  <c r="P1379" s="1"/>
  <c r="H1375"/>
  <c r="P1375" s="1"/>
  <c r="H1371"/>
  <c r="P1371" s="1"/>
  <c r="H1367"/>
  <c r="H1363"/>
  <c r="P1363" s="1"/>
  <c r="H1359"/>
  <c r="P1359" s="1"/>
  <c r="H1355"/>
  <c r="P1355" s="1"/>
  <c r="H1351"/>
  <c r="P1351" s="1"/>
  <c r="H1347"/>
  <c r="H1343"/>
  <c r="P1343" s="1"/>
  <c r="H1339"/>
  <c r="H1335"/>
  <c r="P1335" s="1"/>
  <c r="H1331"/>
  <c r="P1331" s="1"/>
  <c r="H1327"/>
  <c r="P1327" s="1"/>
  <c r="H1323"/>
  <c r="P1323" s="1"/>
  <c r="H1319"/>
  <c r="P1319" s="1"/>
  <c r="H1315"/>
  <c r="P1315" s="1"/>
  <c r="H1311"/>
  <c r="P1311" s="1"/>
  <c r="H1307"/>
  <c r="P1307" s="1"/>
  <c r="H1303"/>
  <c r="P1303" s="1"/>
  <c r="H1299"/>
  <c r="P1299" s="1"/>
  <c r="H1295"/>
  <c r="P1295" s="1"/>
  <c r="H1291"/>
  <c r="P1291" s="1"/>
  <c r="H1287"/>
  <c r="V1287" s="1"/>
  <c r="H1283"/>
  <c r="H1279"/>
  <c r="P1279" s="1"/>
  <c r="H1275"/>
  <c r="P1275" s="1"/>
  <c r="H1271"/>
  <c r="H1267"/>
  <c r="P1267" s="1"/>
  <c r="H1263"/>
  <c r="V1263" s="1"/>
  <c r="H1259"/>
  <c r="P1259" s="1"/>
  <c r="H1255"/>
  <c r="P1255" s="1"/>
  <c r="H1251"/>
  <c r="P1251" s="1"/>
  <c r="H1247"/>
  <c r="P1247" s="1"/>
  <c r="H1243"/>
  <c r="P1243" s="1"/>
  <c r="H1239"/>
  <c r="P1239" s="1"/>
  <c r="H1235"/>
  <c r="P1235" s="1"/>
  <c r="H1231"/>
  <c r="P1231" s="1"/>
  <c r="H1227"/>
  <c r="P1227" s="1"/>
  <c r="H1223"/>
  <c r="V1223" s="1"/>
  <c r="H1219"/>
  <c r="P1219" s="1"/>
  <c r="H1215"/>
  <c r="P1215" s="1"/>
  <c r="H1211"/>
  <c r="P1211" s="1"/>
  <c r="H1207"/>
  <c r="P1207" s="1"/>
  <c r="H1203"/>
  <c r="P1203" s="1"/>
  <c r="H1199"/>
  <c r="P1199" s="1"/>
  <c r="H1195"/>
  <c r="H1191"/>
  <c r="P1191" s="1"/>
  <c r="H1187"/>
  <c r="P1187" s="1"/>
  <c r="H1183"/>
  <c r="P1183" s="1"/>
  <c r="H1179"/>
  <c r="P1179" s="1"/>
  <c r="H1175"/>
  <c r="P1175" s="1"/>
  <c r="H1171"/>
  <c r="P1171" s="1"/>
  <c r="H1167"/>
  <c r="V1167" s="1"/>
  <c r="H1163"/>
  <c r="P1163" s="1"/>
  <c r="H1159"/>
  <c r="P1159" s="1"/>
  <c r="H1155"/>
  <c r="P1155" s="1"/>
  <c r="H1151"/>
  <c r="P1151" s="1"/>
  <c r="H1147"/>
  <c r="P1147" s="1"/>
  <c r="H1143"/>
  <c r="P1143" s="1"/>
  <c r="H1139"/>
  <c r="P1139" s="1"/>
  <c r="H1135"/>
  <c r="P1135" s="1"/>
  <c r="H1131"/>
  <c r="P1131" s="1"/>
  <c r="H1127"/>
  <c r="P1127" s="1"/>
  <c r="H1123"/>
  <c r="P1123" s="1"/>
  <c r="H1119"/>
  <c r="P1119" s="1"/>
  <c r="H1115"/>
  <c r="P1115" s="1"/>
  <c r="H1111"/>
  <c r="P1111" s="1"/>
  <c r="H1107"/>
  <c r="P1107" s="1"/>
  <c r="H1103"/>
  <c r="P1103" s="1"/>
  <c r="H1099"/>
  <c r="P1099" s="1"/>
  <c r="H1095"/>
  <c r="P1095" s="1"/>
  <c r="H1091"/>
  <c r="P1091" s="1"/>
  <c r="H1087"/>
  <c r="P1087" s="1"/>
  <c r="H1083"/>
  <c r="P1083" s="1"/>
  <c r="H1079"/>
  <c r="P1079" s="1"/>
  <c r="H1075"/>
  <c r="P1075" s="1"/>
  <c r="H1071"/>
  <c r="P1071" s="1"/>
  <c r="H1067"/>
  <c r="P1067" s="1"/>
  <c r="H1063"/>
  <c r="P1063" s="1"/>
  <c r="H1059"/>
  <c r="P1059" s="1"/>
  <c r="H1055"/>
  <c r="P1055" s="1"/>
  <c r="H1051"/>
  <c r="P1051" s="1"/>
  <c r="H1047"/>
  <c r="P1047" s="1"/>
  <c r="H1043"/>
  <c r="P1043" s="1"/>
  <c r="H1039"/>
  <c r="P1039" s="1"/>
  <c r="H1035"/>
  <c r="P1035" s="1"/>
  <c r="H1031"/>
  <c r="P1031" s="1"/>
  <c r="H1027"/>
  <c r="P1027" s="1"/>
  <c r="H1020"/>
  <c r="H1012"/>
  <c r="P1012" s="1"/>
  <c r="H1004"/>
  <c r="P1004" s="1"/>
  <c r="H996"/>
  <c r="P996" s="1"/>
  <c r="H988"/>
  <c r="P988" s="1"/>
  <c r="H980"/>
  <c r="P980" s="1"/>
  <c r="H972"/>
  <c r="V972" s="1"/>
  <c r="H964"/>
  <c r="P964" s="1"/>
  <c r="H956"/>
  <c r="P956" s="1"/>
  <c r="H948"/>
  <c r="P948" s="1"/>
  <c r="H940"/>
  <c r="P940" s="1"/>
  <c r="H932"/>
  <c r="P932" s="1"/>
  <c r="H924"/>
  <c r="P924" s="1"/>
  <c r="H916"/>
  <c r="P916" s="1"/>
  <c r="H908"/>
  <c r="P908" s="1"/>
  <c r="H900"/>
  <c r="M12" i="4" s="1"/>
  <c r="H892" i="1"/>
  <c r="P892" s="1"/>
  <c r="H884"/>
  <c r="P884" s="1"/>
  <c r="H876"/>
  <c r="P876" s="1"/>
  <c r="H868"/>
  <c r="H860"/>
  <c r="P860" s="1"/>
  <c r="H852"/>
  <c r="P852" s="1"/>
  <c r="H844"/>
  <c r="P844" s="1"/>
  <c r="H836"/>
  <c r="H828"/>
  <c r="P828" s="1"/>
  <c r="H820"/>
  <c r="P820" s="1"/>
  <c r="H6"/>
  <c r="H10"/>
  <c r="P10" s="1"/>
  <c r="H14"/>
  <c r="P14" s="1"/>
  <c r="H18"/>
  <c r="V18" s="1"/>
  <c r="H22"/>
  <c r="P22" s="1"/>
  <c r="H26"/>
  <c r="V26" s="1"/>
  <c r="H30"/>
  <c r="P30" s="1"/>
  <c r="H34"/>
  <c r="P34" s="1"/>
  <c r="H38"/>
  <c r="P38" s="1"/>
  <c r="H42"/>
  <c r="P42" s="1"/>
  <c r="H46"/>
  <c r="P46" s="1"/>
  <c r="H50"/>
  <c r="P50" s="1"/>
  <c r="H54"/>
  <c r="P54" s="1"/>
  <c r="H58"/>
  <c r="P58" s="1"/>
  <c r="H62"/>
  <c r="P62" s="1"/>
  <c r="H66"/>
  <c r="P66" s="1"/>
  <c r="H70"/>
  <c r="P70" s="1"/>
  <c r="H74"/>
  <c r="P74" s="1"/>
  <c r="H78"/>
  <c r="H82"/>
  <c r="P82" s="1"/>
  <c r="H86"/>
  <c r="P86" s="1"/>
  <c r="H90"/>
  <c r="P90" s="1"/>
  <c r="H94"/>
  <c r="H98"/>
  <c r="P98" s="1"/>
  <c r="H102"/>
  <c r="P102" s="1"/>
  <c r="H106"/>
  <c r="P106" s="1"/>
  <c r="H110"/>
  <c r="P110" s="1"/>
  <c r="H114"/>
  <c r="P114" s="1"/>
  <c r="H118"/>
  <c r="P118" s="1"/>
  <c r="H122"/>
  <c r="P122" s="1"/>
  <c r="H126"/>
  <c r="P126" s="1"/>
  <c r="H130"/>
  <c r="P130" s="1"/>
  <c r="H134"/>
  <c r="P134" s="1"/>
  <c r="H138"/>
  <c r="V138" s="1"/>
  <c r="H142"/>
  <c r="P142" s="1"/>
  <c r="H146"/>
  <c r="P146" s="1"/>
  <c r="H150"/>
  <c r="P150" s="1"/>
  <c r="H154"/>
  <c r="H158"/>
  <c r="H162"/>
  <c r="P162" s="1"/>
  <c r="H166"/>
  <c r="P166" s="1"/>
  <c r="H170"/>
  <c r="H174"/>
  <c r="P174" s="1"/>
  <c r="H178"/>
  <c r="P178" s="1"/>
  <c r="H182"/>
  <c r="P182" s="1"/>
  <c r="H186"/>
  <c r="H190"/>
  <c r="P190" s="1"/>
  <c r="H194"/>
  <c r="P194" s="1"/>
  <c r="H198"/>
  <c r="V198" s="1"/>
  <c r="H202"/>
  <c r="V202" s="1"/>
  <c r="H206"/>
  <c r="P206" s="1"/>
  <c r="H210"/>
  <c r="P210" s="1"/>
  <c r="H214"/>
  <c r="P214" s="1"/>
  <c r="H218"/>
  <c r="P218" s="1"/>
  <c r="H222"/>
  <c r="P222" s="1"/>
  <c r="H226"/>
  <c r="H230"/>
  <c r="P230" s="1"/>
  <c r="H234"/>
  <c r="P234" s="1"/>
  <c r="H238"/>
  <c r="P238" s="1"/>
  <c r="H242"/>
  <c r="P242" s="1"/>
  <c r="H246"/>
  <c r="P246" s="1"/>
  <c r="H250"/>
  <c r="V250" s="1"/>
  <c r="H254"/>
  <c r="P254" s="1"/>
  <c r="H258"/>
  <c r="P258" s="1"/>
  <c r="H262"/>
  <c r="P262" s="1"/>
  <c r="H266"/>
  <c r="P266" s="1"/>
  <c r="H270"/>
  <c r="P270" s="1"/>
  <c r="H274"/>
  <c r="P274" s="1"/>
  <c r="H278"/>
  <c r="H282"/>
  <c r="P282" s="1"/>
  <c r="H286"/>
  <c r="P286" s="1"/>
  <c r="H290"/>
  <c r="P290" s="1"/>
  <c r="H294"/>
  <c r="H298"/>
  <c r="P298" s="1"/>
  <c r="H302"/>
  <c r="P302" s="1"/>
  <c r="H306"/>
  <c r="P306" s="1"/>
  <c r="H310"/>
  <c r="P310" s="1"/>
  <c r="H314"/>
  <c r="P314" s="1"/>
  <c r="H318"/>
  <c r="V318" s="1"/>
  <c r="H322"/>
  <c r="P322" s="1"/>
  <c r="H326"/>
  <c r="P326" s="1"/>
  <c r="H330"/>
  <c r="H334"/>
  <c r="P334" s="1"/>
  <c r="H338"/>
  <c r="P338" s="1"/>
  <c r="H342"/>
  <c r="P342" s="1"/>
  <c r="H346"/>
  <c r="P346" s="1"/>
  <c r="H350"/>
  <c r="P350" s="1"/>
  <c r="H354"/>
  <c r="P354" s="1"/>
  <c r="H358"/>
  <c r="P358" s="1"/>
  <c r="H362"/>
  <c r="P362" s="1"/>
  <c r="H366"/>
  <c r="P366" s="1"/>
  <c r="H370"/>
  <c r="P370" s="1"/>
  <c r="H374"/>
  <c r="P374" s="1"/>
  <c r="H378"/>
  <c r="P378" s="1"/>
  <c r="H382"/>
  <c r="P382" s="1"/>
  <c r="H386"/>
  <c r="P386" s="1"/>
  <c r="H390"/>
  <c r="P390" s="1"/>
  <c r="H394"/>
  <c r="V394" s="1"/>
  <c r="H398"/>
  <c r="P398" s="1"/>
  <c r="H402"/>
  <c r="P402" s="1"/>
  <c r="H406"/>
  <c r="H410"/>
  <c r="P410" s="1"/>
  <c r="H414"/>
  <c r="H418"/>
  <c r="P418" s="1"/>
  <c r="H422"/>
  <c r="P422" s="1"/>
  <c r="H426"/>
  <c r="P426" s="1"/>
  <c r="H430"/>
  <c r="P430" s="1"/>
  <c r="H434"/>
  <c r="P434" s="1"/>
  <c r="H438"/>
  <c r="P438" s="1"/>
  <c r="H442"/>
  <c r="P442" s="1"/>
  <c r="H446"/>
  <c r="P446" s="1"/>
  <c r="H450"/>
  <c r="P450" s="1"/>
  <c r="H454"/>
  <c r="V454" s="1"/>
  <c r="H458"/>
  <c r="P458" s="1"/>
  <c r="H462"/>
  <c r="P462" s="1"/>
  <c r="H466"/>
  <c r="P466" s="1"/>
  <c r="H470"/>
  <c r="P470" s="1"/>
  <c r="H474"/>
  <c r="P474" s="1"/>
  <c r="H478"/>
  <c r="P478" s="1"/>
  <c r="H482"/>
  <c r="P482" s="1"/>
  <c r="H486"/>
  <c r="P486" s="1"/>
  <c r="H490"/>
  <c r="P490" s="1"/>
  <c r="H494"/>
  <c r="P494" s="1"/>
  <c r="H498"/>
  <c r="P498" s="1"/>
  <c r="H502"/>
  <c r="P502" s="1"/>
  <c r="H506"/>
  <c r="P506" s="1"/>
  <c r="H510"/>
  <c r="P510" s="1"/>
  <c r="H514"/>
  <c r="P514" s="1"/>
  <c r="H518"/>
  <c r="H522"/>
  <c r="P522" s="1"/>
  <c r="H526"/>
  <c r="P526" s="1"/>
  <c r="H530"/>
  <c r="P530" s="1"/>
  <c r="H534"/>
  <c r="P534" s="1"/>
  <c r="H538"/>
  <c r="P538" s="1"/>
  <c r="H542"/>
  <c r="P542" s="1"/>
  <c r="H546"/>
  <c r="H550"/>
  <c r="P550" s="1"/>
  <c r="H554"/>
  <c r="P554" s="1"/>
  <c r="H558"/>
  <c r="P558" s="1"/>
  <c r="H562"/>
  <c r="P562" s="1"/>
  <c r="H566"/>
  <c r="H570"/>
  <c r="P570" s="1"/>
  <c r="H574"/>
  <c r="P574" s="1"/>
  <c r="H578"/>
  <c r="P578" s="1"/>
  <c r="H582"/>
  <c r="P582" s="1"/>
  <c r="H586"/>
  <c r="P586" s="1"/>
  <c r="H590"/>
  <c r="P590" s="1"/>
  <c r="H594"/>
  <c r="P594" s="1"/>
  <c r="H598"/>
  <c r="P598" s="1"/>
  <c r="H602"/>
  <c r="P602" s="1"/>
  <c r="H606"/>
  <c r="P606" s="1"/>
  <c r="H610"/>
  <c r="P610" s="1"/>
  <c r="H614"/>
  <c r="P614" s="1"/>
  <c r="H618"/>
  <c r="P618" s="1"/>
  <c r="H622"/>
  <c r="P622" s="1"/>
  <c r="H626"/>
  <c r="V626" s="1"/>
  <c r="H630"/>
  <c r="H634"/>
  <c r="V634" s="1"/>
  <c r="H638"/>
  <c r="H642"/>
  <c r="P642" s="1"/>
  <c r="H646"/>
  <c r="P646" s="1"/>
  <c r="H650"/>
  <c r="H654"/>
  <c r="P654" s="1"/>
  <c r="H658"/>
  <c r="P658" s="1"/>
  <c r="H662"/>
  <c r="P662" s="1"/>
  <c r="H666"/>
  <c r="P666" s="1"/>
  <c r="H670"/>
  <c r="P670" s="1"/>
  <c r="H674"/>
  <c r="P674" s="1"/>
  <c r="H678"/>
  <c r="H682"/>
  <c r="P682" s="1"/>
  <c r="H686"/>
  <c r="P686" s="1"/>
  <c r="H690"/>
  <c r="P690" s="1"/>
  <c r="H694"/>
  <c r="P694" s="1"/>
  <c r="H698"/>
  <c r="P698" s="1"/>
  <c r="H702"/>
  <c r="P702" s="1"/>
  <c r="H706"/>
  <c r="H710"/>
  <c r="P710" s="1"/>
  <c r="H714"/>
  <c r="P714" s="1"/>
  <c r="H718"/>
  <c r="P718" s="1"/>
  <c r="H722"/>
  <c r="P722" s="1"/>
  <c r="H726"/>
  <c r="P726" s="1"/>
  <c r="H730"/>
  <c r="P730" s="1"/>
  <c r="H734"/>
  <c r="P734" s="1"/>
  <c r="H738"/>
  <c r="P738" s="1"/>
  <c r="H742"/>
  <c r="P742" s="1"/>
  <c r="H746"/>
  <c r="P746" s="1"/>
  <c r="H750"/>
  <c r="P750" s="1"/>
  <c r="H754"/>
  <c r="P754" s="1"/>
  <c r="H758"/>
  <c r="P758" s="1"/>
  <c r="H762"/>
  <c r="P762" s="1"/>
  <c r="H766"/>
  <c r="P766" s="1"/>
  <c r="H770"/>
  <c r="P770" s="1"/>
  <c r="H774"/>
  <c r="P774" s="1"/>
  <c r="H778"/>
  <c r="P778" s="1"/>
  <c r="H782"/>
  <c r="P782" s="1"/>
  <c r="H786"/>
  <c r="P786" s="1"/>
  <c r="H790"/>
  <c r="P790" s="1"/>
  <c r="H794"/>
  <c r="P794" s="1"/>
  <c r="H798"/>
  <c r="P798" s="1"/>
  <c r="H802"/>
  <c r="P802" s="1"/>
  <c r="H806"/>
  <c r="P806" s="1"/>
  <c r="H810"/>
  <c r="P810" s="1"/>
  <c r="H814"/>
  <c r="P814" s="1"/>
  <c r="H818"/>
  <c r="P818" s="1"/>
  <c r="H822"/>
  <c r="P822" s="1"/>
  <c r="H826"/>
  <c r="P826" s="1"/>
  <c r="H830"/>
  <c r="P830" s="1"/>
  <c r="H834"/>
  <c r="P834" s="1"/>
  <c r="H838"/>
  <c r="H842"/>
  <c r="P842" s="1"/>
  <c r="H846"/>
  <c r="P846" s="1"/>
  <c r="H850"/>
  <c r="P850" s="1"/>
  <c r="H854"/>
  <c r="P854" s="1"/>
  <c r="H858"/>
  <c r="P858" s="1"/>
  <c r="H862"/>
  <c r="P862" s="1"/>
  <c r="H866"/>
  <c r="P866" s="1"/>
  <c r="H870"/>
  <c r="V870" s="1"/>
  <c r="H874"/>
  <c r="P874" s="1"/>
  <c r="H878"/>
  <c r="P878" s="1"/>
  <c r="H882"/>
  <c r="P882" s="1"/>
  <c r="H886"/>
  <c r="P886" s="1"/>
  <c r="H890"/>
  <c r="P890" s="1"/>
  <c r="H894"/>
  <c r="P894" s="1"/>
  <c r="H898"/>
  <c r="P898" s="1"/>
  <c r="H902"/>
  <c r="P902" s="1"/>
  <c r="H906"/>
  <c r="P906" s="1"/>
  <c r="H910"/>
  <c r="P910" s="1"/>
  <c r="H914"/>
  <c r="P914" s="1"/>
  <c r="H918"/>
  <c r="P918" s="1"/>
  <c r="H922"/>
  <c r="V922" s="1"/>
  <c r="H926"/>
  <c r="P926" s="1"/>
  <c r="H930"/>
  <c r="P930" s="1"/>
  <c r="H934"/>
  <c r="P934" s="1"/>
  <c r="H938"/>
  <c r="P938" s="1"/>
  <c r="H942"/>
  <c r="H946"/>
  <c r="P946" s="1"/>
  <c r="H950"/>
  <c r="P950" s="1"/>
  <c r="H954"/>
  <c r="V954" s="1"/>
  <c r="H958"/>
  <c r="P958" s="1"/>
  <c r="H962"/>
  <c r="P962" s="1"/>
  <c r="H966"/>
  <c r="P966" s="1"/>
  <c r="H970"/>
  <c r="P970" s="1"/>
  <c r="H974"/>
  <c r="P974" s="1"/>
  <c r="H978"/>
  <c r="P978" s="1"/>
  <c r="H982"/>
  <c r="P982" s="1"/>
  <c r="H986"/>
  <c r="P986" s="1"/>
  <c r="H990"/>
  <c r="P990" s="1"/>
  <c r="H994"/>
  <c r="P994" s="1"/>
  <c r="H998"/>
  <c r="P998" s="1"/>
  <c r="H1002"/>
  <c r="P1002" s="1"/>
  <c r="H1006"/>
  <c r="P1006" s="1"/>
  <c r="H1010"/>
  <c r="P1010" s="1"/>
  <c r="H1014"/>
  <c r="P1014" s="1"/>
  <c r="H1018"/>
  <c r="H1022"/>
  <c r="P1022" s="1"/>
  <c r="H1026"/>
  <c r="P1026" s="1"/>
  <c r="H5"/>
  <c r="V5" s="1"/>
  <c r="H9"/>
  <c r="P9" s="1"/>
  <c r="H13"/>
  <c r="P13" s="1"/>
  <c r="H17"/>
  <c r="P17" s="1"/>
  <c r="H21"/>
  <c r="H25"/>
  <c r="P25" s="1"/>
  <c r="H29"/>
  <c r="P29" s="1"/>
  <c r="H33"/>
  <c r="H37"/>
  <c r="P37" s="1"/>
  <c r="H41"/>
  <c r="P41" s="1"/>
  <c r="H45"/>
  <c r="P45" s="1"/>
  <c r="H49"/>
  <c r="P49" s="1"/>
  <c r="H53"/>
  <c r="P53" s="1"/>
  <c r="H57"/>
  <c r="H61"/>
  <c r="P61" s="1"/>
  <c r="H65"/>
  <c r="P65" s="1"/>
  <c r="H69"/>
  <c r="P69" s="1"/>
  <c r="H73"/>
  <c r="P73" s="1"/>
  <c r="H77"/>
  <c r="P77" s="1"/>
  <c r="H81"/>
  <c r="P81" s="1"/>
  <c r="H85"/>
  <c r="P85" s="1"/>
  <c r="H89"/>
  <c r="P89" s="1"/>
  <c r="H93"/>
  <c r="P93" s="1"/>
  <c r="H97"/>
  <c r="P97" s="1"/>
  <c r="H101"/>
  <c r="P101" s="1"/>
  <c r="H105"/>
  <c r="P105" s="1"/>
  <c r="H109"/>
  <c r="P109" s="1"/>
  <c r="H113"/>
  <c r="P113" s="1"/>
  <c r="H117"/>
  <c r="P117" s="1"/>
  <c r="H121"/>
  <c r="P121" s="1"/>
  <c r="H125"/>
  <c r="P125" s="1"/>
  <c r="H129"/>
  <c r="H133"/>
  <c r="P133" s="1"/>
  <c r="H137"/>
  <c r="P137" s="1"/>
  <c r="H141"/>
  <c r="P141" s="1"/>
  <c r="H145"/>
  <c r="P145" s="1"/>
  <c r="H149"/>
  <c r="P149" s="1"/>
  <c r="H153"/>
  <c r="P153" s="1"/>
  <c r="H157"/>
  <c r="M62" i="4" s="1"/>
  <c r="H161" i="1"/>
  <c r="P161" s="1"/>
  <c r="H165"/>
  <c r="P165" s="1"/>
  <c r="H169"/>
  <c r="H173"/>
  <c r="V173" s="1"/>
  <c r="H177"/>
  <c r="P177" s="1"/>
  <c r="H181"/>
  <c r="H185"/>
  <c r="P185" s="1"/>
  <c r="H189"/>
  <c r="P189" s="1"/>
  <c r="H193"/>
  <c r="V193" s="1"/>
  <c r="H197"/>
  <c r="P197" s="1"/>
  <c r="H201"/>
  <c r="P201" s="1"/>
  <c r="H205"/>
  <c r="V205" s="1"/>
  <c r="H209"/>
  <c r="H213"/>
  <c r="V213" s="1"/>
  <c r="H217"/>
  <c r="P217" s="1"/>
  <c r="H221"/>
  <c r="P221" s="1"/>
  <c r="H225"/>
  <c r="P225" s="1"/>
  <c r="H229"/>
  <c r="P229" s="1"/>
  <c r="H233"/>
  <c r="P233" s="1"/>
  <c r="H237"/>
  <c r="P237" s="1"/>
  <c r="H241"/>
  <c r="P241" s="1"/>
  <c r="H245"/>
  <c r="V245" s="1"/>
  <c r="H249"/>
  <c r="P249" s="1"/>
  <c r="H253"/>
  <c r="P253" s="1"/>
  <c r="H257"/>
  <c r="P257" s="1"/>
  <c r="H261"/>
  <c r="P261" s="1"/>
  <c r="H265"/>
  <c r="P265" s="1"/>
  <c r="H269"/>
  <c r="P269" s="1"/>
  <c r="H273"/>
  <c r="H277"/>
  <c r="P277" s="1"/>
  <c r="H281"/>
  <c r="P281" s="1"/>
  <c r="H285"/>
  <c r="P285" s="1"/>
  <c r="H289"/>
  <c r="P289" s="1"/>
  <c r="H293"/>
  <c r="P293" s="1"/>
  <c r="H297"/>
  <c r="P297" s="1"/>
  <c r="H301"/>
  <c r="P301" s="1"/>
  <c r="H305"/>
  <c r="P305" s="1"/>
  <c r="H309"/>
  <c r="P309" s="1"/>
  <c r="H313"/>
  <c r="P313" s="1"/>
  <c r="H317"/>
  <c r="P317" s="1"/>
  <c r="H321"/>
  <c r="P321" s="1"/>
  <c r="H325"/>
  <c r="H329"/>
  <c r="H333"/>
  <c r="P333" s="1"/>
  <c r="H337"/>
  <c r="H341"/>
  <c r="P341" s="1"/>
  <c r="H345"/>
  <c r="P345" s="1"/>
  <c r="H349"/>
  <c r="P349" s="1"/>
  <c r="H353"/>
  <c r="H357"/>
  <c r="P357" s="1"/>
  <c r="H361"/>
  <c r="P361" s="1"/>
  <c r="H365"/>
  <c r="P365" s="1"/>
  <c r="H369"/>
  <c r="P369" s="1"/>
  <c r="H373"/>
  <c r="P373" s="1"/>
  <c r="H377"/>
  <c r="H381"/>
  <c r="P381" s="1"/>
  <c r="H385"/>
  <c r="P385" s="1"/>
  <c r="H389"/>
  <c r="P389" s="1"/>
  <c r="H393"/>
  <c r="P393" s="1"/>
  <c r="H397"/>
  <c r="H401"/>
  <c r="P401" s="1"/>
  <c r="H405"/>
  <c r="P405" s="1"/>
  <c r="H409"/>
  <c r="P409" s="1"/>
  <c r="H413"/>
  <c r="P413" s="1"/>
  <c r="H417"/>
  <c r="P417" s="1"/>
  <c r="H421"/>
  <c r="P421" s="1"/>
  <c r="H425"/>
  <c r="P425" s="1"/>
  <c r="H429"/>
  <c r="P429" s="1"/>
  <c r="H433"/>
  <c r="P433" s="1"/>
  <c r="H437"/>
  <c r="P437" s="1"/>
  <c r="H441"/>
  <c r="P441" s="1"/>
  <c r="H445"/>
  <c r="P445" s="1"/>
  <c r="H449"/>
  <c r="P449" s="1"/>
  <c r="H453"/>
  <c r="P453" s="1"/>
  <c r="H457"/>
  <c r="H461"/>
  <c r="P461" s="1"/>
  <c r="H465"/>
  <c r="P465" s="1"/>
  <c r="H469"/>
  <c r="P469" s="1"/>
  <c r="H473"/>
  <c r="P473" s="1"/>
  <c r="H477"/>
  <c r="P477" s="1"/>
  <c r="H481"/>
  <c r="P481" s="1"/>
  <c r="H485"/>
  <c r="P485" s="1"/>
  <c r="H489"/>
  <c r="P489" s="1"/>
  <c r="H493"/>
  <c r="P493" s="1"/>
  <c r="H497"/>
  <c r="H501"/>
  <c r="P501" s="1"/>
  <c r="H505"/>
  <c r="P505" s="1"/>
  <c r="H509"/>
  <c r="P509" s="1"/>
  <c r="H513"/>
  <c r="P513" s="1"/>
  <c r="H517"/>
  <c r="P517" s="1"/>
  <c r="H521"/>
  <c r="P521" s="1"/>
  <c r="H525"/>
  <c r="P525" s="1"/>
  <c r="H529"/>
  <c r="P529" s="1"/>
  <c r="H533"/>
  <c r="P533" s="1"/>
  <c r="H537"/>
  <c r="P537" s="1"/>
  <c r="H541"/>
  <c r="P541" s="1"/>
  <c r="H545"/>
  <c r="H549"/>
  <c r="P549" s="1"/>
  <c r="H553"/>
  <c r="P553" s="1"/>
  <c r="H557"/>
  <c r="P557" s="1"/>
  <c r="H561"/>
  <c r="P561" s="1"/>
  <c r="H565"/>
  <c r="P565" s="1"/>
  <c r="H569"/>
  <c r="P569" s="1"/>
  <c r="H573"/>
  <c r="P573" s="1"/>
  <c r="H577"/>
  <c r="P577" s="1"/>
  <c r="H581"/>
  <c r="P581" s="1"/>
  <c r="H585"/>
  <c r="P585" s="1"/>
  <c r="H589"/>
  <c r="P589" s="1"/>
  <c r="H593"/>
  <c r="P593" s="1"/>
  <c r="H597"/>
  <c r="P597" s="1"/>
  <c r="H601"/>
  <c r="H605"/>
  <c r="P605" s="1"/>
  <c r="H609"/>
  <c r="P609" s="1"/>
  <c r="H613"/>
  <c r="H617"/>
  <c r="P617" s="1"/>
  <c r="H621"/>
  <c r="P621" s="1"/>
  <c r="H625"/>
  <c r="P625" s="1"/>
  <c r="H629"/>
  <c r="P629" s="1"/>
  <c r="H633"/>
  <c r="P633" s="1"/>
  <c r="H637"/>
  <c r="P637" s="1"/>
  <c r="H641"/>
  <c r="P641" s="1"/>
  <c r="H645"/>
  <c r="P645" s="1"/>
  <c r="H649"/>
  <c r="P649" s="1"/>
  <c r="H653"/>
  <c r="P653" s="1"/>
  <c r="H657"/>
  <c r="P657" s="1"/>
  <c r="H661"/>
  <c r="P661" s="1"/>
  <c r="H665"/>
  <c r="P665" s="1"/>
  <c r="H669"/>
  <c r="P669" s="1"/>
  <c r="H673"/>
  <c r="H677"/>
  <c r="P677" s="1"/>
  <c r="H681"/>
  <c r="H685"/>
  <c r="P685" s="1"/>
  <c r="H689"/>
  <c r="P689" s="1"/>
  <c r="H693"/>
  <c r="P693" s="1"/>
  <c r="H697"/>
  <c r="H701"/>
  <c r="P701" s="1"/>
  <c r="H705"/>
  <c r="H709"/>
  <c r="P709" s="1"/>
  <c r="H713"/>
  <c r="P713" s="1"/>
  <c r="H717"/>
  <c r="P717" s="1"/>
  <c r="H721"/>
  <c r="P721" s="1"/>
  <c r="H725"/>
  <c r="P725" s="1"/>
  <c r="H729"/>
  <c r="P729" s="1"/>
  <c r="H733"/>
  <c r="P733" s="1"/>
  <c r="H737"/>
  <c r="P737" s="1"/>
  <c r="H741"/>
  <c r="P741" s="1"/>
  <c r="H745"/>
  <c r="P745" s="1"/>
  <c r="H749"/>
  <c r="V749" s="1"/>
  <c r="H753"/>
  <c r="P753" s="1"/>
  <c r="H757"/>
  <c r="P757" s="1"/>
  <c r="H761"/>
  <c r="P761" s="1"/>
  <c r="H765"/>
  <c r="P765" s="1"/>
  <c r="H769"/>
  <c r="P769" s="1"/>
  <c r="H773"/>
  <c r="P773" s="1"/>
  <c r="H777"/>
  <c r="P777" s="1"/>
  <c r="H781"/>
  <c r="P781" s="1"/>
  <c r="H785"/>
  <c r="P785" s="1"/>
  <c r="H789"/>
  <c r="P789" s="1"/>
  <c r="H793"/>
  <c r="P793" s="1"/>
  <c r="H797"/>
  <c r="P797" s="1"/>
  <c r="H801"/>
  <c r="P801" s="1"/>
  <c r="H805"/>
  <c r="P805" s="1"/>
  <c r="H4"/>
  <c r="H8"/>
  <c r="P8" s="1"/>
  <c r="H12"/>
  <c r="P12" s="1"/>
  <c r="H16"/>
  <c r="P16" s="1"/>
  <c r="H20"/>
  <c r="P20" s="1"/>
  <c r="H24"/>
  <c r="P24" s="1"/>
  <c r="H28"/>
  <c r="H32"/>
  <c r="P32" s="1"/>
  <c r="H36"/>
  <c r="P36" s="1"/>
  <c r="H40"/>
  <c r="P40" s="1"/>
  <c r="H44"/>
  <c r="P44" s="1"/>
  <c r="H48"/>
  <c r="P48" s="1"/>
  <c r="H52"/>
  <c r="P52" s="1"/>
  <c r="H56"/>
  <c r="P56" s="1"/>
  <c r="H60"/>
  <c r="P60" s="1"/>
  <c r="H64"/>
  <c r="P64" s="1"/>
  <c r="H68"/>
  <c r="H72"/>
  <c r="P72" s="1"/>
  <c r="H76"/>
  <c r="H80"/>
  <c r="P80" s="1"/>
  <c r="H84"/>
  <c r="H88"/>
  <c r="P88" s="1"/>
  <c r="H92"/>
  <c r="P92" s="1"/>
  <c r="H96"/>
  <c r="P96" s="1"/>
  <c r="H100"/>
  <c r="P100" s="1"/>
  <c r="H104"/>
  <c r="P104" s="1"/>
  <c r="H108"/>
  <c r="P108" s="1"/>
  <c r="H112"/>
  <c r="P112" s="1"/>
  <c r="H116"/>
  <c r="P116" s="1"/>
  <c r="H120"/>
  <c r="P120" s="1"/>
  <c r="H124"/>
  <c r="P124" s="1"/>
  <c r="H128"/>
  <c r="P128" s="1"/>
  <c r="H132"/>
  <c r="P132" s="1"/>
  <c r="H136"/>
  <c r="P136" s="1"/>
  <c r="H140"/>
  <c r="P140" s="1"/>
  <c r="H144"/>
  <c r="P144" s="1"/>
  <c r="H148"/>
  <c r="P148" s="1"/>
  <c r="H152"/>
  <c r="P152" s="1"/>
  <c r="H156"/>
  <c r="P156" s="1"/>
  <c r="H160"/>
  <c r="H164"/>
  <c r="P164" s="1"/>
  <c r="H168"/>
  <c r="P168" s="1"/>
  <c r="H172"/>
  <c r="H176"/>
  <c r="H180"/>
  <c r="P180" s="1"/>
  <c r="H184"/>
  <c r="P184" s="1"/>
  <c r="H188"/>
  <c r="P188" s="1"/>
  <c r="H192"/>
  <c r="P192" s="1"/>
  <c r="H196"/>
  <c r="P196" s="1"/>
  <c r="H200"/>
  <c r="P200" s="1"/>
  <c r="H204"/>
  <c r="P204" s="1"/>
  <c r="H208"/>
  <c r="P208" s="1"/>
  <c r="H212"/>
  <c r="V212" s="1"/>
  <c r="H216"/>
  <c r="P216" s="1"/>
  <c r="H220"/>
  <c r="P220" s="1"/>
  <c r="H224"/>
  <c r="P224" s="1"/>
  <c r="H228"/>
  <c r="V228" s="1"/>
  <c r="H232"/>
  <c r="P232" s="1"/>
  <c r="H236"/>
  <c r="P236" s="1"/>
  <c r="H240"/>
  <c r="P240" s="1"/>
  <c r="H244"/>
  <c r="H248"/>
  <c r="P248" s="1"/>
  <c r="H252"/>
  <c r="P252" s="1"/>
  <c r="H256"/>
  <c r="P256" s="1"/>
  <c r="H260"/>
  <c r="P260" s="1"/>
  <c r="H264"/>
  <c r="P264" s="1"/>
  <c r="H268"/>
  <c r="H272"/>
  <c r="P272" s="1"/>
  <c r="H276"/>
  <c r="P276" s="1"/>
  <c r="H280"/>
  <c r="H284"/>
  <c r="P284" s="1"/>
  <c r="H288"/>
  <c r="P288" s="1"/>
  <c r="H292"/>
  <c r="P292" s="1"/>
  <c r="H296"/>
  <c r="P296" s="1"/>
  <c r="H300"/>
  <c r="H304"/>
  <c r="P304" s="1"/>
  <c r="H308"/>
  <c r="P308" s="1"/>
  <c r="H312"/>
  <c r="P312" s="1"/>
  <c r="H316"/>
  <c r="P316" s="1"/>
  <c r="H320"/>
  <c r="P320" s="1"/>
  <c r="H324"/>
  <c r="P324" s="1"/>
  <c r="H328"/>
  <c r="P328" s="1"/>
  <c r="H332"/>
  <c r="P332" s="1"/>
  <c r="H336"/>
  <c r="P336" s="1"/>
  <c r="H340"/>
  <c r="P340" s="1"/>
  <c r="H344"/>
  <c r="P344" s="1"/>
  <c r="H348"/>
  <c r="P348" s="1"/>
  <c r="H352"/>
  <c r="P352" s="1"/>
  <c r="H356"/>
  <c r="P356" s="1"/>
  <c r="H360"/>
  <c r="P360" s="1"/>
  <c r="H364"/>
  <c r="P364" s="1"/>
  <c r="H368"/>
  <c r="P368" s="1"/>
  <c r="H372"/>
  <c r="H376"/>
  <c r="P376" s="1"/>
  <c r="H380"/>
  <c r="P380" s="1"/>
  <c r="H384"/>
  <c r="P384" s="1"/>
  <c r="H388"/>
  <c r="P388" s="1"/>
  <c r="H392"/>
  <c r="P392" s="1"/>
  <c r="H396"/>
  <c r="P396" s="1"/>
  <c r="H400"/>
  <c r="P400" s="1"/>
  <c r="H404"/>
  <c r="P404" s="1"/>
  <c r="H408"/>
  <c r="P408" s="1"/>
  <c r="H412"/>
  <c r="P412" s="1"/>
  <c r="H416"/>
  <c r="P416" s="1"/>
  <c r="H420"/>
  <c r="P420" s="1"/>
  <c r="H424"/>
  <c r="P424" s="1"/>
  <c r="H428"/>
  <c r="P428" s="1"/>
  <c r="H432"/>
  <c r="P432" s="1"/>
  <c r="H436"/>
  <c r="P436" s="1"/>
  <c r="H440"/>
  <c r="P440" s="1"/>
  <c r="H444"/>
  <c r="P444" s="1"/>
  <c r="H448"/>
  <c r="P448" s="1"/>
  <c r="H452"/>
  <c r="P452" s="1"/>
  <c r="H456"/>
  <c r="P456" s="1"/>
  <c r="H460"/>
  <c r="P460" s="1"/>
  <c r="H464"/>
  <c r="P464" s="1"/>
  <c r="H468"/>
  <c r="H472"/>
  <c r="P472" s="1"/>
  <c r="H476"/>
  <c r="P476" s="1"/>
  <c r="H480"/>
  <c r="P480" s="1"/>
  <c r="H484"/>
  <c r="P484" s="1"/>
  <c r="H488"/>
  <c r="P488" s="1"/>
  <c r="H492"/>
  <c r="P492" s="1"/>
  <c r="H496"/>
  <c r="P496" s="1"/>
  <c r="H500"/>
  <c r="P500" s="1"/>
  <c r="H504"/>
  <c r="P504" s="1"/>
  <c r="H508"/>
  <c r="P508" s="1"/>
  <c r="H512"/>
  <c r="P512" s="1"/>
  <c r="H516"/>
  <c r="P516" s="1"/>
  <c r="H520"/>
  <c r="P520" s="1"/>
  <c r="H524"/>
  <c r="P524" s="1"/>
  <c r="H528"/>
  <c r="P528" s="1"/>
  <c r="H532"/>
  <c r="H536"/>
  <c r="P536" s="1"/>
  <c r="H540"/>
  <c r="P540" s="1"/>
  <c r="H544"/>
  <c r="P544" s="1"/>
  <c r="H548"/>
  <c r="P548" s="1"/>
  <c r="H552"/>
  <c r="P552" s="1"/>
  <c r="H556"/>
  <c r="H560"/>
  <c r="H564"/>
  <c r="P564" s="1"/>
  <c r="H568"/>
  <c r="P568" s="1"/>
  <c r="H572"/>
  <c r="P572" s="1"/>
  <c r="H576"/>
  <c r="P576" s="1"/>
  <c r="H580"/>
  <c r="P580" s="1"/>
  <c r="H584"/>
  <c r="H588"/>
  <c r="P588" s="1"/>
  <c r="H592"/>
  <c r="P592" s="1"/>
  <c r="H596"/>
  <c r="P596" s="1"/>
  <c r="H600"/>
  <c r="P600" s="1"/>
  <c r="H604"/>
  <c r="H608"/>
  <c r="P608" s="1"/>
  <c r="H612"/>
  <c r="V612" s="1"/>
  <c r="H616"/>
  <c r="V616" s="1"/>
  <c r="H620"/>
  <c r="P620" s="1"/>
  <c r="H624"/>
  <c r="P624" s="1"/>
  <c r="H628"/>
  <c r="P628" s="1"/>
  <c r="H632"/>
  <c r="P632" s="1"/>
  <c r="H636"/>
  <c r="P636" s="1"/>
  <c r="H640"/>
  <c r="P640" s="1"/>
  <c r="H644"/>
  <c r="P644" s="1"/>
  <c r="H648"/>
  <c r="P648" s="1"/>
  <c r="H652"/>
  <c r="P652" s="1"/>
  <c r="H656"/>
  <c r="V656" s="1"/>
  <c r="H660"/>
  <c r="P660" s="1"/>
  <c r="H664"/>
  <c r="P664" s="1"/>
  <c r="H668"/>
  <c r="P668" s="1"/>
  <c r="H672"/>
  <c r="P672" s="1"/>
  <c r="H676"/>
  <c r="P676" s="1"/>
  <c r="H680"/>
  <c r="P680" s="1"/>
  <c r="H684"/>
  <c r="P684" s="1"/>
  <c r="H688"/>
  <c r="P688" s="1"/>
  <c r="H692"/>
  <c r="H696"/>
  <c r="P696" s="1"/>
  <c r="H700"/>
  <c r="P700" s="1"/>
  <c r="H704"/>
  <c r="P704" s="1"/>
  <c r="H708"/>
  <c r="H712"/>
  <c r="P712" s="1"/>
  <c r="H716"/>
  <c r="P716" s="1"/>
  <c r="H720"/>
  <c r="P720" s="1"/>
  <c r="H724"/>
  <c r="P724" s="1"/>
  <c r="H728"/>
  <c r="P728" s="1"/>
  <c r="H732"/>
  <c r="P732" s="1"/>
  <c r="H736"/>
  <c r="P736" s="1"/>
  <c r="H740"/>
  <c r="P740" s="1"/>
  <c r="H744"/>
  <c r="P744" s="1"/>
  <c r="H748"/>
  <c r="P748" s="1"/>
  <c r="H752"/>
  <c r="P752" s="1"/>
  <c r="H756"/>
  <c r="P756" s="1"/>
  <c r="H760"/>
  <c r="P760" s="1"/>
  <c r="H764"/>
  <c r="P764" s="1"/>
  <c r="H768"/>
  <c r="P768" s="1"/>
  <c r="H772"/>
  <c r="P772" s="1"/>
  <c r="H776"/>
  <c r="P776" s="1"/>
  <c r="H780"/>
  <c r="P780" s="1"/>
  <c r="H784"/>
  <c r="P784" s="1"/>
  <c r="H788"/>
  <c r="P788" s="1"/>
  <c r="H792"/>
  <c r="P792" s="1"/>
  <c r="H796"/>
  <c r="P796" s="1"/>
  <c r="H800"/>
  <c r="P800" s="1"/>
  <c r="H804"/>
  <c r="P804" s="1"/>
  <c r="H3"/>
  <c r="P3" s="1"/>
  <c r="H7"/>
  <c r="P7" s="1"/>
  <c r="H11"/>
  <c r="P11" s="1"/>
  <c r="H15"/>
  <c r="P15" s="1"/>
  <c r="H19"/>
  <c r="P19" s="1"/>
  <c r="H23"/>
  <c r="P23" s="1"/>
  <c r="H27"/>
  <c r="P27" s="1"/>
  <c r="H31"/>
  <c r="P31" s="1"/>
  <c r="H35"/>
  <c r="P35" s="1"/>
  <c r="H39"/>
  <c r="P39" s="1"/>
  <c r="H43"/>
  <c r="P43" s="1"/>
  <c r="H47"/>
  <c r="P47" s="1"/>
  <c r="H51"/>
  <c r="P51" s="1"/>
  <c r="H55"/>
  <c r="P55" s="1"/>
  <c r="H59"/>
  <c r="P59" s="1"/>
  <c r="H63"/>
  <c r="P63" s="1"/>
  <c r="H67"/>
  <c r="P67" s="1"/>
  <c r="H71"/>
  <c r="P71" s="1"/>
  <c r="H75"/>
  <c r="P75" s="1"/>
  <c r="H79"/>
  <c r="P79" s="1"/>
  <c r="H83"/>
  <c r="H87"/>
  <c r="P87" s="1"/>
  <c r="H91"/>
  <c r="P91" s="1"/>
  <c r="H95"/>
  <c r="P95" s="1"/>
  <c r="H99"/>
  <c r="P99" s="1"/>
  <c r="H103"/>
  <c r="P103" s="1"/>
  <c r="H107"/>
  <c r="P107" s="1"/>
  <c r="H111"/>
  <c r="H115"/>
  <c r="P115" s="1"/>
  <c r="H119"/>
  <c r="P119" s="1"/>
  <c r="H123"/>
  <c r="V123" s="1"/>
  <c r="H127"/>
  <c r="P127" s="1"/>
  <c r="H131"/>
  <c r="H135"/>
  <c r="P135" s="1"/>
  <c r="H139"/>
  <c r="P139" s="1"/>
  <c r="H143"/>
  <c r="P143" s="1"/>
  <c r="H147"/>
  <c r="P147" s="1"/>
  <c r="H151"/>
  <c r="P151" s="1"/>
  <c r="H155"/>
  <c r="P155" s="1"/>
  <c r="H159"/>
  <c r="P159" s="1"/>
  <c r="H163"/>
  <c r="P163" s="1"/>
  <c r="H167"/>
  <c r="H171"/>
  <c r="P171" s="1"/>
  <c r="H175"/>
  <c r="P175" s="1"/>
  <c r="H179"/>
  <c r="P179" s="1"/>
  <c r="H183"/>
  <c r="P183" s="1"/>
  <c r="H187"/>
  <c r="V187" s="1"/>
  <c r="H191"/>
  <c r="M33" i="4" s="1"/>
  <c r="H195" i="1"/>
  <c r="P195" s="1"/>
  <c r="H199"/>
  <c r="P199" s="1"/>
  <c r="H203"/>
  <c r="P203" s="1"/>
  <c r="H207"/>
  <c r="P207" s="1"/>
  <c r="H211"/>
  <c r="P211" s="1"/>
  <c r="H215"/>
  <c r="P215" s="1"/>
  <c r="H219"/>
  <c r="V219" s="1"/>
  <c r="H223"/>
  <c r="P223" s="1"/>
  <c r="H227"/>
  <c r="P227" s="1"/>
  <c r="H231"/>
  <c r="P231" s="1"/>
  <c r="H235"/>
  <c r="P235" s="1"/>
  <c r="H239"/>
  <c r="H243"/>
  <c r="P243" s="1"/>
  <c r="H247"/>
  <c r="P247" s="1"/>
  <c r="H251"/>
  <c r="P251" s="1"/>
  <c r="H255"/>
  <c r="P255" s="1"/>
  <c r="H259"/>
  <c r="P259" s="1"/>
  <c r="H263"/>
  <c r="H267"/>
  <c r="P267" s="1"/>
  <c r="H271"/>
  <c r="P271" s="1"/>
  <c r="H275"/>
  <c r="P275" s="1"/>
  <c r="H279"/>
  <c r="P279" s="1"/>
  <c r="H283"/>
  <c r="P283" s="1"/>
  <c r="H287"/>
  <c r="P287" s="1"/>
  <c r="H291"/>
  <c r="P291" s="1"/>
  <c r="H295"/>
  <c r="P295" s="1"/>
  <c r="H299"/>
  <c r="V299" s="1"/>
  <c r="H303"/>
  <c r="P303" s="1"/>
  <c r="H307"/>
  <c r="M17" i="4" s="1"/>
  <c r="H311" i="1"/>
  <c r="P311" s="1"/>
  <c r="H315"/>
  <c r="P315" s="1"/>
  <c r="H319"/>
  <c r="P319" s="1"/>
  <c r="H323"/>
  <c r="P323" s="1"/>
  <c r="H327"/>
  <c r="P327" s="1"/>
  <c r="H331"/>
  <c r="P331" s="1"/>
  <c r="H335"/>
  <c r="H339"/>
  <c r="P339" s="1"/>
  <c r="H343"/>
  <c r="P343" s="1"/>
  <c r="H347"/>
  <c r="P347" s="1"/>
  <c r="H351"/>
  <c r="P351" s="1"/>
  <c r="H355"/>
  <c r="P355" s="1"/>
  <c r="H359"/>
  <c r="P359" s="1"/>
  <c r="H363"/>
  <c r="P363" s="1"/>
  <c r="H367"/>
  <c r="P367" s="1"/>
  <c r="H371"/>
  <c r="P371" s="1"/>
  <c r="H375"/>
  <c r="P375" s="1"/>
  <c r="H379"/>
  <c r="P379" s="1"/>
  <c r="H383"/>
  <c r="P383" s="1"/>
  <c r="H387"/>
  <c r="P387" s="1"/>
  <c r="H391"/>
  <c r="P391" s="1"/>
  <c r="H395"/>
  <c r="P395" s="1"/>
  <c r="H399"/>
  <c r="P399" s="1"/>
  <c r="H403"/>
  <c r="P403" s="1"/>
  <c r="H407"/>
  <c r="P407" s="1"/>
  <c r="H411"/>
  <c r="P411" s="1"/>
  <c r="H415"/>
  <c r="P415" s="1"/>
  <c r="H419"/>
  <c r="P419" s="1"/>
  <c r="H423"/>
  <c r="P423" s="1"/>
  <c r="H427"/>
  <c r="P427" s="1"/>
  <c r="H431"/>
  <c r="P431" s="1"/>
  <c r="H435"/>
  <c r="P435" s="1"/>
  <c r="H439"/>
  <c r="P439" s="1"/>
  <c r="H443"/>
  <c r="P443" s="1"/>
  <c r="H447"/>
  <c r="P447" s="1"/>
  <c r="H451"/>
  <c r="P451" s="1"/>
  <c r="H455"/>
  <c r="H459"/>
  <c r="P459" s="1"/>
  <c r="H463"/>
  <c r="P463" s="1"/>
  <c r="H467"/>
  <c r="P467" s="1"/>
  <c r="H471"/>
  <c r="H475"/>
  <c r="P475" s="1"/>
  <c r="H479"/>
  <c r="P479" s="1"/>
  <c r="H483"/>
  <c r="H487"/>
  <c r="P487" s="1"/>
  <c r="H491"/>
  <c r="P491" s="1"/>
  <c r="H495"/>
  <c r="P495" s="1"/>
  <c r="H499"/>
  <c r="P499" s="1"/>
  <c r="H503"/>
  <c r="P503" s="1"/>
  <c r="H507"/>
  <c r="P507" s="1"/>
  <c r="H511"/>
  <c r="P511" s="1"/>
  <c r="H515"/>
  <c r="P515" s="1"/>
  <c r="H519"/>
  <c r="P519" s="1"/>
  <c r="H523"/>
  <c r="V523" s="1"/>
  <c r="H527"/>
  <c r="H531"/>
  <c r="H535"/>
  <c r="P535" s="1"/>
  <c r="H539"/>
  <c r="P539" s="1"/>
  <c r="H543"/>
  <c r="P543" s="1"/>
  <c r="H547"/>
  <c r="H551"/>
  <c r="P551" s="1"/>
  <c r="H555"/>
  <c r="P555" s="1"/>
  <c r="H559"/>
  <c r="P559" s="1"/>
  <c r="H563"/>
  <c r="P563" s="1"/>
  <c r="H567"/>
  <c r="P567" s="1"/>
  <c r="H571"/>
  <c r="P571" s="1"/>
  <c r="H575"/>
  <c r="V575" s="1"/>
  <c r="H579"/>
  <c r="P579" s="1"/>
  <c r="H583"/>
  <c r="P583" s="1"/>
  <c r="H587"/>
  <c r="P587" s="1"/>
  <c r="H591"/>
  <c r="P591" s="1"/>
  <c r="H595"/>
  <c r="P595" s="1"/>
  <c r="H599"/>
  <c r="P599" s="1"/>
  <c r="H603"/>
  <c r="P603" s="1"/>
  <c r="H607"/>
  <c r="P607" s="1"/>
  <c r="H611"/>
  <c r="P611" s="1"/>
  <c r="H615"/>
  <c r="P615" s="1"/>
  <c r="H619"/>
  <c r="P619" s="1"/>
  <c r="H623"/>
  <c r="P623" s="1"/>
  <c r="H627"/>
  <c r="P627" s="1"/>
  <c r="H631"/>
  <c r="P631" s="1"/>
  <c r="H635"/>
  <c r="P635" s="1"/>
  <c r="H639"/>
  <c r="P639" s="1"/>
  <c r="H643"/>
  <c r="P643" s="1"/>
  <c r="H647"/>
  <c r="H651"/>
  <c r="P651" s="1"/>
  <c r="H655"/>
  <c r="P655" s="1"/>
  <c r="H659"/>
  <c r="P659" s="1"/>
  <c r="H663"/>
  <c r="H667"/>
  <c r="P667" s="1"/>
  <c r="H671"/>
  <c r="P671" s="1"/>
  <c r="H675"/>
  <c r="M45" i="4" s="1"/>
  <c r="H679" i="1"/>
  <c r="P679" s="1"/>
  <c r="H683"/>
  <c r="P683" s="1"/>
  <c r="H687"/>
  <c r="P687" s="1"/>
  <c r="H691"/>
  <c r="P691" s="1"/>
  <c r="H695"/>
  <c r="H699"/>
  <c r="P699" s="1"/>
  <c r="H703"/>
  <c r="P703" s="1"/>
  <c r="H707"/>
  <c r="P707" s="1"/>
  <c r="H711"/>
  <c r="P711" s="1"/>
  <c r="H715"/>
  <c r="P715" s="1"/>
  <c r="H719"/>
  <c r="H723"/>
  <c r="P723" s="1"/>
  <c r="H727"/>
  <c r="P727" s="1"/>
  <c r="H731"/>
  <c r="V731" s="1"/>
  <c r="H735"/>
  <c r="P735" s="1"/>
  <c r="H739"/>
  <c r="P739" s="1"/>
  <c r="H743"/>
  <c r="P743" s="1"/>
  <c r="H747"/>
  <c r="P747" s="1"/>
  <c r="H751"/>
  <c r="P751" s="1"/>
  <c r="H755"/>
  <c r="P755" s="1"/>
  <c r="H759"/>
  <c r="H763"/>
  <c r="P763" s="1"/>
  <c r="H767"/>
  <c r="P767" s="1"/>
  <c r="H771"/>
  <c r="P771" s="1"/>
  <c r="H775"/>
  <c r="P775" s="1"/>
  <c r="H779"/>
  <c r="P779" s="1"/>
  <c r="H783"/>
  <c r="P783" s="1"/>
  <c r="H787"/>
  <c r="P787" s="1"/>
  <c r="H791"/>
  <c r="P791" s="1"/>
  <c r="H795"/>
  <c r="P795" s="1"/>
  <c r="H799"/>
  <c r="P799" s="1"/>
  <c r="H803"/>
  <c r="P803" s="1"/>
  <c r="H807"/>
  <c r="P807" s="1"/>
  <c r="H811"/>
  <c r="P811" s="1"/>
  <c r="H815"/>
  <c r="P815" s="1"/>
  <c r="H819"/>
  <c r="P819" s="1"/>
  <c r="H823"/>
  <c r="P823" s="1"/>
  <c r="H827"/>
  <c r="H831"/>
  <c r="P831" s="1"/>
  <c r="H835"/>
  <c r="P835" s="1"/>
  <c r="H839"/>
  <c r="H843"/>
  <c r="P843" s="1"/>
  <c r="H847"/>
  <c r="P847" s="1"/>
  <c r="H851"/>
  <c r="P851" s="1"/>
  <c r="H855"/>
  <c r="P855" s="1"/>
  <c r="H859"/>
  <c r="P859" s="1"/>
  <c r="H863"/>
  <c r="P863" s="1"/>
  <c r="H867"/>
  <c r="P867" s="1"/>
  <c r="H871"/>
  <c r="H875"/>
  <c r="P875" s="1"/>
  <c r="H879"/>
  <c r="H883"/>
  <c r="P883" s="1"/>
  <c r="H887"/>
  <c r="P887" s="1"/>
  <c r="H891"/>
  <c r="P891" s="1"/>
  <c r="H895"/>
  <c r="P895" s="1"/>
  <c r="H899"/>
  <c r="P899" s="1"/>
  <c r="H903"/>
  <c r="P903" s="1"/>
  <c r="H907"/>
  <c r="P907" s="1"/>
  <c r="H911"/>
  <c r="P911" s="1"/>
  <c r="H915"/>
  <c r="P915" s="1"/>
  <c r="H919"/>
  <c r="P919" s="1"/>
  <c r="H923"/>
  <c r="P923" s="1"/>
  <c r="H927"/>
  <c r="P927" s="1"/>
  <c r="H931"/>
  <c r="P931" s="1"/>
  <c r="H935"/>
  <c r="P935" s="1"/>
  <c r="H939"/>
  <c r="P939" s="1"/>
  <c r="H943"/>
  <c r="P943" s="1"/>
  <c r="H947"/>
  <c r="P947" s="1"/>
  <c r="H951"/>
  <c r="P951" s="1"/>
  <c r="H955"/>
  <c r="V955" s="1"/>
  <c r="H959"/>
  <c r="P959" s="1"/>
  <c r="H963"/>
  <c r="P963" s="1"/>
  <c r="H967"/>
  <c r="P967" s="1"/>
  <c r="H971"/>
  <c r="P971" s="1"/>
  <c r="H975"/>
  <c r="P975" s="1"/>
  <c r="H979"/>
  <c r="P979" s="1"/>
  <c r="H983"/>
  <c r="P983" s="1"/>
  <c r="H987"/>
  <c r="P987" s="1"/>
  <c r="H991"/>
  <c r="P991" s="1"/>
  <c r="H995"/>
  <c r="P995" s="1"/>
  <c r="H999"/>
  <c r="P999" s="1"/>
  <c r="H1003"/>
  <c r="P1003" s="1"/>
  <c r="H1007"/>
  <c r="P1007" s="1"/>
  <c r="H1011"/>
  <c r="V1011" s="1"/>
  <c r="H1015"/>
  <c r="P1015" s="1"/>
  <c r="H1019"/>
  <c r="P1019" s="1"/>
  <c r="H1023"/>
  <c r="P1023" s="1"/>
  <c r="H1884"/>
  <c r="P1884" s="1"/>
  <c r="H1880"/>
  <c r="H1876"/>
  <c r="P1876" s="1"/>
  <c r="H1872"/>
  <c r="P1872" s="1"/>
  <c r="H1868"/>
  <c r="P1868" s="1"/>
  <c r="H1864"/>
  <c r="P1864" s="1"/>
  <c r="H1860"/>
  <c r="V1860" s="1"/>
  <c r="H1856"/>
  <c r="P1856" s="1"/>
  <c r="H1852"/>
  <c r="P1852" s="1"/>
  <c r="H1848"/>
  <c r="P1848" s="1"/>
  <c r="H1844"/>
  <c r="V1844" s="1"/>
  <c r="H1840"/>
  <c r="P1840" s="1"/>
  <c r="H1836"/>
  <c r="P1836" s="1"/>
  <c r="H1832"/>
  <c r="P1832" s="1"/>
  <c r="H1828"/>
  <c r="P1828" s="1"/>
  <c r="H1824"/>
  <c r="H1820"/>
  <c r="P1820" s="1"/>
  <c r="H1816"/>
  <c r="P1816" s="1"/>
  <c r="H1812"/>
  <c r="P1812" s="1"/>
  <c r="H1808"/>
  <c r="P1808" s="1"/>
  <c r="H1804"/>
  <c r="P1804" s="1"/>
  <c r="H1800"/>
  <c r="P1800" s="1"/>
  <c r="H1796"/>
  <c r="P1796" s="1"/>
  <c r="H1792"/>
  <c r="P1792" s="1"/>
  <c r="H1788"/>
  <c r="P1788" s="1"/>
  <c r="H1784"/>
  <c r="V1784" s="1"/>
  <c r="H1780"/>
  <c r="P1780" s="1"/>
  <c r="H1776"/>
  <c r="P1776" s="1"/>
  <c r="H1772"/>
  <c r="P1772" s="1"/>
  <c r="H1768"/>
  <c r="H1764"/>
  <c r="P1764" s="1"/>
  <c r="H1760"/>
  <c r="P1760" s="1"/>
  <c r="H1756"/>
  <c r="P1756" s="1"/>
  <c r="H1752"/>
  <c r="H1748"/>
  <c r="P1748" s="1"/>
  <c r="H1744"/>
  <c r="P1744" s="1"/>
  <c r="H1740"/>
  <c r="P1740" s="1"/>
  <c r="H1736"/>
  <c r="P1736" s="1"/>
  <c r="H1732"/>
  <c r="P1732" s="1"/>
  <c r="H1728"/>
  <c r="P1728" s="1"/>
  <c r="H1724"/>
  <c r="P1724" s="1"/>
  <c r="H1720"/>
  <c r="P1720" s="1"/>
  <c r="H1716"/>
  <c r="V1716" s="1"/>
  <c r="H1712"/>
  <c r="H1708"/>
  <c r="H1704"/>
  <c r="P1704" s="1"/>
  <c r="H1700"/>
  <c r="P1700" s="1"/>
  <c r="H1696"/>
  <c r="P1696" s="1"/>
  <c r="H1692"/>
  <c r="P1692" s="1"/>
  <c r="H1688"/>
  <c r="P1688" s="1"/>
  <c r="H1684"/>
  <c r="P1684" s="1"/>
  <c r="H1680"/>
  <c r="P1680" s="1"/>
  <c r="H1676"/>
  <c r="P1676" s="1"/>
  <c r="H1672"/>
  <c r="P1672" s="1"/>
  <c r="H1668"/>
  <c r="P1668" s="1"/>
  <c r="H1664"/>
  <c r="P1664" s="1"/>
  <c r="H1660"/>
  <c r="P1660" s="1"/>
  <c r="H1656"/>
  <c r="H1652"/>
  <c r="P1652" s="1"/>
  <c r="H1648"/>
  <c r="P1648" s="1"/>
  <c r="H1644"/>
  <c r="P1644" s="1"/>
  <c r="H1640"/>
  <c r="P1640" s="1"/>
  <c r="H1636"/>
  <c r="P1636" s="1"/>
  <c r="H1632"/>
  <c r="H1628"/>
  <c r="P1628" s="1"/>
  <c r="H1624"/>
  <c r="P1624" s="1"/>
  <c r="H1620"/>
  <c r="P1620" s="1"/>
  <c r="H1616"/>
  <c r="P1616" s="1"/>
  <c r="H1612"/>
  <c r="P1612" s="1"/>
  <c r="H1608"/>
  <c r="P1608" s="1"/>
  <c r="H1604"/>
  <c r="P1604" s="1"/>
  <c r="H1600"/>
  <c r="P1600" s="1"/>
  <c r="H1596"/>
  <c r="P1596" s="1"/>
  <c r="H1592"/>
  <c r="V1592" s="1"/>
  <c r="H1588"/>
  <c r="V1588" s="1"/>
  <c r="H1584"/>
  <c r="P1584" s="1"/>
  <c r="H1580"/>
  <c r="P1580" s="1"/>
  <c r="H1576"/>
  <c r="P1576" s="1"/>
  <c r="H1572"/>
  <c r="P1572" s="1"/>
  <c r="H1568"/>
  <c r="P1568" s="1"/>
  <c r="H1564"/>
  <c r="P1564" s="1"/>
  <c r="H1560"/>
  <c r="P1560" s="1"/>
  <c r="H1556"/>
  <c r="P1556" s="1"/>
  <c r="H1552"/>
  <c r="P1552" s="1"/>
  <c r="H1548"/>
  <c r="P1548" s="1"/>
  <c r="H1544"/>
  <c r="P1544" s="1"/>
  <c r="H1540"/>
  <c r="P1540" s="1"/>
  <c r="H1536"/>
  <c r="P1536" s="1"/>
  <c r="H1532"/>
  <c r="P1532" s="1"/>
  <c r="H1528"/>
  <c r="P1528" s="1"/>
  <c r="H1524"/>
  <c r="P1524" s="1"/>
  <c r="H1520"/>
  <c r="P1520" s="1"/>
  <c r="H1516"/>
  <c r="P1516" s="1"/>
  <c r="H1512"/>
  <c r="P1512" s="1"/>
  <c r="H1508"/>
  <c r="H1504"/>
  <c r="H1500"/>
  <c r="P1500" s="1"/>
  <c r="H1496"/>
  <c r="P1496" s="1"/>
  <c r="H1492"/>
  <c r="H1488"/>
  <c r="P1488" s="1"/>
  <c r="H1484"/>
  <c r="H1480"/>
  <c r="P1480" s="1"/>
  <c r="H1476"/>
  <c r="P1476" s="1"/>
  <c r="H1472"/>
  <c r="P1472" s="1"/>
  <c r="H1468"/>
  <c r="P1468" s="1"/>
  <c r="H1464"/>
  <c r="P1464" s="1"/>
  <c r="H1460"/>
  <c r="P1460" s="1"/>
  <c r="H1456"/>
  <c r="P1456" s="1"/>
  <c r="H1452"/>
  <c r="P1452" s="1"/>
  <c r="H1448"/>
  <c r="P1448" s="1"/>
  <c r="H1444"/>
  <c r="P1444" s="1"/>
  <c r="H1440"/>
  <c r="P1440" s="1"/>
  <c r="H1436"/>
  <c r="P1436" s="1"/>
  <c r="H1432"/>
  <c r="P1432" s="1"/>
  <c r="H1428"/>
  <c r="P1428" s="1"/>
  <c r="H1424"/>
  <c r="P1424" s="1"/>
  <c r="H1420"/>
  <c r="P1420" s="1"/>
  <c r="H1416"/>
  <c r="P1416" s="1"/>
  <c r="H1412"/>
  <c r="P1412" s="1"/>
  <c r="H1408"/>
  <c r="P1408" s="1"/>
  <c r="H1404"/>
  <c r="P1404" s="1"/>
  <c r="H1400"/>
  <c r="P1400" s="1"/>
  <c r="H1396"/>
  <c r="P1396" s="1"/>
  <c r="H1392"/>
  <c r="P1392" s="1"/>
  <c r="H1388"/>
  <c r="P1388" s="1"/>
  <c r="H1384"/>
  <c r="P1384" s="1"/>
  <c r="H1380"/>
  <c r="P1380" s="1"/>
  <c r="H1376"/>
  <c r="P1376" s="1"/>
  <c r="H1372"/>
  <c r="P1372" s="1"/>
  <c r="H1368"/>
  <c r="P1368" s="1"/>
  <c r="H1364"/>
  <c r="P1364" s="1"/>
  <c r="H1360"/>
  <c r="P1360" s="1"/>
  <c r="H1356"/>
  <c r="P1356" s="1"/>
  <c r="H1352"/>
  <c r="P1352" s="1"/>
  <c r="H1348"/>
  <c r="H1344"/>
  <c r="H1340"/>
  <c r="P1340" s="1"/>
  <c r="H1336"/>
  <c r="H1332"/>
  <c r="P1332" s="1"/>
  <c r="H1328"/>
  <c r="H1324"/>
  <c r="P1324" s="1"/>
  <c r="H1320"/>
  <c r="P1320" s="1"/>
  <c r="H1316"/>
  <c r="P1316" s="1"/>
  <c r="H1312"/>
  <c r="H1308"/>
  <c r="P1308" s="1"/>
  <c r="H1304"/>
  <c r="P1304" s="1"/>
  <c r="H1300"/>
  <c r="P1300" s="1"/>
  <c r="H1296"/>
  <c r="P1296" s="1"/>
  <c r="H1292"/>
  <c r="P1292" s="1"/>
  <c r="H1288"/>
  <c r="P1288" s="1"/>
  <c r="H1284"/>
  <c r="P1284" s="1"/>
  <c r="H1280"/>
  <c r="P1280" s="1"/>
  <c r="H1276"/>
  <c r="P1276" s="1"/>
  <c r="H1272"/>
  <c r="P1272" s="1"/>
  <c r="H1268"/>
  <c r="V1268" s="1"/>
  <c r="H1264"/>
  <c r="P1264" s="1"/>
  <c r="H1260"/>
  <c r="P1260" s="1"/>
  <c r="H1256"/>
  <c r="P1256" s="1"/>
  <c r="H1252"/>
  <c r="P1252" s="1"/>
  <c r="H1248"/>
  <c r="P1248" s="1"/>
  <c r="H1244"/>
  <c r="P1244" s="1"/>
  <c r="H1240"/>
  <c r="P1240" s="1"/>
  <c r="H1236"/>
  <c r="P1236" s="1"/>
  <c r="H1232"/>
  <c r="P1232" s="1"/>
  <c r="H1228"/>
  <c r="P1228" s="1"/>
  <c r="H1224"/>
  <c r="P1224" s="1"/>
  <c r="H1220"/>
  <c r="P1220" s="1"/>
  <c r="H1216"/>
  <c r="P1216" s="1"/>
  <c r="H1212"/>
  <c r="P1212" s="1"/>
  <c r="H1208"/>
  <c r="P1208" s="1"/>
  <c r="H1204"/>
  <c r="P1204" s="1"/>
  <c r="H1200"/>
  <c r="P1200" s="1"/>
  <c r="H1196"/>
  <c r="P1196" s="1"/>
  <c r="H1192"/>
  <c r="P1192" s="1"/>
  <c r="H1188"/>
  <c r="P1188" s="1"/>
  <c r="H1184"/>
  <c r="P1184" s="1"/>
  <c r="H1180"/>
  <c r="P1180" s="1"/>
  <c r="H1176"/>
  <c r="P1176" s="1"/>
  <c r="H1172"/>
  <c r="P1172" s="1"/>
  <c r="H1168"/>
  <c r="P1168" s="1"/>
  <c r="H1164"/>
  <c r="P1164" s="1"/>
  <c r="H1160"/>
  <c r="P1160" s="1"/>
  <c r="H1156"/>
  <c r="P1156" s="1"/>
  <c r="H1152"/>
  <c r="P1152" s="1"/>
  <c r="H1148"/>
  <c r="P1148" s="1"/>
  <c r="H1144"/>
  <c r="P1144" s="1"/>
  <c r="H1140"/>
  <c r="P1140" s="1"/>
  <c r="H1136"/>
  <c r="P1136" s="1"/>
  <c r="H1132"/>
  <c r="P1132" s="1"/>
  <c r="H1128"/>
  <c r="H1124"/>
  <c r="P1124" s="1"/>
  <c r="H1120"/>
  <c r="P1120" s="1"/>
  <c r="H1116"/>
  <c r="P1116" s="1"/>
  <c r="H1112"/>
  <c r="P1112" s="1"/>
  <c r="H1108"/>
  <c r="P1108" s="1"/>
  <c r="H1104"/>
  <c r="P1104" s="1"/>
  <c r="H1100"/>
  <c r="P1100" s="1"/>
  <c r="H1096"/>
  <c r="P1096" s="1"/>
  <c r="H1092"/>
  <c r="P1092" s="1"/>
  <c r="H1088"/>
  <c r="P1088" s="1"/>
  <c r="H1084"/>
  <c r="P1084" s="1"/>
  <c r="H1080"/>
  <c r="P1080" s="1"/>
  <c r="H1076"/>
  <c r="V1076" s="1"/>
  <c r="H1072"/>
  <c r="P1072" s="1"/>
  <c r="H1068"/>
  <c r="P1068" s="1"/>
  <c r="H1064"/>
  <c r="P1064" s="1"/>
  <c r="H1060"/>
  <c r="P1060" s="1"/>
  <c r="H1056"/>
  <c r="P1056" s="1"/>
  <c r="H1052"/>
  <c r="H1048"/>
  <c r="P1048" s="1"/>
  <c r="H1044"/>
  <c r="P1044" s="1"/>
  <c r="H1040"/>
  <c r="P1040" s="1"/>
  <c r="H1036"/>
  <c r="P1036" s="1"/>
  <c r="H1032"/>
  <c r="P1032" s="1"/>
  <c r="H1028"/>
  <c r="P1028" s="1"/>
  <c r="H1021"/>
  <c r="P1021" s="1"/>
  <c r="H1013"/>
  <c r="M29" i="4" s="1"/>
  <c r="H1005" i="1"/>
  <c r="P1005" s="1"/>
  <c r="H997"/>
  <c r="P997" s="1"/>
  <c r="H989"/>
  <c r="P989" s="1"/>
  <c r="H981"/>
  <c r="P981" s="1"/>
  <c r="H973"/>
  <c r="P973" s="1"/>
  <c r="H965"/>
  <c r="P965" s="1"/>
  <c r="H957"/>
  <c r="P957" s="1"/>
  <c r="H949"/>
  <c r="P949" s="1"/>
  <c r="H941"/>
  <c r="P941" s="1"/>
  <c r="H933"/>
  <c r="P933" s="1"/>
  <c r="H925"/>
  <c r="P925" s="1"/>
  <c r="H917"/>
  <c r="P917" s="1"/>
  <c r="H909"/>
  <c r="P909" s="1"/>
  <c r="H901"/>
  <c r="P901" s="1"/>
  <c r="H893"/>
  <c r="P893" s="1"/>
  <c r="H885"/>
  <c r="P885" s="1"/>
  <c r="H877"/>
  <c r="P877" s="1"/>
  <c r="H869"/>
  <c r="P869" s="1"/>
  <c r="H861"/>
  <c r="P861" s="1"/>
  <c r="H853"/>
  <c r="P853" s="1"/>
  <c r="H845"/>
  <c r="P845" s="1"/>
  <c r="H837"/>
  <c r="P837" s="1"/>
  <c r="H829"/>
  <c r="H821"/>
  <c r="P821" s="1"/>
  <c r="H813"/>
  <c r="P813" s="1"/>
  <c r="F15" i="2"/>
  <c r="F17"/>
  <c r="F19"/>
  <c r="F16"/>
  <c r="P812" i="1"/>
  <c r="V1473"/>
  <c r="V812"/>
  <c r="K6" i="2"/>
  <c r="L6"/>
  <c r="G6"/>
  <c r="J6"/>
  <c r="C6"/>
  <c r="H6"/>
  <c r="F6"/>
  <c r="E6"/>
  <c r="I6"/>
  <c r="D6"/>
  <c r="V1121" i="1" l="1"/>
  <c r="V1024"/>
  <c r="V1793"/>
  <c r="V1610"/>
  <c r="V1137"/>
  <c r="V1697"/>
  <c r="V992"/>
  <c r="P960"/>
  <c r="V1185"/>
  <c r="V1514"/>
  <c r="V1834"/>
  <c r="M72" i="4"/>
  <c r="V1617" i="1"/>
  <c r="V1313"/>
  <c r="V1393"/>
  <c r="V1649"/>
  <c r="V1585"/>
  <c r="V1441"/>
  <c r="V1706"/>
  <c r="P1569"/>
  <c r="V1361"/>
  <c r="V1665"/>
  <c r="V1169"/>
  <c r="V1521"/>
  <c r="V1729"/>
  <c r="P832"/>
  <c r="V1717"/>
  <c r="V1781"/>
  <c r="V698"/>
  <c r="V262"/>
  <c r="V1493"/>
  <c r="V1253"/>
  <c r="V342"/>
  <c r="V1799"/>
  <c r="V1482"/>
  <c r="V1489"/>
  <c r="V1466"/>
  <c r="V1041"/>
  <c r="V1002"/>
  <c r="V858"/>
  <c r="V1841"/>
  <c r="V1738"/>
  <c r="V1873"/>
  <c r="V1425"/>
  <c r="V1297"/>
  <c r="V1153"/>
  <c r="V596"/>
  <c r="P1809"/>
  <c r="P1546"/>
  <c r="P1761"/>
  <c r="V1578"/>
  <c r="V1505"/>
  <c r="V1537"/>
  <c r="V1345"/>
  <c r="V1217"/>
  <c r="V928"/>
  <c r="V1265"/>
  <c r="V1057"/>
  <c r="V1777"/>
  <c r="V1267"/>
  <c r="V137"/>
  <c r="P1882"/>
  <c r="V881"/>
  <c r="V1098"/>
  <c r="V1770"/>
  <c r="M81" i="4"/>
  <c r="V1651" i="1"/>
  <c r="V1813"/>
  <c r="P198"/>
  <c r="V149"/>
  <c r="V1157"/>
  <c r="V53"/>
  <c r="P872"/>
  <c r="V288"/>
  <c r="V1285"/>
  <c r="V1701"/>
  <c r="V1447"/>
  <c r="V1214"/>
  <c r="V1031"/>
  <c r="V889"/>
  <c r="V1621"/>
  <c r="V1445"/>
  <c r="V1653"/>
  <c r="V1845"/>
  <c r="V1797"/>
  <c r="V389"/>
  <c r="P904"/>
  <c r="V1429"/>
  <c r="V1461"/>
  <c r="P575"/>
  <c r="V975"/>
  <c r="V175"/>
  <c r="V474"/>
  <c r="V1603"/>
  <c r="V1843"/>
  <c r="P250"/>
  <c r="V945"/>
  <c r="P1523"/>
  <c r="V1825"/>
  <c r="V1859"/>
  <c r="V1226"/>
  <c r="V1201"/>
  <c r="V1642"/>
  <c r="V1722"/>
  <c r="V1105"/>
  <c r="V864"/>
  <c r="V1681"/>
  <c r="V1377"/>
  <c r="V1409"/>
  <c r="V1601"/>
  <c r="V1786"/>
  <c r="V1434"/>
  <c r="V1745"/>
  <c r="V1633"/>
  <c r="V1089"/>
  <c r="V1457"/>
  <c r="V896"/>
  <c r="V671"/>
  <c r="V564"/>
  <c r="V1249"/>
  <c r="P1066"/>
  <c r="V1050"/>
  <c r="V1571"/>
  <c r="V649"/>
  <c r="V1802"/>
  <c r="V751"/>
  <c r="V1370"/>
  <c r="V778"/>
  <c r="V682"/>
  <c r="V1322"/>
  <c r="V361"/>
  <c r="V164"/>
  <c r="V538"/>
  <c r="V276"/>
  <c r="V1683"/>
  <c r="V1034"/>
  <c r="V1210"/>
  <c r="V1258"/>
  <c r="V1146"/>
  <c r="V1763"/>
  <c r="V1667"/>
  <c r="V1274"/>
  <c r="V1594"/>
  <c r="V1795"/>
  <c r="V1562"/>
  <c r="V1674"/>
  <c r="V1043"/>
  <c r="V1402"/>
  <c r="V1587"/>
  <c r="V730"/>
  <c r="V1107"/>
  <c r="P1827"/>
  <c r="V1155"/>
  <c r="V849"/>
  <c r="V458"/>
  <c r="V913"/>
  <c r="V1498"/>
  <c r="V324"/>
  <c r="V1162"/>
  <c r="V1850"/>
  <c r="V1626"/>
  <c r="V1866"/>
  <c r="V810"/>
  <c r="V1386"/>
  <c r="V665"/>
  <c r="V1251"/>
  <c r="V1178"/>
  <c r="V1754"/>
  <c r="V1114"/>
  <c r="V1530"/>
  <c r="V1731"/>
  <c r="V1242"/>
  <c r="V1699"/>
  <c r="V1082"/>
  <c r="V1635"/>
  <c r="V313"/>
  <c r="V1194"/>
  <c r="V1354"/>
  <c r="V1811"/>
  <c r="V977"/>
  <c r="V1875"/>
  <c r="V1338"/>
  <c r="V1619"/>
  <c r="V817"/>
  <c r="V1411"/>
  <c r="V964"/>
  <c r="V100"/>
  <c r="V1747"/>
  <c r="V1379"/>
  <c r="V521"/>
  <c r="V1779"/>
  <c r="V1555"/>
  <c r="P228"/>
  <c r="M86" i="4"/>
  <c r="V1203" i="1"/>
  <c r="V287"/>
  <c r="V655"/>
  <c r="V911"/>
  <c r="V1456"/>
  <c r="V1264"/>
  <c r="V207"/>
  <c r="V762"/>
  <c r="P612"/>
  <c r="V409"/>
  <c r="V442"/>
  <c r="V297"/>
  <c r="V303"/>
  <c r="V404"/>
  <c r="V511"/>
  <c r="M20" i="4"/>
  <c r="P138" i="1"/>
  <c r="V447"/>
  <c r="V431"/>
  <c r="V559"/>
  <c r="V27"/>
  <c r="V80"/>
  <c r="V485"/>
  <c r="M5" i="4"/>
  <c r="V1735" i="1"/>
  <c r="V214"/>
  <c r="V1255"/>
  <c r="V1004"/>
  <c r="V315"/>
  <c r="V1822"/>
  <c r="V725"/>
  <c r="V825"/>
  <c r="V453"/>
  <c r="V438"/>
  <c r="V822"/>
  <c r="V1566"/>
  <c r="M43" i="4"/>
  <c r="P972" i="1"/>
  <c r="P1278"/>
  <c r="V1589"/>
  <c r="V1351"/>
  <c r="V1637"/>
  <c r="V581"/>
  <c r="V1175"/>
  <c r="V661"/>
  <c r="V1038"/>
  <c r="V1093"/>
  <c r="V1349"/>
  <c r="V1262"/>
  <c r="V859"/>
  <c r="V773"/>
  <c r="V694"/>
  <c r="V448"/>
  <c r="V1141"/>
  <c r="V758"/>
  <c r="V1710"/>
  <c r="V1358"/>
  <c r="V1541"/>
  <c r="V1655"/>
  <c r="V374"/>
  <c r="V1143"/>
  <c r="V805"/>
  <c r="V1639"/>
  <c r="P840"/>
  <c r="P1815"/>
  <c r="P955"/>
  <c r="P1591"/>
  <c r="P1694"/>
  <c r="V1790"/>
  <c r="V1573"/>
  <c r="V843"/>
  <c r="V208"/>
  <c r="V1239"/>
  <c r="V1205"/>
  <c r="V203"/>
  <c r="V908"/>
  <c r="V1413"/>
  <c r="V1061"/>
  <c r="V1598"/>
  <c r="V1687"/>
  <c r="V1127"/>
  <c r="V940"/>
  <c r="V1733"/>
  <c r="V1518"/>
  <c r="V1070"/>
  <c r="V486"/>
  <c r="V1767"/>
  <c r="V1605"/>
  <c r="P1774"/>
  <c r="V1707"/>
  <c r="V1387"/>
  <c r="V865"/>
  <c r="V1419"/>
  <c r="V1355"/>
  <c r="V1385"/>
  <c r="V98"/>
  <c r="V1618"/>
  <c r="V1730"/>
  <c r="P1851"/>
  <c r="V433"/>
  <c r="V1257"/>
  <c r="V912"/>
  <c r="V1451"/>
  <c r="V1737"/>
  <c r="V258"/>
  <c r="V897"/>
  <c r="V1563"/>
  <c r="V12"/>
  <c r="V1384"/>
  <c r="V1529"/>
  <c r="V1817"/>
  <c r="V1369"/>
  <c r="V1097"/>
  <c r="V1033"/>
  <c r="P1755"/>
  <c r="P123"/>
  <c r="V1776"/>
  <c r="V1648"/>
  <c r="V1520"/>
  <c r="V991"/>
  <c r="V1584"/>
  <c r="V1376"/>
  <c r="V1184"/>
  <c r="V1840"/>
  <c r="V1104"/>
  <c r="V861"/>
  <c r="V989"/>
  <c r="V893"/>
  <c r="V1296"/>
  <c r="V1572"/>
  <c r="V1796"/>
  <c r="V1780"/>
  <c r="V1284"/>
  <c r="V997"/>
  <c r="V869"/>
  <c r="V1540"/>
  <c r="V1460"/>
  <c r="V709"/>
  <c r="V1220"/>
  <c r="V1732"/>
  <c r="V789"/>
  <c r="V256"/>
  <c r="V224"/>
  <c r="M57" i="4"/>
  <c r="P299" i="1"/>
  <c r="V1236"/>
  <c r="V907"/>
  <c r="V1652"/>
  <c r="V571"/>
  <c r="V1684"/>
  <c r="V475"/>
  <c r="V171"/>
  <c r="V683"/>
  <c r="V688"/>
  <c r="V699"/>
  <c r="V507"/>
  <c r="V1204"/>
  <c r="V81"/>
  <c r="V491"/>
  <c r="V1156"/>
  <c r="V252"/>
  <c r="V91"/>
  <c r="V1812"/>
  <c r="V704"/>
  <c r="P1716"/>
  <c r="P656"/>
  <c r="P5"/>
  <c r="P193"/>
  <c r="V395"/>
  <c r="V1399"/>
  <c r="V1678"/>
  <c r="V533"/>
  <c r="V373"/>
  <c r="V795"/>
  <c r="V1828"/>
  <c r="V96"/>
  <c r="V117"/>
  <c r="V443"/>
  <c r="V886"/>
  <c r="V1332"/>
  <c r="V1604"/>
  <c r="V352"/>
  <c r="V1060"/>
  <c r="V736"/>
  <c r="V246"/>
  <c r="V875"/>
  <c r="V432"/>
  <c r="V747"/>
  <c r="V112"/>
  <c r="V1476"/>
  <c r="V1166"/>
  <c r="V720"/>
  <c r="V1783"/>
  <c r="V1326"/>
  <c r="V43"/>
  <c r="V985"/>
  <c r="V555"/>
  <c r="V918"/>
  <c r="V357"/>
  <c r="V1726"/>
  <c r="V1758"/>
  <c r="V667"/>
  <c r="V1125"/>
  <c r="V37"/>
  <c r="V1463"/>
  <c r="V1511"/>
  <c r="V502"/>
  <c r="M34" i="4"/>
  <c r="M21"/>
  <c r="P870" i="1"/>
  <c r="P1525"/>
  <c r="P213"/>
  <c r="P219"/>
  <c r="P1799"/>
  <c r="P1588"/>
  <c r="P1860"/>
  <c r="P1534"/>
  <c r="P731"/>
  <c r="P1838"/>
  <c r="V1806"/>
  <c r="V293"/>
  <c r="V1486"/>
  <c r="V421"/>
  <c r="V965"/>
  <c r="V1063"/>
  <c r="P454"/>
  <c r="V534"/>
  <c r="V517"/>
  <c r="V806"/>
  <c r="V182"/>
  <c r="V1319"/>
  <c r="V411"/>
  <c r="V1630"/>
  <c r="V22"/>
  <c r="V763"/>
  <c r="V1495"/>
  <c r="V550"/>
  <c r="V1444"/>
  <c r="V608"/>
  <c r="V48"/>
  <c r="V1342"/>
  <c r="V1748"/>
  <c r="V368"/>
  <c r="V427"/>
  <c r="V437"/>
  <c r="V1454"/>
  <c r="V752"/>
  <c r="V603"/>
  <c r="V464"/>
  <c r="V1044"/>
  <c r="V1671"/>
  <c r="V336"/>
  <c r="V310"/>
  <c r="V1054"/>
  <c r="V1191"/>
  <c r="V16"/>
  <c r="V901"/>
  <c r="V742"/>
  <c r="V934"/>
  <c r="V1575"/>
  <c r="V1556"/>
  <c r="V1230"/>
  <c r="V1438"/>
  <c r="V677"/>
  <c r="V1301"/>
  <c r="V326"/>
  <c r="V715"/>
  <c r="V1623"/>
  <c r="M76" i="4"/>
  <c r="V662" i="1"/>
  <c r="P187"/>
  <c r="V582"/>
  <c r="V933"/>
  <c r="V1479"/>
  <c r="V757"/>
  <c r="V966"/>
  <c r="V1047"/>
  <c r="V139"/>
  <c r="V1582"/>
  <c r="V587"/>
  <c r="V229"/>
  <c r="V1310"/>
  <c r="V1381"/>
  <c r="V854"/>
  <c r="V1316"/>
  <c r="V128"/>
  <c r="V1188"/>
  <c r="V331"/>
  <c r="V939"/>
  <c r="V1079"/>
  <c r="V1527"/>
  <c r="V1014"/>
  <c r="V405"/>
  <c r="V646"/>
  <c r="V987"/>
  <c r="V118"/>
  <c r="V102"/>
  <c r="V1335"/>
  <c r="V629"/>
  <c r="V11"/>
  <c r="V1719"/>
  <c r="V619"/>
  <c r="V640"/>
  <c r="V283"/>
  <c r="V950"/>
  <c r="V320"/>
  <c r="V1317"/>
  <c r="V416"/>
  <c r="V1198"/>
  <c r="V1861"/>
  <c r="V528"/>
  <c r="V549"/>
  <c r="V1029"/>
  <c r="V921"/>
  <c r="V1557"/>
  <c r="V1017"/>
  <c r="V85"/>
  <c r="V101"/>
  <c r="V1876"/>
  <c r="V790"/>
  <c r="V150"/>
  <c r="V1620"/>
  <c r="V379"/>
  <c r="V496"/>
  <c r="V1028"/>
  <c r="V400"/>
  <c r="V800"/>
  <c r="V144"/>
  <c r="V1397"/>
  <c r="V1189"/>
  <c r="V779"/>
  <c r="V64"/>
  <c r="V1333"/>
  <c r="V134"/>
  <c r="V512"/>
  <c r="V1422"/>
  <c r="V1863"/>
  <c r="V1877"/>
  <c r="V480"/>
  <c r="V1550"/>
  <c r="V1509"/>
  <c r="V1524"/>
  <c r="V390"/>
  <c r="V422"/>
  <c r="V1431"/>
  <c r="V1303"/>
  <c r="V1140"/>
  <c r="V133"/>
  <c r="V197"/>
  <c r="V1543"/>
  <c r="V1428"/>
  <c r="V38"/>
  <c r="V1003"/>
  <c r="V384"/>
  <c r="V1172"/>
  <c r="V1102"/>
  <c r="V544"/>
  <c r="V635"/>
  <c r="V576"/>
  <c r="V651"/>
  <c r="V1847"/>
  <c r="V844"/>
  <c r="V891"/>
  <c r="V1221"/>
  <c r="M13" i="4"/>
  <c r="P1223" i="1"/>
  <c r="P245"/>
  <c r="P1268"/>
  <c r="P1287"/>
  <c r="P1077"/>
  <c r="V1390"/>
  <c r="V165"/>
  <c r="P1844"/>
  <c r="V1300"/>
  <c r="V501"/>
  <c r="V1108"/>
  <c r="V953"/>
  <c r="V230"/>
  <c r="V1237"/>
  <c r="V1092"/>
  <c r="V107"/>
  <c r="V1159"/>
  <c r="V251"/>
  <c r="V968"/>
  <c r="V982"/>
  <c r="V1470"/>
  <c r="V539"/>
  <c r="V1364"/>
  <c r="V597"/>
  <c r="V1086"/>
  <c r="V1095"/>
  <c r="V672"/>
  <c r="V1879"/>
  <c r="V923"/>
  <c r="V1019"/>
  <c r="V902"/>
  <c r="V1614"/>
  <c r="V808"/>
  <c r="V1669"/>
  <c r="V75"/>
  <c r="V1668"/>
  <c r="V1111"/>
  <c r="V277"/>
  <c r="V1134"/>
  <c r="V341"/>
  <c r="V1294"/>
  <c r="V267"/>
  <c r="V1150"/>
  <c r="V1751"/>
  <c r="V768"/>
  <c r="V240"/>
  <c r="V272"/>
  <c r="V1685"/>
  <c r="V459"/>
  <c r="V1383"/>
  <c r="V1380"/>
  <c r="V235"/>
  <c r="V936"/>
  <c r="V1559"/>
  <c r="V1854"/>
  <c r="V86"/>
  <c r="V32"/>
  <c r="V469"/>
  <c r="V358"/>
  <c r="V1207"/>
  <c r="V192"/>
  <c r="V624"/>
  <c r="V1700"/>
  <c r="V774"/>
  <c r="V166"/>
  <c r="V309"/>
  <c r="V592"/>
  <c r="V59"/>
  <c r="V69"/>
  <c r="V1109"/>
  <c r="V1749"/>
  <c r="V1607"/>
  <c r="V565"/>
  <c r="V1662"/>
  <c r="V1415"/>
  <c r="V1412"/>
  <c r="V1269"/>
  <c r="V363"/>
  <c r="V741"/>
  <c r="V1742"/>
  <c r="V1182"/>
  <c r="V784"/>
  <c r="V811"/>
  <c r="V70"/>
  <c r="V1764"/>
  <c r="V998"/>
  <c r="V1636"/>
  <c r="V1831"/>
  <c r="V304"/>
  <c r="V710"/>
  <c r="V1502"/>
  <c r="V614"/>
  <c r="V347"/>
  <c r="V54"/>
  <c r="V1477"/>
  <c r="V1765"/>
  <c r="V857"/>
  <c r="M88" i="4"/>
  <c r="M25"/>
  <c r="V726" i="1"/>
  <c r="V876"/>
  <c r="M70" i="4"/>
  <c r="V17" i="1"/>
  <c r="V108"/>
  <c r="V1099"/>
  <c r="V1673"/>
  <c r="V1858"/>
  <c r="V1225"/>
  <c r="V1202"/>
  <c r="V1145"/>
  <c r="V1081"/>
  <c r="V961"/>
  <c r="V1177"/>
  <c r="V880"/>
  <c r="V1378"/>
  <c r="V71"/>
  <c r="V848"/>
  <c r="V1467"/>
  <c r="V1307"/>
  <c r="V1531"/>
  <c r="V818"/>
  <c r="V1115"/>
  <c r="V994"/>
  <c r="V1266"/>
  <c r="V524"/>
  <c r="V530"/>
  <c r="V1666"/>
  <c r="V1282"/>
  <c r="V1218"/>
  <c r="V401"/>
  <c r="V188"/>
  <c r="V7"/>
  <c r="V786"/>
  <c r="V748"/>
  <c r="V498"/>
  <c r="V852"/>
  <c r="V146"/>
  <c r="V711"/>
  <c r="V402"/>
  <c r="V1291"/>
  <c r="V215"/>
  <c r="V916"/>
  <c r="V34"/>
  <c r="V700"/>
  <c r="V359"/>
  <c r="V588"/>
  <c r="V1012"/>
  <c r="V412"/>
  <c r="V1259"/>
  <c r="V178"/>
  <c r="V514"/>
  <c r="P626"/>
  <c r="V65"/>
  <c r="V1442"/>
  <c r="V1691"/>
  <c r="V44"/>
  <c r="V993"/>
  <c r="V1739"/>
  <c r="V290"/>
  <c r="V962"/>
  <c r="V823"/>
  <c r="V247"/>
  <c r="V465"/>
  <c r="V1826"/>
  <c r="V770"/>
  <c r="V1051"/>
  <c r="V1688"/>
  <c r="V194"/>
  <c r="V135"/>
  <c r="V39"/>
  <c r="V204"/>
  <c r="V884"/>
  <c r="V1129"/>
  <c r="V66"/>
  <c r="V1769"/>
  <c r="V1753"/>
  <c r="V1506"/>
  <c r="V87"/>
  <c r="V428"/>
  <c r="V1273"/>
  <c r="V1481"/>
  <c r="V1241"/>
  <c r="V1394"/>
  <c r="V1641"/>
  <c r="V796"/>
  <c r="V1243"/>
  <c r="V978"/>
  <c r="V1211"/>
  <c r="V1634"/>
  <c r="V1400"/>
  <c r="V369"/>
  <c r="V722"/>
  <c r="V625"/>
  <c r="V785"/>
  <c r="V1138"/>
  <c r="V594"/>
  <c r="V119"/>
  <c r="V289"/>
  <c r="V1304"/>
  <c r="V1010"/>
  <c r="V242"/>
  <c r="V1113"/>
  <c r="V1353"/>
  <c r="V380"/>
  <c r="V1720"/>
  <c r="V561"/>
  <c r="V1008"/>
  <c r="V1867"/>
  <c r="V1025"/>
  <c r="V1499"/>
  <c r="V1314"/>
  <c r="V674"/>
  <c r="V1163"/>
  <c r="V156"/>
  <c r="V1705"/>
  <c r="M16" i="4"/>
  <c r="V1734" i="1"/>
  <c r="V264"/>
  <c r="P1366"/>
  <c r="V1670"/>
  <c r="V1096"/>
  <c r="V1240"/>
  <c r="V1032"/>
  <c r="P1784"/>
  <c r="M41" i="4"/>
  <c r="V343" i="1"/>
  <c r="V1224"/>
  <c r="V1432"/>
  <c r="V439"/>
  <c r="V615"/>
  <c r="V1448"/>
  <c r="V919"/>
  <c r="V535"/>
  <c r="V1288"/>
  <c r="V679"/>
  <c r="V668"/>
  <c r="V1416"/>
  <c r="V279"/>
  <c r="V1512"/>
  <c r="V1005"/>
  <c r="V1544"/>
  <c r="V813"/>
  <c r="V914"/>
  <c r="V1464"/>
  <c r="V689"/>
  <c r="V1048"/>
  <c r="V327"/>
  <c r="V593"/>
  <c r="V641"/>
  <c r="V684"/>
  <c r="V567"/>
  <c r="V775"/>
  <c r="V658"/>
  <c r="V103"/>
  <c r="V1672"/>
  <c r="V909"/>
  <c r="V183"/>
  <c r="V578"/>
  <c r="V562"/>
  <c r="V508"/>
  <c r="V716"/>
  <c r="V161"/>
  <c r="V482"/>
  <c r="V519"/>
  <c r="V130"/>
  <c r="V295"/>
  <c r="V1624"/>
  <c r="V418"/>
  <c r="V487"/>
  <c r="V449"/>
  <c r="M55" i="4"/>
  <c r="P1675" i="1"/>
  <c r="P1592"/>
  <c r="V948"/>
  <c r="V1227"/>
  <c r="V332"/>
  <c r="V1595"/>
  <c r="V1714"/>
  <c r="V1625"/>
  <c r="V1026"/>
  <c r="V1330"/>
  <c r="V1627"/>
  <c r="V1170"/>
  <c r="V780"/>
  <c r="V1368"/>
  <c r="V1147"/>
  <c r="V1528"/>
  <c r="V1778"/>
  <c r="V113"/>
  <c r="V199"/>
  <c r="V690"/>
  <c r="V1064"/>
  <c r="V284"/>
  <c r="V423"/>
  <c r="V529"/>
  <c r="V386"/>
  <c r="V882"/>
  <c r="V1490"/>
  <c r="V737"/>
  <c r="V114"/>
  <c r="V1321"/>
  <c r="V1458"/>
  <c r="V850"/>
  <c r="V1865"/>
  <c r="V1864"/>
  <c r="V1234"/>
  <c r="V492"/>
  <c r="V1698"/>
  <c r="V1640"/>
  <c r="V1122"/>
  <c r="V1682"/>
  <c r="V444"/>
  <c r="V162"/>
  <c r="V97"/>
  <c r="V727"/>
  <c r="V1736"/>
  <c r="V370"/>
  <c r="V636"/>
  <c r="V657"/>
  <c r="V1480"/>
  <c r="V241"/>
  <c r="V980"/>
  <c r="V951"/>
  <c r="V1401"/>
  <c r="V866"/>
  <c r="V225"/>
  <c r="V610"/>
  <c r="V391"/>
  <c r="V1586"/>
  <c r="V551"/>
  <c r="V754"/>
  <c r="V274"/>
  <c r="V583"/>
  <c r="V1176"/>
  <c r="V620"/>
  <c r="V1083"/>
  <c r="V807"/>
  <c r="V764"/>
  <c r="V1371"/>
  <c r="V1067"/>
  <c r="V1554"/>
  <c r="V236"/>
  <c r="V82"/>
  <c r="V364"/>
  <c r="V738"/>
  <c r="V1449"/>
  <c r="V1515"/>
  <c r="V1179"/>
  <c r="V145"/>
  <c r="V845"/>
  <c r="V354"/>
  <c r="V481"/>
  <c r="V935"/>
  <c r="V1160"/>
  <c r="V1090"/>
  <c r="V1193"/>
  <c r="V999"/>
  <c r="V609"/>
  <c r="V540"/>
  <c r="V1833"/>
  <c r="V1816"/>
  <c r="V1433"/>
  <c r="V1320"/>
  <c r="V1410"/>
  <c r="V1602"/>
  <c r="V983"/>
  <c r="V1689"/>
  <c r="V151"/>
  <c r="V1801"/>
  <c r="V1154"/>
  <c r="V1593"/>
  <c r="V1272"/>
  <c r="V1112"/>
  <c r="V1608"/>
  <c r="M8" i="4"/>
  <c r="M64"/>
  <c r="M11"/>
  <c r="M6"/>
  <c r="V1015" i="1"/>
  <c r="V1042"/>
  <c r="V316"/>
  <c r="V231"/>
  <c r="V1250"/>
  <c r="V513"/>
  <c r="V348"/>
  <c r="V305"/>
  <c r="V1800"/>
  <c r="V407"/>
  <c r="V769"/>
  <c r="V1883"/>
  <c r="V1035"/>
  <c r="V321"/>
  <c r="V1256"/>
  <c r="V1819"/>
  <c r="V820"/>
  <c r="V1835"/>
  <c r="V1080"/>
  <c r="V577"/>
  <c r="V124"/>
  <c r="V450"/>
  <c r="V973"/>
  <c r="V1074"/>
  <c r="V1842"/>
  <c r="V1065"/>
  <c r="V1746"/>
  <c r="V1352"/>
  <c r="V753"/>
  <c r="V1881"/>
  <c r="V375"/>
  <c r="V460"/>
  <c r="V1659"/>
  <c r="V55"/>
  <c r="V903"/>
  <c r="V743"/>
  <c r="V1106"/>
  <c r="V210"/>
  <c r="V833"/>
  <c r="V1874"/>
  <c r="V1426"/>
  <c r="V177"/>
  <c r="V976"/>
  <c r="V23"/>
  <c r="V1209"/>
  <c r="V1576"/>
  <c r="V1560"/>
  <c r="V1362"/>
  <c r="V898"/>
  <c r="V1192"/>
  <c r="V1298"/>
  <c r="V49"/>
  <c r="V791"/>
  <c r="V503"/>
  <c r="V1849"/>
  <c r="V801"/>
  <c r="V652"/>
  <c r="V967"/>
  <c r="V887"/>
  <c r="V802"/>
  <c r="V1579"/>
  <c r="V338"/>
  <c r="V1848"/>
  <c r="V1538"/>
  <c r="V1049"/>
  <c r="V1704"/>
  <c r="V944"/>
  <c r="V1762"/>
  <c r="V257"/>
  <c r="V92"/>
  <c r="V721"/>
  <c r="V1803"/>
  <c r="V877"/>
  <c r="V1832"/>
  <c r="V930"/>
  <c r="V466"/>
  <c r="V1577"/>
  <c r="V732"/>
  <c r="V1611"/>
  <c r="V834"/>
  <c r="V855"/>
  <c r="V1723"/>
  <c r="V816"/>
  <c r="V1465"/>
  <c r="V1496"/>
  <c r="V60"/>
  <c r="V1513"/>
  <c r="V1810"/>
  <c r="V311"/>
  <c r="V642"/>
  <c r="V1497"/>
  <c r="V1522"/>
  <c r="V1650"/>
  <c r="V1417"/>
  <c r="V1275"/>
  <c r="V434"/>
  <c r="V1289"/>
  <c r="V50"/>
  <c r="V385"/>
  <c r="V1058"/>
  <c r="V417"/>
  <c r="M24" i="4"/>
  <c r="V1311" i="1"/>
  <c r="V1660"/>
  <c r="V1078"/>
  <c r="V462"/>
  <c r="V1693"/>
  <c r="V1069"/>
  <c r="V1430"/>
  <c r="V1302"/>
  <c r="V589"/>
  <c r="V1462"/>
  <c r="V35"/>
  <c r="V819"/>
  <c r="V1469"/>
  <c r="V931"/>
  <c r="V1599"/>
  <c r="V1270"/>
  <c r="V1030"/>
  <c r="P205"/>
  <c r="M7" i="4"/>
  <c r="V862" i="1"/>
  <c r="V227"/>
  <c r="V413"/>
  <c r="V1836"/>
  <c r="V605"/>
  <c r="V126"/>
  <c r="V1871"/>
  <c r="V1814"/>
  <c r="V1756"/>
  <c r="V1503"/>
  <c r="V1727"/>
  <c r="V809"/>
  <c r="V1151"/>
  <c r="V446"/>
  <c r="V435"/>
  <c r="V611"/>
  <c r="V1375"/>
  <c r="V520"/>
  <c r="V885"/>
  <c r="P1647"/>
  <c r="V1116"/>
  <c r="V221"/>
  <c r="V1494"/>
  <c r="V984"/>
  <c r="V349"/>
  <c r="V1423"/>
  <c r="V270"/>
  <c r="V830"/>
  <c r="V1446"/>
  <c r="V1037"/>
  <c r="V1039"/>
  <c r="V606"/>
  <c r="V798"/>
  <c r="V269"/>
  <c r="V648"/>
  <c r="V621"/>
  <c r="V72"/>
  <c r="V1743"/>
  <c r="V1292"/>
  <c r="V382"/>
  <c r="V686"/>
  <c r="V456"/>
  <c r="V286"/>
  <c r="V653"/>
  <c r="V195"/>
  <c r="V1663"/>
  <c r="V1180"/>
  <c r="V1103"/>
  <c r="V1468"/>
  <c r="V595"/>
  <c r="V1679"/>
  <c r="V430"/>
  <c r="V1228"/>
  <c r="V296"/>
  <c r="V894"/>
  <c r="V1382"/>
  <c r="V1750"/>
  <c r="V493"/>
  <c r="V760"/>
  <c r="V328"/>
  <c r="M90" i="4"/>
  <c r="P954" i="1"/>
  <c r="P212"/>
  <c r="P922"/>
  <c r="V788"/>
  <c r="V724"/>
  <c r="V767"/>
  <c r="V890"/>
  <c r="V1507"/>
  <c r="V1171"/>
  <c r="V351"/>
  <c r="V20"/>
  <c r="V106"/>
  <c r="V506"/>
  <c r="V345"/>
  <c r="V426"/>
  <c r="V1475"/>
  <c r="V143"/>
  <c r="V10"/>
  <c r="V746"/>
  <c r="V799"/>
  <c r="V1331"/>
  <c r="V591"/>
  <c r="V1568"/>
  <c r="V1424"/>
  <c r="V383"/>
  <c r="V959"/>
  <c r="V943"/>
  <c r="V319"/>
  <c r="V996"/>
  <c r="V927"/>
  <c r="V1056"/>
  <c r="V548"/>
  <c r="V1007"/>
  <c r="V122"/>
  <c r="P394"/>
  <c r="V714"/>
  <c r="V842"/>
  <c r="V863"/>
  <c r="V1792"/>
  <c r="V1091"/>
  <c r="V1728"/>
  <c r="V9"/>
  <c r="V793"/>
  <c r="V1059"/>
  <c r="V826"/>
  <c r="V425"/>
  <c r="V260"/>
  <c r="V233"/>
  <c r="V623"/>
  <c r="V1744"/>
  <c r="V644"/>
  <c r="V906"/>
  <c r="V185"/>
  <c r="V74"/>
  <c r="V95"/>
  <c r="V1299"/>
  <c r="V633"/>
  <c r="V783"/>
  <c r="V516"/>
  <c r="M56" i="4"/>
  <c r="M35"/>
  <c r="P634" i="1"/>
  <c r="V148"/>
  <c r="V1200"/>
  <c r="V1872"/>
  <c r="V1760"/>
  <c r="V1427"/>
  <c r="V340"/>
  <c r="V367"/>
  <c r="V687"/>
  <c r="V479"/>
  <c r="V1023"/>
  <c r="V58"/>
  <c r="V1139"/>
  <c r="V874"/>
  <c r="V1680"/>
  <c r="V676"/>
  <c r="V153"/>
  <c r="V745"/>
  <c r="V89"/>
  <c r="V1664"/>
  <c r="V292"/>
  <c r="V463"/>
  <c r="V420"/>
  <c r="V761"/>
  <c r="V666"/>
  <c r="V1472"/>
  <c r="V703"/>
  <c r="V602"/>
  <c r="V127"/>
  <c r="V585"/>
  <c r="V1616"/>
  <c r="V772"/>
  <c r="V282"/>
  <c r="V1088"/>
  <c r="V217"/>
  <c r="V1040"/>
  <c r="V105"/>
  <c r="V553"/>
  <c r="V265"/>
  <c r="V505"/>
  <c r="V1856"/>
  <c r="V1136"/>
  <c r="V804"/>
  <c r="V308"/>
  <c r="V1168"/>
  <c r="V25"/>
  <c r="V116"/>
  <c r="V1248"/>
  <c r="V90"/>
  <c r="V729"/>
  <c r="V957"/>
  <c r="V618"/>
  <c r="V1696"/>
  <c r="V1392"/>
  <c r="V607"/>
  <c r="V1021"/>
  <c r="V794"/>
  <c r="V1120"/>
  <c r="V543"/>
  <c r="V1187"/>
  <c r="V1363"/>
  <c r="V436"/>
  <c r="V1408"/>
  <c r="V1808"/>
  <c r="V388"/>
  <c r="V1123"/>
  <c r="V255"/>
  <c r="V47"/>
  <c r="V522"/>
  <c r="V441"/>
  <c r="V266"/>
  <c r="V756"/>
  <c r="M32" i="4"/>
  <c r="V63" i="1"/>
  <c r="V1072"/>
  <c r="V1219"/>
  <c r="V639"/>
  <c r="V415"/>
  <c r="V41"/>
  <c r="V713"/>
  <c r="V452"/>
  <c r="V660"/>
  <c r="V815"/>
  <c r="V132"/>
  <c r="V473"/>
  <c r="V1280"/>
  <c r="V970"/>
  <c r="V628"/>
  <c r="V847"/>
  <c r="V42"/>
  <c r="V490"/>
  <c r="V777"/>
  <c r="V356"/>
  <c r="V1440"/>
  <c r="V271"/>
  <c r="V410"/>
  <c r="V917"/>
  <c r="V201"/>
  <c r="V1360"/>
  <c r="V378"/>
  <c r="V121"/>
  <c r="V500"/>
  <c r="V196"/>
  <c r="V1488"/>
  <c r="V1152"/>
  <c r="V580"/>
  <c r="V1459"/>
  <c r="V1443"/>
  <c r="V495"/>
  <c r="V346"/>
  <c r="V180"/>
  <c r="V1491"/>
  <c r="V31"/>
  <c r="V399"/>
  <c r="V159"/>
  <c r="V1027"/>
  <c r="V36"/>
  <c r="V249"/>
  <c r="V362"/>
  <c r="V234"/>
  <c r="V298"/>
  <c r="V586"/>
  <c r="V570"/>
  <c r="V1532"/>
  <c r="V1216"/>
  <c r="V393"/>
  <c r="V1235"/>
  <c r="V15"/>
  <c r="V489"/>
  <c r="V1600"/>
  <c r="V281"/>
  <c r="V1539"/>
  <c r="V314"/>
  <c r="V73"/>
  <c r="V554"/>
  <c r="V938"/>
  <c r="V932"/>
  <c r="V735"/>
  <c r="V79"/>
  <c r="V484"/>
  <c r="V52"/>
  <c r="V831"/>
  <c r="V986"/>
  <c r="M15" i="4"/>
  <c r="M98"/>
  <c r="P749" i="1"/>
  <c r="V1315"/>
  <c r="M54" i="4"/>
  <c r="M104"/>
  <c r="V631" i="1"/>
  <c r="M67" i="4"/>
  <c r="M105"/>
  <c r="V1323" i="1"/>
  <c r="V723"/>
  <c r="V1062"/>
  <c r="V1631"/>
  <c r="V1341"/>
  <c r="V1071"/>
  <c r="V478"/>
  <c r="V1318"/>
  <c r="V557"/>
  <c r="V1535"/>
  <c r="V1533"/>
  <c r="V461"/>
  <c r="V494"/>
  <c r="V669"/>
  <c r="V814"/>
  <c r="V1628"/>
  <c r="V744"/>
  <c r="V1501"/>
  <c r="V958"/>
  <c r="V525"/>
  <c r="V237"/>
  <c r="V1516"/>
  <c r="V168"/>
  <c r="V1852"/>
  <c r="V488"/>
  <c r="V1279"/>
  <c r="V312"/>
  <c r="V136"/>
  <c r="V1308"/>
  <c r="V867"/>
  <c r="V1453"/>
  <c r="V1805"/>
  <c r="V765"/>
  <c r="V1356"/>
  <c r="V1622"/>
  <c r="V323"/>
  <c r="V1757"/>
  <c r="V1084"/>
  <c r="V1567"/>
  <c r="V206"/>
  <c r="V526"/>
  <c r="V821"/>
  <c r="V552"/>
  <c r="V1661"/>
  <c r="V387"/>
  <c r="V30"/>
  <c r="V1164"/>
  <c r="V1645"/>
  <c r="V1085"/>
  <c r="V1519"/>
  <c r="V1613"/>
  <c r="V1821"/>
  <c r="V1558"/>
  <c r="V563"/>
  <c r="V477"/>
  <c r="V1564"/>
  <c r="V1455"/>
  <c r="V888"/>
  <c r="V1878"/>
  <c r="V40"/>
  <c r="V643"/>
  <c r="V1741"/>
  <c r="V1293"/>
  <c r="V222"/>
  <c r="V334"/>
  <c r="V558"/>
  <c r="V365"/>
  <c r="V1046"/>
  <c r="V232"/>
  <c r="V1868"/>
  <c r="V125"/>
  <c r="V238"/>
  <c r="V302"/>
  <c r="V675"/>
  <c r="V1452"/>
  <c r="V472"/>
  <c r="V1196"/>
  <c r="M84" i="4"/>
  <c r="M23"/>
  <c r="P173" i="1"/>
  <c r="V1309"/>
  <c r="M61" i="4"/>
  <c r="V1229" i="1"/>
  <c r="V1548"/>
  <c r="M50" i="4"/>
  <c r="V499" i="1"/>
  <c r="V216"/>
  <c r="V1414"/>
  <c r="V905"/>
  <c r="V285"/>
  <c r="V1846"/>
  <c r="V366"/>
  <c r="V1142"/>
  <c r="V1350"/>
  <c r="V1213"/>
  <c r="V536"/>
  <c r="V174"/>
  <c r="V892"/>
  <c r="V1101"/>
  <c r="V1782"/>
  <c r="V915"/>
  <c r="V1197"/>
  <c r="V1590"/>
  <c r="V792"/>
  <c r="V1638"/>
  <c r="V429"/>
  <c r="V355"/>
  <c r="V317"/>
  <c r="V949"/>
  <c r="V1686"/>
  <c r="V680"/>
  <c r="V766"/>
  <c r="V1094"/>
  <c r="V1340"/>
  <c r="V1391"/>
  <c r="V1724"/>
  <c r="V717"/>
  <c r="V1244"/>
  <c r="V467"/>
  <c r="V963"/>
  <c r="V350"/>
  <c r="V200"/>
  <c r="V184"/>
  <c r="V1853"/>
  <c r="V333"/>
  <c r="V1597"/>
  <c r="V339"/>
  <c r="V1581"/>
  <c r="V702"/>
  <c r="V211"/>
  <c r="V51"/>
  <c r="V856"/>
  <c r="V1629"/>
  <c r="V1036"/>
  <c r="V19"/>
  <c r="V1165"/>
  <c r="V142"/>
  <c r="V1725"/>
  <c r="V1372"/>
  <c r="V1676"/>
  <c r="V1773"/>
  <c r="V301"/>
  <c r="V835"/>
  <c r="V291"/>
  <c r="V988"/>
  <c r="V1439"/>
  <c r="V584"/>
  <c r="V1389"/>
  <c r="V1231"/>
  <c r="V1183"/>
  <c r="V254"/>
  <c r="V56"/>
  <c r="V1238"/>
  <c r="V670"/>
  <c r="V510"/>
  <c r="V542"/>
  <c r="V110"/>
  <c r="V1869"/>
  <c r="V712"/>
  <c r="V504"/>
  <c r="V1772"/>
  <c r="V109"/>
  <c r="V1791"/>
  <c r="V515"/>
  <c r="V1222"/>
  <c r="V1324"/>
  <c r="V701"/>
  <c r="V627"/>
  <c r="V979"/>
  <c r="V664"/>
  <c r="V637"/>
  <c r="V1837"/>
  <c r="V734"/>
  <c r="V1500"/>
  <c r="M52" i="4"/>
  <c r="M100"/>
  <c r="V275" i="1"/>
  <c r="M68" i="4"/>
  <c r="V419" i="1"/>
  <c r="V1174"/>
  <c r="V62"/>
  <c r="V1615"/>
  <c r="V189"/>
  <c r="P1421"/>
  <c r="M10" i="4"/>
  <c r="M26"/>
  <c r="V755" i="1"/>
  <c r="V718"/>
  <c r="V1612"/>
  <c r="V990"/>
  <c r="V782"/>
  <c r="V1884"/>
  <c r="V1485"/>
  <c r="V1132"/>
  <c r="V956"/>
  <c r="V1055"/>
  <c r="V115"/>
  <c r="V1053"/>
  <c r="V1295"/>
  <c r="V1022"/>
  <c r="V141"/>
  <c r="V259"/>
  <c r="V1677"/>
  <c r="V408"/>
  <c r="V45"/>
  <c r="V1068"/>
  <c r="V1862"/>
  <c r="V1855"/>
  <c r="V853"/>
  <c r="V1398"/>
  <c r="V1549"/>
  <c r="V1788"/>
  <c r="V1517"/>
  <c r="V1478"/>
  <c r="V776"/>
  <c r="V1119"/>
  <c r="V1126"/>
  <c r="V360"/>
  <c r="V750"/>
  <c r="V1334"/>
  <c r="V824"/>
  <c r="V1277"/>
  <c r="V947"/>
  <c r="V579"/>
  <c r="V1276"/>
  <c r="V1526"/>
  <c r="V659"/>
  <c r="V61"/>
  <c r="V1565"/>
  <c r="V8"/>
  <c r="V1718"/>
  <c r="V1404"/>
  <c r="V99"/>
  <c r="V1487"/>
  <c r="V1100"/>
  <c r="V1702"/>
  <c r="V120"/>
  <c r="V1158"/>
  <c r="V590"/>
  <c r="V67"/>
  <c r="V926"/>
  <c r="V1190"/>
  <c r="V392"/>
  <c r="V969"/>
  <c r="V1286"/>
  <c r="V797"/>
  <c r="V1247"/>
  <c r="V739"/>
  <c r="V1110"/>
  <c r="V937"/>
  <c r="V899"/>
  <c r="V1839"/>
  <c r="V910"/>
  <c r="V1001"/>
  <c r="V1830"/>
  <c r="V1135"/>
  <c r="V1260"/>
  <c r="M48" i="4"/>
  <c r="M92"/>
  <c r="M87"/>
  <c r="P584" i="1"/>
  <c r="M37" i="4"/>
  <c r="V837" i="1"/>
  <c r="V632"/>
  <c r="V617"/>
  <c r="M42" i="4"/>
  <c r="V223" i="1"/>
  <c r="V569"/>
  <c r="V1124"/>
  <c r="P675"/>
  <c r="V803"/>
  <c r="V851"/>
  <c r="M83" i="4"/>
  <c r="M103"/>
  <c r="M74"/>
  <c r="P1695" i="1"/>
  <c r="P1709"/>
  <c r="P616"/>
  <c r="V1148"/>
  <c r="V1775"/>
  <c r="V787"/>
  <c r="M78" i="4"/>
  <c r="M95"/>
  <c r="M30"/>
  <c r="P318" i="1"/>
  <c r="P1167"/>
  <c r="P1263"/>
  <c r="P1011"/>
  <c r="V974"/>
  <c r="V568"/>
  <c r="V1181"/>
  <c r="V46"/>
  <c r="V3"/>
  <c r="M22" i="4"/>
  <c r="V190" i="1"/>
  <c r="V1006"/>
  <c r="V445"/>
  <c r="V29"/>
  <c r="V1420"/>
  <c r="V13"/>
  <c r="V248"/>
  <c r="V924"/>
  <c r="V828"/>
  <c r="V883"/>
  <c r="V344"/>
  <c r="V451"/>
  <c r="V243"/>
  <c r="V860"/>
  <c r="V1580"/>
  <c r="V77"/>
  <c r="V152"/>
  <c r="V771"/>
  <c r="V733"/>
  <c r="V728"/>
  <c r="V600"/>
  <c r="V707"/>
  <c r="V1740"/>
  <c r="V371"/>
  <c r="V1644"/>
  <c r="V440"/>
  <c r="V1820"/>
  <c r="V654"/>
  <c r="V541"/>
  <c r="V1823"/>
  <c r="V696"/>
  <c r="V376"/>
  <c r="V1471"/>
  <c r="V24"/>
  <c r="V574"/>
  <c r="V622"/>
  <c r="V398"/>
  <c r="V1199"/>
  <c r="V1807"/>
  <c r="V509"/>
  <c r="V1692"/>
  <c r="V104"/>
  <c r="V878"/>
  <c r="V995"/>
  <c r="V403"/>
  <c r="V1436"/>
  <c r="V93"/>
  <c r="V381"/>
  <c r="V952"/>
  <c r="V846"/>
  <c r="V1359"/>
  <c r="V1654"/>
  <c r="V1133"/>
  <c r="V1327"/>
  <c r="V685"/>
  <c r="V253"/>
  <c r="V88"/>
  <c r="V573"/>
  <c r="V1388"/>
  <c r="V1325"/>
  <c r="V424"/>
  <c r="V1596"/>
  <c r="V781"/>
  <c r="V1261"/>
  <c r="V163"/>
  <c r="M36" i="4"/>
  <c r="M60"/>
  <c r="M80"/>
  <c r="M96"/>
  <c r="M39"/>
  <c r="M71"/>
  <c r="M91"/>
  <c r="M14"/>
  <c r="M94"/>
  <c r="V1343" i="1"/>
  <c r="V1087"/>
  <c r="V1437"/>
  <c r="V14"/>
  <c r="V1117"/>
  <c r="V1373"/>
  <c r="M38" i="4"/>
  <c r="V476" i="1"/>
  <c r="V322"/>
  <c r="V1435"/>
  <c r="M9" i="4"/>
  <c r="M53"/>
  <c r="M101"/>
  <c r="V1144" i="1"/>
  <c r="V1483"/>
  <c r="M27" i="4"/>
  <c r="M51"/>
  <c r="M18"/>
  <c r="M49"/>
  <c r="M93"/>
  <c r="V396" i="1"/>
  <c r="P1013"/>
  <c r="V1013"/>
  <c r="P1052"/>
  <c r="V1052"/>
  <c r="P531"/>
  <c r="V531"/>
  <c r="P131"/>
  <c r="V131"/>
  <c r="P1759"/>
  <c r="V1759"/>
  <c r="P1766"/>
  <c r="V1766"/>
  <c r="P1357"/>
  <c r="V1357"/>
  <c r="M3" i="4"/>
  <c r="P2" i="1"/>
  <c r="P1128"/>
  <c r="V1128"/>
  <c r="P839"/>
  <c r="V839"/>
  <c r="P759"/>
  <c r="V759"/>
  <c r="P471"/>
  <c r="V471"/>
  <c r="P604"/>
  <c r="V604"/>
  <c r="P556"/>
  <c r="V556"/>
  <c r="P268"/>
  <c r="V268"/>
  <c r="P76"/>
  <c r="V76"/>
  <c r="P545"/>
  <c r="V545"/>
  <c r="P337"/>
  <c r="V337"/>
  <c r="P546"/>
  <c r="V546"/>
  <c r="P1195"/>
  <c r="V1195"/>
  <c r="P1570"/>
  <c r="V1570"/>
  <c r="M4" i="4"/>
  <c r="P1076" i="1"/>
  <c r="P613"/>
  <c r="V613"/>
  <c r="P630"/>
  <c r="V630"/>
  <c r="P518"/>
  <c r="V518"/>
  <c r="P294"/>
  <c r="V294"/>
  <c r="P6"/>
  <c r="V6"/>
  <c r="P1703"/>
  <c r="V1703"/>
  <c r="P1118"/>
  <c r="V1118"/>
  <c r="P1374"/>
  <c r="V1374"/>
  <c r="P1646"/>
  <c r="V1646"/>
  <c r="P1870"/>
  <c r="V1870"/>
  <c r="P1504"/>
  <c r="V1504"/>
  <c r="P1632"/>
  <c r="V1632"/>
  <c r="P719"/>
  <c r="V719"/>
  <c r="P335"/>
  <c r="V335"/>
  <c r="P708"/>
  <c r="V708"/>
  <c r="P372"/>
  <c r="V372"/>
  <c r="P244"/>
  <c r="V244"/>
  <c r="P68"/>
  <c r="V68"/>
  <c r="P681"/>
  <c r="V681"/>
  <c r="P457"/>
  <c r="V457"/>
  <c r="P57"/>
  <c r="V57"/>
  <c r="P836"/>
  <c r="V836"/>
  <c r="P1283"/>
  <c r="V1283"/>
  <c r="P1306"/>
  <c r="V1306"/>
  <c r="P1418"/>
  <c r="V1418"/>
  <c r="P1690"/>
  <c r="V1690"/>
  <c r="P1073"/>
  <c r="V1073"/>
  <c r="P1281"/>
  <c r="V1281"/>
  <c r="V981"/>
  <c r="V946"/>
  <c r="V1536"/>
  <c r="M97" i="4"/>
  <c r="V1365" i="1"/>
  <c r="M31" i="4"/>
  <c r="M89"/>
  <c r="M59"/>
  <c r="V693" i="1"/>
  <c r="V470"/>
  <c r="V598"/>
  <c r="V1212"/>
  <c r="V925"/>
  <c r="P1768"/>
  <c r="V1768"/>
  <c r="P1510"/>
  <c r="V1510"/>
  <c r="P4"/>
  <c r="V4"/>
  <c r="P829"/>
  <c r="V829"/>
  <c r="P1405"/>
  <c r="V1405"/>
  <c r="P560"/>
  <c r="V560"/>
  <c r="P673"/>
  <c r="V673"/>
  <c r="P1337"/>
  <c r="V1337"/>
  <c r="P1752"/>
  <c r="V1752"/>
  <c r="P1206"/>
  <c r="V1206"/>
  <c r="P695"/>
  <c r="V695"/>
  <c r="P678"/>
  <c r="V678"/>
  <c r="P942"/>
  <c r="V942"/>
  <c r="P300"/>
  <c r="V300"/>
  <c r="P33"/>
  <c r="V33"/>
  <c r="P1583"/>
  <c r="V1583"/>
  <c r="P273"/>
  <c r="V273"/>
  <c r="P1329"/>
  <c r="V1329"/>
  <c r="P414"/>
  <c r="V414"/>
  <c r="P663"/>
  <c r="V663"/>
  <c r="P1000"/>
  <c r="V1000"/>
  <c r="P692"/>
  <c r="V692"/>
  <c r="P705"/>
  <c r="V705"/>
  <c r="P920"/>
  <c r="V920"/>
  <c r="P706"/>
  <c r="V706"/>
  <c r="P638"/>
  <c r="V638"/>
  <c r="P397"/>
  <c r="V397"/>
  <c r="P468"/>
  <c r="V468"/>
  <c r="V895"/>
  <c r="P838"/>
  <c r="V838"/>
  <c r="P601"/>
  <c r="V601"/>
  <c r="V1075"/>
  <c r="P1880"/>
  <c r="V1880"/>
  <c r="P157"/>
  <c r="V157"/>
  <c r="V1149"/>
  <c r="V1396"/>
  <c r="V261"/>
  <c r="M77" i="4"/>
  <c r="M82"/>
  <c r="M46"/>
  <c r="M73"/>
  <c r="P1406" i="1"/>
  <c r="M63" i="4"/>
  <c r="V140" i="1"/>
  <c r="M44" i="4"/>
  <c r="M99"/>
  <c r="M66"/>
  <c r="M69"/>
  <c r="M85"/>
  <c r="P202" i="1"/>
  <c r="M47" i="4"/>
  <c r="P18" i="1"/>
  <c r="M102" i="4"/>
  <c r="P26" i="1"/>
  <c r="M58" i="4"/>
  <c r="V179" i="1"/>
  <c r="M19" i="4"/>
  <c r="M79"/>
  <c r="V1804" i="1"/>
  <c r="M28" i="4"/>
  <c r="V740" i="1"/>
  <c r="V1208"/>
  <c r="V1161"/>
  <c r="V1246"/>
  <c r="V1406"/>
  <c r="V1715"/>
  <c r="V1131"/>
  <c r="P1009"/>
  <c r="V941"/>
  <c r="P1173"/>
  <c r="P170"/>
  <c r="P1403"/>
  <c r="V1254"/>
  <c r="V1552"/>
  <c r="V971"/>
  <c r="V1305"/>
  <c r="V1403"/>
  <c r="V645"/>
  <c r="V147"/>
  <c r="P523"/>
  <c r="V1215"/>
  <c r="V1252"/>
  <c r="V155"/>
  <c r="V1232"/>
  <c r="V1290"/>
  <c r="V1130"/>
  <c r="P21"/>
  <c r="V21"/>
  <c r="P186"/>
  <c r="V186"/>
  <c r="V220"/>
  <c r="V1574"/>
  <c r="V599"/>
  <c r="V691"/>
  <c r="V1829"/>
  <c r="P1245"/>
  <c r="V1173"/>
  <c r="P1553"/>
  <c r="V1553"/>
  <c r="P239"/>
  <c r="V239"/>
  <c r="P172"/>
  <c r="V172"/>
  <c r="P406"/>
  <c r="V406"/>
  <c r="P1606"/>
  <c r="V1606"/>
  <c r="P1407"/>
  <c r="V1407"/>
  <c r="P1347"/>
  <c r="V1347"/>
  <c r="P1609"/>
  <c r="V1609"/>
  <c r="P697"/>
  <c r="V697"/>
  <c r="P879"/>
  <c r="V879"/>
  <c r="P78"/>
  <c r="V78"/>
  <c r="P1367"/>
  <c r="V1367"/>
  <c r="P650"/>
  <c r="V650"/>
  <c r="P154"/>
  <c r="V154"/>
  <c r="P181"/>
  <c r="V181"/>
  <c r="P111"/>
  <c r="V111"/>
  <c r="P28"/>
  <c r="V28"/>
  <c r="P1561"/>
  <c r="V1561"/>
  <c r="P1713"/>
  <c r="V1713"/>
  <c r="P209"/>
  <c r="V209"/>
  <c r="P1857"/>
  <c r="V1857"/>
  <c r="P1721"/>
  <c r="V1721"/>
  <c r="P160"/>
  <c r="V160"/>
  <c r="P527"/>
  <c r="V527"/>
  <c r="P1794"/>
  <c r="V1794"/>
  <c r="P1824"/>
  <c r="V1824"/>
  <c r="P325"/>
  <c r="V325"/>
  <c r="P1016"/>
  <c r="V1016"/>
  <c r="V537"/>
  <c r="V1711"/>
  <c r="V170"/>
  <c r="D7" i="2" a="1"/>
  <c r="D7" s="1"/>
  <c r="V218" i="1"/>
  <c r="V306"/>
  <c r="V1657"/>
  <c r="V1798"/>
  <c r="P1186"/>
  <c r="V1186"/>
  <c r="P497"/>
  <c r="V497"/>
  <c r="P1712"/>
  <c r="V1712"/>
  <c r="P1547"/>
  <c r="V1547"/>
  <c r="P1492"/>
  <c r="V1492"/>
  <c r="P900"/>
  <c r="V900"/>
  <c r="P1020"/>
  <c r="V1020"/>
  <c r="P377"/>
  <c r="V377"/>
  <c r="P1656"/>
  <c r="V1656"/>
  <c r="P1328"/>
  <c r="V1328"/>
  <c r="P167"/>
  <c r="V167"/>
  <c r="P532"/>
  <c r="V532"/>
  <c r="P307"/>
  <c r="V307"/>
  <c r="P1312"/>
  <c r="V1312"/>
  <c r="P483"/>
  <c r="V483"/>
  <c r="P1336"/>
  <c r="V1336"/>
  <c r="P191"/>
  <c r="V191"/>
  <c r="P280"/>
  <c r="V280"/>
  <c r="P1474"/>
  <c r="V1474"/>
  <c r="V572"/>
  <c r="P1018"/>
  <c r="V1018"/>
  <c r="P1771"/>
  <c r="V1771"/>
  <c r="P647"/>
  <c r="V647"/>
  <c r="P330"/>
  <c r="V330"/>
  <c r="P455"/>
  <c r="V455"/>
  <c r="P1708"/>
  <c r="V1708"/>
  <c r="P226"/>
  <c r="V226"/>
  <c r="P129"/>
  <c r="V129"/>
  <c r="P1789"/>
  <c r="V1789"/>
  <c r="P84"/>
  <c r="V84"/>
  <c r="P1484"/>
  <c r="V1484"/>
  <c r="P841"/>
  <c r="V841"/>
  <c r="P566"/>
  <c r="V566"/>
  <c r="P871"/>
  <c r="V871"/>
  <c r="P1450"/>
  <c r="V1450"/>
  <c r="P1542"/>
  <c r="V1542"/>
  <c r="P1271"/>
  <c r="V1271"/>
  <c r="P1233"/>
  <c r="V1233"/>
  <c r="P827"/>
  <c r="V827"/>
  <c r="P278"/>
  <c r="V278"/>
  <c r="P169"/>
  <c r="V169"/>
  <c r="P94"/>
  <c r="V94"/>
  <c r="P1344"/>
  <c r="V1344"/>
  <c r="P1339"/>
  <c r="V1339"/>
  <c r="P547"/>
  <c r="V547"/>
  <c r="P1346"/>
  <c r="V1346"/>
  <c r="P873"/>
  <c r="V873"/>
  <c r="P1818"/>
  <c r="V1818"/>
  <c r="P1551"/>
  <c r="V1551"/>
  <c r="P263"/>
  <c r="V263"/>
  <c r="P929"/>
  <c r="V929"/>
  <c r="P1045"/>
  <c r="V1045"/>
  <c r="P1545"/>
  <c r="V1545"/>
  <c r="P1785"/>
  <c r="V1785"/>
  <c r="P1395"/>
  <c r="V1395"/>
  <c r="P1787"/>
  <c r="V1787"/>
  <c r="P158"/>
  <c r="V158"/>
  <c r="P1348"/>
  <c r="V1348"/>
  <c r="P1643"/>
  <c r="V1643"/>
  <c r="P176"/>
  <c r="V176"/>
  <c r="P329"/>
  <c r="V329"/>
  <c r="P1508"/>
  <c r="V1508"/>
  <c r="P868"/>
  <c r="V868"/>
  <c r="P1658"/>
  <c r="V1658"/>
  <c r="P83"/>
  <c r="V83"/>
  <c r="P353"/>
  <c r="V353"/>
  <c r="L11" i="2" a="1"/>
  <c r="L8" a="1"/>
  <c r="K11" a="1"/>
  <c r="K8" a="1"/>
  <c r="C8" a="1"/>
  <c r="F11" a="1"/>
  <c r="C11" a="1"/>
  <c r="D11" a="1"/>
  <c r="E8" a="1"/>
  <c r="I8" a="1"/>
  <c r="I11" a="1"/>
  <c r="E11" a="1"/>
  <c r="D8" a="1"/>
  <c r="F8" a="1"/>
  <c r="J8" a="1"/>
  <c r="H8" a="1"/>
  <c r="H11" a="1"/>
  <c r="J11" a="1"/>
  <c r="G11" a="1"/>
  <c r="G8" a="1"/>
  <c r="Q11" i="3" l="1"/>
  <c r="K8" i="2"/>
  <c r="K11"/>
  <c r="L8"/>
  <c r="L11"/>
  <c r="E11"/>
  <c r="J11"/>
  <c r="F11"/>
  <c r="I11"/>
  <c r="H11"/>
  <c r="G11"/>
  <c r="D11"/>
  <c r="C11"/>
  <c r="E8"/>
  <c r="J8"/>
  <c r="F8"/>
  <c r="I8"/>
  <c r="H8"/>
  <c r="G8"/>
  <c r="D8"/>
  <c r="C8"/>
  <c r="A19"/>
  <c r="B19" s="1"/>
  <c r="A17"/>
  <c r="B17" s="1"/>
  <c r="A16"/>
  <c r="B16" s="1"/>
  <c r="A15"/>
  <c r="B15" s="1"/>
  <c r="K9" l="1"/>
  <c r="K12"/>
  <c r="L9"/>
  <c r="L12"/>
  <c r="H9"/>
  <c r="J9"/>
  <c r="I9"/>
  <c r="D9"/>
  <c r="C9"/>
  <c r="F9"/>
  <c r="E9"/>
  <c r="G9"/>
  <c r="E7"/>
  <c r="D19"/>
  <c r="D16"/>
  <c r="D18"/>
  <c r="D15"/>
  <c r="D17"/>
  <c r="C14" l="1"/>
  <c r="I12" l="1"/>
  <c r="D12"/>
  <c r="J12"/>
  <c r="C12"/>
  <c r="G12"/>
  <c r="H12"/>
  <c r="E12"/>
  <c r="F12"/>
  <c r="E17"/>
  <c r="E19"/>
  <c r="E15"/>
  <c r="E16"/>
</calcChain>
</file>

<file path=xl/comments1.xml><?xml version="1.0" encoding="utf-8"?>
<comments xmlns="http://schemas.openxmlformats.org/spreadsheetml/2006/main">
  <authors>
    <author>Brant Spear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ppp cell link</t>
        </r>
      </text>
    </comment>
    <comment ref="D2" authorId="0">
      <text>
        <r>
          <rPr>
            <b/>
            <sz val="8"/>
            <color indexed="81"/>
            <rFont val="Tahoma"/>
            <family val="2"/>
          </rPr>
          <t xml:space="preserve">type cell link
</t>
        </r>
      </text>
    </comment>
    <comment ref="D7" authorId="0">
      <text>
        <r>
          <rPr>
            <b/>
            <sz val="8"/>
            <color indexed="81"/>
            <rFont val="Tahoma"/>
            <family val="2"/>
          </rPr>
          <t>Sum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 xml:space="preserve">Average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stores values for by the numers changes</t>
        </r>
      </text>
    </comment>
  </commentList>
</comments>
</file>

<file path=xl/sharedStrings.xml><?xml version="1.0" encoding="utf-8"?>
<sst xmlns="http://schemas.openxmlformats.org/spreadsheetml/2006/main" count="17578" uniqueCount="3982">
  <si>
    <t>Finance Officer</t>
  </si>
  <si>
    <t>ID0972</t>
  </si>
  <si>
    <t>Assistant Fleet Analyst</t>
  </si>
  <si>
    <t>ID0973</t>
  </si>
  <si>
    <t>ID0974</t>
  </si>
  <si>
    <t>Operations Coordinator</t>
  </si>
  <si>
    <t>ID0975</t>
  </si>
  <si>
    <t>ID0976</t>
  </si>
  <si>
    <t>AUD$200,000</t>
  </si>
  <si>
    <t>ID0977</t>
  </si>
  <si>
    <t>ID0978</t>
  </si>
  <si>
    <t>Director, Informatics</t>
  </si>
  <si>
    <t>ID0979</t>
  </si>
  <si>
    <t>ID0980</t>
  </si>
  <si>
    <t>ID0981</t>
  </si>
  <si>
    <t>ID0983</t>
  </si>
  <si>
    <t>Sustainability Strategy Advisor</t>
  </si>
  <si>
    <t>ID0984</t>
  </si>
  <si>
    <t>AUD$70,000</t>
  </si>
  <si>
    <t>ID0985</t>
  </si>
  <si>
    <t>USD 85000.00</t>
  </si>
  <si>
    <t>Reporting and DB Analyist</t>
  </si>
  <si>
    <t>ID0986</t>
  </si>
  <si>
    <t>ID0987</t>
  </si>
  <si>
    <t>A$107000</t>
  </si>
  <si>
    <t>ID0988</t>
  </si>
  <si>
    <t>malaysia</t>
  </si>
  <si>
    <t>ID0989</t>
  </si>
  <si>
    <t>ID0990</t>
  </si>
  <si>
    <t>AU$52.000</t>
  </si>
  <si>
    <t>Shipping Administrator</t>
  </si>
  <si>
    <t>ID0991</t>
  </si>
  <si>
    <t>VP, Operational Analytics</t>
  </si>
  <si>
    <t>ID0992</t>
  </si>
  <si>
    <t>Finance analyst</t>
  </si>
  <si>
    <t>China</t>
  </si>
  <si>
    <t>ID0993</t>
  </si>
  <si>
    <t>ID0994</t>
  </si>
  <si>
    <t>ID0995</t>
  </si>
  <si>
    <t>HSLP Data Analyst</t>
  </si>
  <si>
    <t>ID0996</t>
  </si>
  <si>
    <t>ID0997</t>
  </si>
  <si>
    <t>US$12,000/year</t>
  </si>
  <si>
    <t>Asia</t>
  </si>
  <si>
    <t>ID0998</t>
  </si>
  <si>
    <t>Retired Government Officer, having knowledge in excel.</t>
  </si>
  <si>
    <t>ID0999</t>
  </si>
  <si>
    <t>1200000 INR</t>
  </si>
  <si>
    <t>ID1000</t>
  </si>
  <si>
    <t>ID1001</t>
  </si>
  <si>
    <t>RM48,000</t>
  </si>
  <si>
    <t>MYR</t>
  </si>
  <si>
    <t>Credit Risk Manager</t>
  </si>
  <si>
    <t>Malaysia</t>
  </si>
  <si>
    <t>ID1002</t>
  </si>
  <si>
    <t>NZD 180000</t>
  </si>
  <si>
    <t>ID1003</t>
  </si>
  <si>
    <t>Rs.5,45,000</t>
  </si>
  <si>
    <t>ID1004</t>
  </si>
  <si>
    <t>Rs.10,00,000</t>
  </si>
  <si>
    <t>Credit Manager - Loans</t>
  </si>
  <si>
    <t>ID1005</t>
  </si>
  <si>
    <t>Audit executive</t>
  </si>
  <si>
    <t>INDIA</t>
  </si>
  <si>
    <t>ID1006</t>
  </si>
  <si>
    <t>$45,000  USD</t>
  </si>
  <si>
    <t>Staff accountant -- Auditing</t>
  </si>
  <si>
    <t>ID1007</t>
  </si>
  <si>
    <t>Asst Manager - Quality</t>
  </si>
  <si>
    <t>ID1008</t>
  </si>
  <si>
    <t>Principal Analyst</t>
  </si>
  <si>
    <t>ID1009</t>
  </si>
  <si>
    <t>Business Consultant</t>
  </si>
  <si>
    <t>ID1010</t>
  </si>
  <si>
    <t>Ass Research  Manager</t>
  </si>
  <si>
    <t>ID1011</t>
  </si>
  <si>
    <t>Data Specialist</t>
  </si>
  <si>
    <t>ID1012</t>
  </si>
  <si>
    <t>ID1013</t>
  </si>
  <si>
    <t>350000 Rs</t>
  </si>
  <si>
    <t>ID1014</t>
  </si>
  <si>
    <t>LKR 240000</t>
  </si>
  <si>
    <t>LKR</t>
  </si>
  <si>
    <t>ID1015</t>
  </si>
  <si>
    <t>Rs.6.4 lakhs</t>
  </si>
  <si>
    <t>Sr.Analyst - Process Excellence</t>
  </si>
  <si>
    <t>ID1016</t>
  </si>
  <si>
    <t>Operations Management</t>
  </si>
  <si>
    <t>ID1017</t>
  </si>
  <si>
    <t>R308 500</t>
  </si>
  <si>
    <t>Management Information Consultant</t>
  </si>
  <si>
    <t>ID1018</t>
  </si>
  <si>
    <t>associate analyst</t>
  </si>
  <si>
    <t>ID1019</t>
  </si>
  <si>
    <t>usd 20.000</t>
  </si>
  <si>
    <t>Head of Financial Reporting</t>
  </si>
  <si>
    <t>Paraguay</t>
  </si>
  <si>
    <t>ID1020</t>
  </si>
  <si>
    <t>Softwar Engineer</t>
  </si>
  <si>
    <t>ID1021</t>
  </si>
  <si>
    <t>SGD92,000</t>
  </si>
  <si>
    <t>SGD</t>
  </si>
  <si>
    <t>ID1023</t>
  </si>
  <si>
    <t>INR 4.5 Lac</t>
  </si>
  <si>
    <t>ID1024</t>
  </si>
  <si>
    <t>Rs.5.7 lacs</t>
  </si>
  <si>
    <t>MIS &amp; Analysis</t>
  </si>
  <si>
    <t>ID1025</t>
  </si>
  <si>
    <t>ID1026</t>
  </si>
  <si>
    <t>ID1027</t>
  </si>
  <si>
    <t>Net- 56000Rs, Gross - 61000Rs</t>
  </si>
  <si>
    <t xml:space="preserve">Asst. Manager </t>
  </si>
  <si>
    <t>ID1028</t>
  </si>
  <si>
    <t>Project Managment Office</t>
  </si>
  <si>
    <t>ID1029</t>
  </si>
  <si>
    <t>Audit Assistant</t>
  </si>
  <si>
    <t>ID1030</t>
  </si>
  <si>
    <t>singapore</t>
  </si>
  <si>
    <t>ID1031</t>
  </si>
  <si>
    <t>Rs. 4,00,000/-</t>
  </si>
  <si>
    <t>ID1032</t>
  </si>
  <si>
    <t xml:space="preserve">3 Lakh </t>
  </si>
  <si>
    <t>ACCOUNTS</t>
  </si>
  <si>
    <t>ID1033</t>
  </si>
  <si>
    <t>Area Sales Manager</t>
  </si>
  <si>
    <t>ID1034</t>
  </si>
  <si>
    <t>PK RS 456000</t>
  </si>
  <si>
    <t>Strategic Planning Executive</t>
  </si>
  <si>
    <t>ID1035</t>
  </si>
  <si>
    <t xml:space="preserve">Rs 4,20,000 </t>
  </si>
  <si>
    <t>ID1036</t>
  </si>
  <si>
    <t>ID1037</t>
  </si>
  <si>
    <t>Category Operations Supv.</t>
  </si>
  <si>
    <t>Kuwait</t>
  </si>
  <si>
    <t>ID1038</t>
  </si>
  <si>
    <t>BI</t>
  </si>
  <si>
    <t>ID1039</t>
  </si>
  <si>
    <t>ID1040</t>
  </si>
  <si>
    <t>ID1041</t>
  </si>
  <si>
    <t>10 Lakh</t>
  </si>
  <si>
    <t>Teaching</t>
  </si>
  <si>
    <t>ID1042</t>
  </si>
  <si>
    <t>ID1043</t>
  </si>
  <si>
    <t>USD 60000</t>
  </si>
  <si>
    <t>Excel Developer</t>
  </si>
  <si>
    <t>ID1044</t>
  </si>
  <si>
    <t>Report Specialist</t>
  </si>
  <si>
    <t>ID1045</t>
  </si>
  <si>
    <t>Project Controlling (MIS Reports)</t>
  </si>
  <si>
    <t>ID1046</t>
  </si>
  <si>
    <t>2,00,000 INR</t>
  </si>
  <si>
    <t>Monitoring &amp; evaluation officer</t>
  </si>
  <si>
    <t>ID1047</t>
  </si>
  <si>
    <t>ID1048</t>
  </si>
  <si>
    <t>Accounts Exec</t>
  </si>
  <si>
    <t>ID1049</t>
  </si>
  <si>
    <t>Rs. 700000</t>
  </si>
  <si>
    <t>ID1050</t>
  </si>
  <si>
    <t>ID1051</t>
  </si>
  <si>
    <t>55000 usd</t>
  </si>
  <si>
    <t>ID1052</t>
  </si>
  <si>
    <t>planning &amp; Sales Control emploee</t>
  </si>
  <si>
    <t>ID1053</t>
  </si>
  <si>
    <t>RRHH</t>
  </si>
  <si>
    <t>SPAIN</t>
  </si>
  <si>
    <t>ID1054</t>
  </si>
  <si>
    <t>Rs. 1200000</t>
  </si>
  <si>
    <t>ID1055</t>
  </si>
  <si>
    <t>ID1056</t>
  </si>
  <si>
    <t>BA</t>
  </si>
  <si>
    <t>ID1057</t>
  </si>
  <si>
    <t>16000 euro</t>
  </si>
  <si>
    <t>Management Information Systems</t>
  </si>
  <si>
    <t>ID1058</t>
  </si>
  <si>
    <t>ID1059</t>
  </si>
  <si>
    <t>ZAR240000</t>
  </si>
  <si>
    <t>Bookkeeper</t>
  </si>
  <si>
    <t>ID1060</t>
  </si>
  <si>
    <t>ID1061</t>
  </si>
  <si>
    <t>Sr Exec - Finance</t>
  </si>
  <si>
    <t>ID1062</t>
  </si>
  <si>
    <t>ID1063</t>
  </si>
  <si>
    <t xml:space="preserve">INR 530000 </t>
  </si>
  <si>
    <t>Project Administrator</t>
  </si>
  <si>
    <t>ID1064</t>
  </si>
  <si>
    <t>1500 $</t>
  </si>
  <si>
    <t>ID1065</t>
  </si>
  <si>
    <t>Rs 200000</t>
  </si>
  <si>
    <t>Business Development Executive</t>
  </si>
  <si>
    <t>ID1066</t>
  </si>
  <si>
    <t>2LAKHS</t>
  </si>
  <si>
    <t>ID1067</t>
  </si>
  <si>
    <t>ID1068</t>
  </si>
  <si>
    <t>ID1069</t>
  </si>
  <si>
    <t>Rs. 25000</t>
  </si>
  <si>
    <t>Professional consultant-Finance</t>
  </si>
  <si>
    <t>ID1070</t>
  </si>
  <si>
    <t>ID1071</t>
  </si>
  <si>
    <t>1600000Rs</t>
  </si>
  <si>
    <t>Manager Fin</t>
  </si>
  <si>
    <t>ID1072</t>
  </si>
  <si>
    <t>business data analyst</t>
  </si>
  <si>
    <t>ID1074</t>
  </si>
  <si>
    <t>ID1075</t>
  </si>
  <si>
    <t>Rs. 438000</t>
  </si>
  <si>
    <t>Assistant Professor</t>
  </si>
  <si>
    <t>ID1076</t>
  </si>
  <si>
    <t>Â£50</t>
  </si>
  <si>
    <t>Production manager</t>
  </si>
  <si>
    <t>ID1077</t>
  </si>
  <si>
    <t>ID1078</t>
  </si>
  <si>
    <t>INR 2.5 Lakh</t>
  </si>
  <si>
    <t xml:space="preserve">SR. MIS </t>
  </si>
  <si>
    <t>ID1079</t>
  </si>
  <si>
    <t>ID1080</t>
  </si>
  <si>
    <t>Data Entry Operator</t>
  </si>
  <si>
    <t>ID1081</t>
  </si>
  <si>
    <t>INR 2500000</t>
  </si>
  <si>
    <t>Vice President</t>
  </si>
  <si>
    <t>ID1082</t>
  </si>
  <si>
    <t>ID1083</t>
  </si>
  <si>
    <t>finance assistant</t>
  </si>
  <si>
    <t>ID1084</t>
  </si>
  <si>
    <t>finance controller</t>
  </si>
  <si>
    <t>ID1085</t>
  </si>
  <si>
    <t>Manufacturing consultant</t>
  </si>
  <si>
    <t>ID1086</t>
  </si>
  <si>
    <t>Â£63000</t>
  </si>
  <si>
    <t>Business Improvement Specialist</t>
  </si>
  <si>
    <t>ID1087</t>
  </si>
  <si>
    <t>ID1088</t>
  </si>
  <si>
    <t>50000 US $ per year</t>
  </si>
  <si>
    <t>Sr. Manager MIS</t>
  </si>
  <si>
    <t>ID1089</t>
  </si>
  <si>
    <t>ID1090</t>
  </si>
  <si>
    <t>ID1091</t>
  </si>
  <si>
    <t>50000 INR</t>
  </si>
  <si>
    <t>Sr.Supervisor</t>
  </si>
  <si>
    <t>ID1092</t>
  </si>
  <si>
    <t>Policy, Performance and Research Officer</t>
  </si>
  <si>
    <t>ID1093</t>
  </si>
  <si>
    <t>Â£23000</t>
  </si>
  <si>
    <t>ID1094</t>
  </si>
  <si>
    <t>ID1095</t>
  </si>
  <si>
    <t>Rs500000</t>
  </si>
  <si>
    <t>ID1096</t>
  </si>
  <si>
    <t>40000 euro</t>
  </si>
  <si>
    <t>Accounting analyst</t>
  </si>
  <si>
    <t>ID1097</t>
  </si>
  <si>
    <t>ID1098</t>
  </si>
  <si>
    <t>Business Operations Co-ordinator</t>
  </si>
  <si>
    <t>ID1099</t>
  </si>
  <si>
    <t>ID1100</t>
  </si>
  <si>
    <t>Project Control Analyst</t>
  </si>
  <si>
    <t>ID1101</t>
  </si>
  <si>
    <t>MDM Executive (Business Analyst)</t>
  </si>
  <si>
    <t>ID1102</t>
  </si>
  <si>
    <t>Data analyst</t>
  </si>
  <si>
    <t>ID1103</t>
  </si>
  <si>
    <t>ID1104</t>
  </si>
  <si>
    <t>ID1105</t>
  </si>
  <si>
    <t>OFFICER</t>
  </si>
  <si>
    <t>PAKISTAN</t>
  </si>
  <si>
    <t>ID1107</t>
  </si>
  <si>
    <t>Â£40000</t>
  </si>
  <si>
    <t>ID1108</t>
  </si>
  <si>
    <t>Spare Part Coordinator</t>
  </si>
  <si>
    <t>ID1109</t>
  </si>
  <si>
    <t>ID1110</t>
  </si>
  <si>
    <t>coordinator</t>
  </si>
  <si>
    <t>ID1111</t>
  </si>
  <si>
    <t>Systems Analyst</t>
  </si>
  <si>
    <t>ID1112</t>
  </si>
  <si>
    <t>Rs. 15000</t>
  </si>
  <si>
    <t>Logistics Operation Analyst</t>
  </si>
  <si>
    <t>ID1113</t>
  </si>
  <si>
    <t>Rs. 600000</t>
  </si>
  <si>
    <t>Company Secretary</t>
  </si>
  <si>
    <t>ID1114</t>
  </si>
  <si>
    <t>INR 300000</t>
  </si>
  <si>
    <t>ID1115</t>
  </si>
  <si>
    <t>ID1116</t>
  </si>
  <si>
    <t>R100,000</t>
  </si>
  <si>
    <t>Q.A.Officer</t>
  </si>
  <si>
    <t>ID1117</t>
  </si>
  <si>
    <t>Â£45000</t>
  </si>
  <si>
    <t>Assistant Director - Performance Information</t>
  </si>
  <si>
    <t>ID1118</t>
  </si>
  <si>
    <t>Â£25000</t>
  </si>
  <si>
    <t>Developer</t>
  </si>
  <si>
    <t>ID1119</t>
  </si>
  <si>
    <t>ID1120</t>
  </si>
  <si>
    <t>Development (Project &amp; Planning) Manager</t>
  </si>
  <si>
    <t>ID1121</t>
  </si>
  <si>
    <t>ID1122</t>
  </si>
  <si>
    <t>GBP Â£45200</t>
  </si>
  <si>
    <t>Clinical audit manager</t>
  </si>
  <si>
    <t>ID1123</t>
  </si>
  <si>
    <t>252000 INR</t>
  </si>
  <si>
    <t>Inventory Manager</t>
  </si>
  <si>
    <t>ID1124</t>
  </si>
  <si>
    <t>ID1125</t>
  </si>
  <si>
    <t>information Analyst</t>
  </si>
  <si>
    <t>ID1126</t>
  </si>
  <si>
    <t>Development Manager</t>
  </si>
  <si>
    <t>ID1127</t>
  </si>
  <si>
    <t>AED 120000</t>
  </si>
  <si>
    <t>ID1128</t>
  </si>
  <si>
    <t>MI Specialist</t>
  </si>
  <si>
    <t>ID1129</t>
  </si>
  <si>
    <t>Network Enginer</t>
  </si>
  <si>
    <t>ID1130</t>
  </si>
  <si>
    <t>Rs. 900000</t>
  </si>
  <si>
    <t>officer</t>
  </si>
  <si>
    <t>ID1131</t>
  </si>
  <si>
    <t>Sr. Team Lead - MIS</t>
  </si>
  <si>
    <t>ID1132</t>
  </si>
  <si>
    <t>KEY</t>
  </si>
  <si>
    <t>ID1133</t>
  </si>
  <si>
    <t>Â£15000</t>
  </si>
  <si>
    <t>ID1134</t>
  </si>
  <si>
    <t>â‚¬ 45000</t>
  </si>
  <si>
    <t>Sales Planning</t>
  </si>
  <si>
    <t>ID1135</t>
  </si>
  <si>
    <t>Rs 2400000</t>
  </si>
  <si>
    <t>GM Finance</t>
  </si>
  <si>
    <t>ID1136</t>
  </si>
  <si>
    <t>PhP 216,000</t>
  </si>
  <si>
    <t>ID1137</t>
  </si>
  <si>
    <t>ID1138</t>
  </si>
  <si>
    <t>Performance manager</t>
  </si>
  <si>
    <t>ID1139</t>
  </si>
  <si>
    <t>software engineer</t>
  </si>
  <si>
    <t>ID1140</t>
  </si>
  <si>
    <t>ID1141</t>
  </si>
  <si>
    <t>ID1142</t>
  </si>
  <si>
    <t>200000 rupees</t>
  </si>
  <si>
    <t>MIS Sr. Executive</t>
  </si>
  <si>
    <t>ID1143</t>
  </si>
  <si>
    <t>Translator</t>
  </si>
  <si>
    <t>ID1144</t>
  </si>
  <si>
    <t>Business Anaylyst</t>
  </si>
  <si>
    <t>ID1145</t>
  </si>
  <si>
    <t>ID1146</t>
  </si>
  <si>
    <t>INR 853000</t>
  </si>
  <si>
    <t>Lead Research Analyst</t>
  </si>
  <si>
    <t>ID1147</t>
  </si>
  <si>
    <t>Management Information Manager</t>
  </si>
  <si>
    <t>Continental Europe</t>
  </si>
  <si>
    <t>ID1148</t>
  </si>
  <si>
    <t>Data Management Officer</t>
  </si>
  <si>
    <t>ID1149</t>
  </si>
  <si>
    <t>Reporting Accountant</t>
  </si>
  <si>
    <t>ID1150</t>
  </si>
  <si>
    <t>â‚¬70k</t>
  </si>
  <si>
    <t>Construction Planner</t>
  </si>
  <si>
    <t>ID1151</t>
  </si>
  <si>
    <t>Assistant Accountant</t>
  </si>
  <si>
    <t>ID1152</t>
  </si>
  <si>
    <t>BI Analyst</t>
  </si>
  <si>
    <t>ID1153</t>
  </si>
  <si>
    <t>MI Analyst</t>
  </si>
  <si>
    <t>ID1154</t>
  </si>
  <si>
    <t>Accounts Assistant</t>
  </si>
  <si>
    <t>ID1155</t>
  </si>
  <si>
    <t>Montenegro</t>
  </si>
  <si>
    <t>ID1156</t>
  </si>
  <si>
    <t>Â£37500</t>
  </si>
  <si>
    <t>Corporate Finance Executive</t>
  </si>
  <si>
    <t>ID1157</t>
  </si>
  <si>
    <t>Rs. 59,000 (Per Month)</t>
  </si>
  <si>
    <t>Manager-Operation</t>
  </si>
  <si>
    <t>ID1158</t>
  </si>
  <si>
    <t>R366252</t>
  </si>
  <si>
    <t>ID1159</t>
  </si>
  <si>
    <t>Financial Analysist</t>
  </si>
  <si>
    <t>ID1160</t>
  </si>
  <si>
    <t>AM Ops</t>
  </si>
  <si>
    <t>ID1161</t>
  </si>
  <si>
    <t>Rs.5,00,000</t>
  </si>
  <si>
    <t>ID1162</t>
  </si>
  <si>
    <t>pricing and cost manager</t>
  </si>
  <si>
    <t>mexico</t>
  </si>
  <si>
    <t>ID1163</t>
  </si>
  <si>
    <t>Catlog associates</t>
  </si>
  <si>
    <t>ID1164</t>
  </si>
  <si>
    <t>Â£51,000/$81,600</t>
  </si>
  <si>
    <t>Business Analyst - Central Finance</t>
  </si>
  <si>
    <t>ID1165</t>
  </si>
  <si>
    <t>DOP</t>
  </si>
  <si>
    <t>Analista de Produccion</t>
  </si>
  <si>
    <t>Republica Dominicana</t>
  </si>
  <si>
    <t>ID1166</t>
  </si>
  <si>
    <t>CAD$65000</t>
  </si>
  <si>
    <t>IT Analyst (Reporting)</t>
  </si>
  <si>
    <t>ID1167</t>
  </si>
  <si>
    <t>ID1168</t>
  </si>
  <si>
    <t>ID1169</t>
  </si>
  <si>
    <t>$50,000 U.S.</t>
  </si>
  <si>
    <t>ID1170</t>
  </si>
  <si>
    <t>Â£80000</t>
  </si>
  <si>
    <t>ID1171</t>
  </si>
  <si>
    <t>R$ 54000</t>
  </si>
  <si>
    <t>Logistics Coordinator</t>
  </si>
  <si>
    <t>ID1172</t>
  </si>
  <si>
    <t>ID1173</t>
  </si>
  <si>
    <t>8725 $</t>
  </si>
  <si>
    <t>ID1175</t>
  </si>
  <si>
    <t>Â£32000</t>
  </si>
  <si>
    <t>Service Analyst</t>
  </si>
  <si>
    <t>ID1176</t>
  </si>
  <si>
    <t>Â£43000</t>
  </si>
  <si>
    <t>Head of Finance</t>
  </si>
  <si>
    <t>ID1177</t>
  </si>
  <si>
    <t>CAD $53,000/-</t>
  </si>
  <si>
    <t>ID1178</t>
  </si>
  <si>
    <t>INR 20 Lakhs p.a.</t>
  </si>
  <si>
    <t>ID1179</t>
  </si>
  <si>
    <t>4.5 laks</t>
  </si>
  <si>
    <t>ID1180</t>
  </si>
  <si>
    <t>Business Intelligence Manager</t>
  </si>
  <si>
    <t>ID1181</t>
  </si>
  <si>
    <t>Network Administrator</t>
  </si>
  <si>
    <t>ID1182</t>
  </si>
  <si>
    <t>GBPÂ£32000</t>
  </si>
  <si>
    <t>Performance Analyst</t>
  </si>
  <si>
    <t>ID1183</t>
  </si>
  <si>
    <t>Data Entry Clerk III</t>
  </si>
  <si>
    <t>ID1184</t>
  </si>
  <si>
    <t>Rs. 350000</t>
  </si>
  <si>
    <t>officer accounts</t>
  </si>
  <si>
    <t>ID1185</t>
  </si>
  <si>
    <t>S$50000</t>
  </si>
  <si>
    <t>ID1186</t>
  </si>
  <si>
    <t>Cost Controlling Executive</t>
  </si>
  <si>
    <t>ID1187</t>
  </si>
  <si>
    <t>Administration Manager</t>
  </si>
  <si>
    <t>Argentina</t>
  </si>
  <si>
    <t>ID1188</t>
  </si>
  <si>
    <t>ID1189</t>
  </si>
  <si>
    <t>216000 AED</t>
  </si>
  <si>
    <t>ID1190</t>
  </si>
  <si>
    <t>Rupees : 2,000,000</t>
  </si>
  <si>
    <t>Excel Corporate Trainer</t>
  </si>
  <si>
    <t>ID1191</t>
  </si>
  <si>
    <t>Quality Management</t>
  </si>
  <si>
    <t>ID1192</t>
  </si>
  <si>
    <t>5000  PLN   net</t>
  </si>
  <si>
    <t>PLN</t>
  </si>
  <si>
    <t>ID1193</t>
  </si>
  <si>
    <t>US$ 7,200</t>
  </si>
  <si>
    <t>Supervisor MIS</t>
  </si>
  <si>
    <t>ID1194</t>
  </si>
  <si>
    <t>ID1195</t>
  </si>
  <si>
    <t>Rs 5,40,000</t>
  </si>
  <si>
    <t>Business Analyst - Solutions</t>
  </si>
  <si>
    <t>ID1196</t>
  </si>
  <si>
    <t>KES 4.3 million</t>
  </si>
  <si>
    <t>KENYA</t>
  </si>
  <si>
    <t>Kenya</t>
  </si>
  <si>
    <t>ID1197</t>
  </si>
  <si>
    <t>82.000 Euro (pre-tax)</t>
  </si>
  <si>
    <t>Finance Project Manager</t>
  </si>
  <si>
    <t>ID1198</t>
  </si>
  <si>
    <t>Manager, Strategy &amp; Insights</t>
  </si>
  <si>
    <t>ID1199</t>
  </si>
  <si>
    <t>Financial/Data Analyst</t>
  </si>
  <si>
    <t>ID1200</t>
  </si>
  <si>
    <t>ID1201</t>
  </si>
  <si>
    <t>Euro 15.000</t>
  </si>
  <si>
    <t>business consultant</t>
  </si>
  <si>
    <t>Italy</t>
  </si>
  <si>
    <t>ID1202</t>
  </si>
  <si>
    <t>Documentation Consultant</t>
  </si>
  <si>
    <t>ID1203</t>
  </si>
  <si>
    <t>Sr. Consultant</t>
  </si>
  <si>
    <t>ID1204</t>
  </si>
  <si>
    <t>ID1205</t>
  </si>
  <si>
    <t>investment accountant</t>
  </si>
  <si>
    <t>ID1206</t>
  </si>
  <si>
    <t>ID1207</t>
  </si>
  <si>
    <t>Officer Production</t>
  </si>
  <si>
    <t>ID1208</t>
  </si>
  <si>
    <t>warehouse management</t>
  </si>
  <si>
    <t>GREECE</t>
  </si>
  <si>
    <t>ID1209</t>
  </si>
  <si>
    <t>Chief Accountant</t>
  </si>
  <si>
    <t>ID1210</t>
  </si>
  <si>
    <t>Manager F &amp; A</t>
  </si>
  <si>
    <t>ID1211</t>
  </si>
  <si>
    <t>Quality Assurance Engineer</t>
  </si>
  <si>
    <t>ID1212</t>
  </si>
  <si>
    <t>ID1213</t>
  </si>
  <si>
    <t>DKK 625000</t>
  </si>
  <si>
    <t>DKK</t>
  </si>
  <si>
    <t>Manager Business Controlling</t>
  </si>
  <si>
    <t>ID1214</t>
  </si>
  <si>
    <t>ID1215</t>
  </si>
  <si>
    <t>sample manager</t>
  </si>
  <si>
    <t>ID1216</t>
  </si>
  <si>
    <t>Practice Manager</t>
  </si>
  <si>
    <t>ID1217</t>
  </si>
  <si>
    <t>INR 750,000</t>
  </si>
  <si>
    <t>ID1218</t>
  </si>
  <si>
    <t>marketing specialist</t>
  </si>
  <si>
    <t>ID1219</t>
  </si>
  <si>
    <t>ID1220</t>
  </si>
  <si>
    <t>40,000 US</t>
  </si>
  <si>
    <t>Staff Accountant</t>
  </si>
  <si>
    <t>ID1221</t>
  </si>
  <si>
    <t>Manager Corporate Finance</t>
  </si>
  <si>
    <t>Latin America</t>
  </si>
  <si>
    <t>ID1222</t>
  </si>
  <si>
    <t>ID1223</t>
  </si>
  <si>
    <t>INR 450000</t>
  </si>
  <si>
    <t>ASSISTANT MANAGER</t>
  </si>
  <si>
    <t>ID1224</t>
  </si>
  <si>
    <t>ID1225</t>
  </si>
  <si>
    <t>700000 INR</t>
  </si>
  <si>
    <t>Lead Executive MIS</t>
  </si>
  <si>
    <t>ID1226</t>
  </si>
  <si>
    <t>Snr Business Analyst</t>
  </si>
  <si>
    <t>ID1227</t>
  </si>
  <si>
    <t>ID1228</t>
  </si>
  <si>
    <t>QATAR</t>
  </si>
  <si>
    <t>ID1229</t>
  </si>
  <si>
    <t>assurance manager</t>
  </si>
  <si>
    <t>ID1230</t>
  </si>
  <si>
    <t>ID1231</t>
  </si>
  <si>
    <t>$40K</t>
  </si>
  <si>
    <t>SOX,SAP, Insurance Coordinator</t>
  </si>
  <si>
    <t>Pakistan, Angola</t>
  </si>
  <si>
    <t>ID1232</t>
  </si>
  <si>
    <t>Â£26000</t>
  </si>
  <si>
    <t>ID1233</t>
  </si>
  <si>
    <t>Financial Accountant</t>
  </si>
  <si>
    <t>ID1234</t>
  </si>
  <si>
    <t>Pmo</t>
  </si>
  <si>
    <t>ID1235</t>
  </si>
  <si>
    <t>ID1236</t>
  </si>
  <si>
    <t>62.000 euro</t>
  </si>
  <si>
    <t>Stafmember</t>
  </si>
  <si>
    <t>ID1237</t>
  </si>
  <si>
    <t>ID1238</t>
  </si>
  <si>
    <t>â‚¬35,000 / â‚¬44,000</t>
  </si>
  <si>
    <t>ID1239</t>
  </si>
  <si>
    <t>education advisor</t>
  </si>
  <si>
    <t>the Netherlands</t>
  </si>
  <si>
    <t>ID1240</t>
  </si>
  <si>
    <t>ID1241</t>
  </si>
  <si>
    <t>Senior Accounts Clerk</t>
  </si>
  <si>
    <t>ID1242</t>
  </si>
  <si>
    <t>ID1243</t>
  </si>
  <si>
    <t>Infection Prevention Surveillance Specialist</t>
  </si>
  <si>
    <t>ID1244</t>
  </si>
  <si>
    <t>ID1245</t>
  </si>
  <si>
    <t>IDR 4000000</t>
  </si>
  <si>
    <t>IDR</t>
  </si>
  <si>
    <t>Office Instructor</t>
  </si>
  <si>
    <t>ID1246</t>
  </si>
  <si>
    <t>GBP 34000</t>
  </si>
  <si>
    <t>Investment Accountant</t>
  </si>
  <si>
    <t>ID1247</t>
  </si>
  <si>
    <t>dkk 450000</t>
  </si>
  <si>
    <t>owner</t>
  </si>
  <si>
    <t>ID1248</t>
  </si>
  <si>
    <t>85000 USD</t>
  </si>
  <si>
    <t xml:space="preserve">Senior Executive Compensation Analyst </t>
  </si>
  <si>
    <t>ID1249</t>
  </si>
  <si>
    <t>USD72000</t>
  </si>
  <si>
    <t>Markets Adviser</t>
  </si>
  <si>
    <t>ID1250</t>
  </si>
  <si>
    <t>ID1251</t>
  </si>
  <si>
    <t>GBP 43,000</t>
  </si>
  <si>
    <t>ID1252</t>
  </si>
  <si>
    <t>Â£25750</t>
  </si>
  <si>
    <t>ID1253</t>
  </si>
  <si>
    <t>Program &amp; Policy Analyst-Advanced</t>
  </si>
  <si>
    <t>ID1254</t>
  </si>
  <si>
    <t>ID1255</t>
  </si>
  <si>
    <t>systems accountant</t>
  </si>
  <si>
    <t>ID1256</t>
  </si>
  <si>
    <t>Sr. Systems Analyst</t>
  </si>
  <si>
    <t>ID1257</t>
  </si>
  <si>
    <t>Environmental Information Analyst</t>
  </si>
  <si>
    <t>ID1258</t>
  </si>
  <si>
    <t>Develope</t>
  </si>
  <si>
    <t>ID1259</t>
  </si>
  <si>
    <t>it manager</t>
  </si>
  <si>
    <t>ID1260</t>
  </si>
  <si>
    <t>MONGOLIAN</t>
  </si>
  <si>
    <t>Mongolia</t>
  </si>
  <si>
    <t>ID1261</t>
  </si>
  <si>
    <t>RM3000</t>
  </si>
  <si>
    <t>Process Engineering</t>
  </si>
  <si>
    <t>ID1262</t>
  </si>
  <si>
    <t>120,000  US$</t>
  </si>
  <si>
    <t>Consultant - Process Improvement</t>
  </si>
  <si>
    <t>ID1263</t>
  </si>
  <si>
    <t>ID1264</t>
  </si>
  <si>
    <t>ID1265</t>
  </si>
  <si>
    <t>Senior Materials Handler</t>
  </si>
  <si>
    <t>ID1266</t>
  </si>
  <si>
    <t>Certified Public Accountant</t>
  </si>
  <si>
    <t>ID1267</t>
  </si>
  <si>
    <t>Manager - Marketing Analytics</t>
  </si>
  <si>
    <t>ID1268</t>
  </si>
  <si>
    <t>Contractor/Consultant</t>
  </si>
  <si>
    <t>ID1270</t>
  </si>
  <si>
    <t>AUD $43000</t>
  </si>
  <si>
    <t>Operations Support Officer</t>
  </si>
  <si>
    <t>ID1271</t>
  </si>
  <si>
    <t>master scheduler</t>
  </si>
  <si>
    <t>ID1273</t>
  </si>
  <si>
    <t>Practice Manager - Business Operations</t>
  </si>
  <si>
    <t>ID1274</t>
  </si>
  <si>
    <t>48000 $AUD</t>
  </si>
  <si>
    <t>ID1275</t>
  </si>
  <si>
    <t>ID1276</t>
  </si>
  <si>
    <t>Staff Assistant</t>
  </si>
  <si>
    <t>ID1277</t>
  </si>
  <si>
    <t>AVP Securitisation</t>
  </si>
  <si>
    <t>ID1278</t>
  </si>
  <si>
    <t>Asstt. Manager</t>
  </si>
  <si>
    <t>ID1279</t>
  </si>
  <si>
    <t>MYR89500</t>
  </si>
  <si>
    <t>ID1280</t>
  </si>
  <si>
    <t>USD 11800 (INR 650000)</t>
  </si>
  <si>
    <t>Assistant Data Analyst</t>
  </si>
  <si>
    <t>ID1281</t>
  </si>
  <si>
    <t>Rs.3.6 Lakhs pa</t>
  </si>
  <si>
    <t>Team Leader WFM</t>
  </si>
  <si>
    <t>ID1282</t>
  </si>
  <si>
    <t>ID1283</t>
  </si>
  <si>
    <t>manager operation</t>
  </si>
  <si>
    <t>srilanka</t>
  </si>
  <si>
    <t>ID1284</t>
  </si>
  <si>
    <t>Indian Rs 10 Lakhs</t>
  </si>
  <si>
    <t>ID1285</t>
  </si>
  <si>
    <t>INR 900000</t>
  </si>
  <si>
    <t>RENTAL INVENTORY CONTROLLER</t>
  </si>
  <si>
    <t>ID1286</t>
  </si>
  <si>
    <t>Publisher</t>
  </si>
  <si>
    <t>ID1287</t>
  </si>
  <si>
    <t>Resource Planning Analyst</t>
  </si>
  <si>
    <t>ID1288</t>
  </si>
  <si>
    <t>ID1289</t>
  </si>
  <si>
    <t>3,00,000.00</t>
  </si>
  <si>
    <t>MIS OFFICER</t>
  </si>
  <si>
    <t>ID1290</t>
  </si>
  <si>
    <t>400000INR</t>
  </si>
  <si>
    <t>ID1291</t>
  </si>
  <si>
    <t>Monitoring &amp; Evaluation officer</t>
  </si>
  <si>
    <t>Myanmar</t>
  </si>
  <si>
    <t>ID1292</t>
  </si>
  <si>
    <t>us $ 14000</t>
  </si>
  <si>
    <t>Pricing Analyst</t>
  </si>
  <si>
    <t>ID1294</t>
  </si>
  <si>
    <t>ID1295</t>
  </si>
  <si>
    <t>ID1296</t>
  </si>
  <si>
    <t>ID1297</t>
  </si>
  <si>
    <t>excel prof</t>
  </si>
  <si>
    <t>pakistan</t>
  </si>
  <si>
    <t>ID1298</t>
  </si>
  <si>
    <t>30000 EUR</t>
  </si>
  <si>
    <t>Employee</t>
  </si>
  <si>
    <t>ID1299</t>
  </si>
  <si>
    <t>6,00,000 INR</t>
  </si>
  <si>
    <t>Senior Business Executive</t>
  </si>
  <si>
    <t>ID1301</t>
  </si>
  <si>
    <t>3.5 lakhs p.a</t>
  </si>
  <si>
    <t>I dont know</t>
  </si>
  <si>
    <t>ID1302</t>
  </si>
  <si>
    <t>Financial Analysis</t>
  </si>
  <si>
    <t>ID1303</t>
  </si>
  <si>
    <t>ID1304</t>
  </si>
  <si>
    <t>Rs 1500000</t>
  </si>
  <si>
    <t>ID1305</t>
  </si>
  <si>
    <t>US$ 100,000</t>
  </si>
  <si>
    <t>Uganda</t>
  </si>
  <si>
    <t>ID1306</t>
  </si>
  <si>
    <t>Project Support Officer</t>
  </si>
  <si>
    <t>ID1307</t>
  </si>
  <si>
    <t>AUS 49,000</t>
  </si>
  <si>
    <t>Document Control</t>
  </si>
  <si>
    <t>ID1308</t>
  </si>
  <si>
    <t>5,75,000</t>
  </si>
  <si>
    <t>Asst Manager HR</t>
  </si>
  <si>
    <t>ID1309</t>
  </si>
  <si>
    <t>500000 Rupees</t>
  </si>
  <si>
    <t>Senior software engineer</t>
  </si>
  <si>
    <t>ID1310</t>
  </si>
  <si>
    <t>36K</t>
  </si>
  <si>
    <t>ID1311</t>
  </si>
  <si>
    <t>210000 per annum</t>
  </si>
  <si>
    <t>MIS cum Purchase Executive</t>
  </si>
  <si>
    <t>ID1312</t>
  </si>
  <si>
    <t>â‚¬ 48500</t>
  </si>
  <si>
    <t>Information analyst</t>
  </si>
  <si>
    <t>ID1313</t>
  </si>
  <si>
    <t>2 LPA</t>
  </si>
  <si>
    <t>ID1314</t>
  </si>
  <si>
    <t>INR360000</t>
  </si>
  <si>
    <t>Sr. Executive -HR</t>
  </si>
  <si>
    <t>ID1315</t>
  </si>
  <si>
    <t>â‚¬ 28500</t>
  </si>
  <si>
    <t>Salary Professsional</t>
  </si>
  <si>
    <t>ID1316</t>
  </si>
  <si>
    <t>ID1317</t>
  </si>
  <si>
    <t>FANANCE</t>
  </si>
  <si>
    <t>SRI LANKA</t>
  </si>
  <si>
    <t>ID1318</t>
  </si>
  <si>
    <t>Manager - Corporate strategy and Planning</t>
  </si>
  <si>
    <t>ID1319</t>
  </si>
  <si>
    <t>6lakhs</t>
  </si>
  <si>
    <t>ID1320</t>
  </si>
  <si>
    <t>NAF Support Manager</t>
  </si>
  <si>
    <t>ID1322</t>
  </si>
  <si>
    <t>43000 EUR</t>
  </si>
  <si>
    <t>Project manager of IT infrastructure</t>
  </si>
  <si>
    <t>ID1323</t>
  </si>
  <si>
    <t>about 24.000 â‚¬</t>
  </si>
  <si>
    <t>ID1324</t>
  </si>
  <si>
    <t>relationship manager</t>
  </si>
  <si>
    <t>ID1325</t>
  </si>
  <si>
    <t>82000 USD</t>
  </si>
  <si>
    <t>ID1326</t>
  </si>
  <si>
    <t>ID1327</t>
  </si>
  <si>
    <t>ID1328</t>
  </si>
  <si>
    <t>ID1329</t>
  </si>
  <si>
    <t>6.6 Lacs</t>
  </si>
  <si>
    <t>AM business Intelligence</t>
  </si>
  <si>
    <t>ID1330</t>
  </si>
  <si>
    <t>17000 Rs</t>
  </si>
  <si>
    <t>MIS Associate</t>
  </si>
  <si>
    <t>ID1331</t>
  </si>
  <si>
    <t>ID1332</t>
  </si>
  <si>
    <t>ID1333</t>
  </si>
  <si>
    <t>41000 â‚¬</t>
  </si>
  <si>
    <t>ID1334</t>
  </si>
  <si>
    <t>TL WFM</t>
  </si>
  <si>
    <t>ID1335</t>
  </si>
  <si>
    <t>new zealand</t>
  </si>
  <si>
    <t>ID1336</t>
  </si>
  <si>
    <t>Dir. Revenue Mgt</t>
  </si>
  <si>
    <t>Kingdom of Saudi Arabia</t>
  </si>
  <si>
    <t>ID1337</t>
  </si>
  <si>
    <t>60000 USD p.a.</t>
  </si>
  <si>
    <t>Controlling Manager</t>
  </si>
  <si>
    <t>CEE</t>
  </si>
  <si>
    <t>ID1338</t>
  </si>
  <si>
    <t>Financial Modelling Analyst</t>
  </si>
  <si>
    <t>ID1339</t>
  </si>
  <si>
    <t>support manager</t>
  </si>
  <si>
    <t>ID1340</t>
  </si>
  <si>
    <t>Web Analyst</t>
  </si>
  <si>
    <t>ID1341</t>
  </si>
  <si>
    <t>Rs.6,00,000</t>
  </si>
  <si>
    <t>ID1342</t>
  </si>
  <si>
    <t>ID1343</t>
  </si>
  <si>
    <t>liquidity manager</t>
  </si>
  <si>
    <t>Ghana</t>
  </si>
  <si>
    <t>ID1344</t>
  </si>
  <si>
    <t>41000 $</t>
  </si>
  <si>
    <t>PO/PMO/Planner/PM</t>
  </si>
  <si>
    <t>ID1345</t>
  </si>
  <si>
    <t>16,00,000</t>
  </si>
  <si>
    <t xml:space="preserve">Senior Associate </t>
  </si>
  <si>
    <t>ID1346</t>
  </si>
  <si>
    <t>ID1347</t>
  </si>
  <si>
    <t>MIS HR,HRIS</t>
  </si>
  <si>
    <t>ID1348</t>
  </si>
  <si>
    <t>Â£70000</t>
  </si>
  <si>
    <t>ID1349</t>
  </si>
  <si>
    <t>ID1350</t>
  </si>
  <si>
    <t>USD 5300</t>
  </si>
  <si>
    <t>Asst. Production Manager</t>
  </si>
  <si>
    <t>ID1351</t>
  </si>
  <si>
    <t>ID1352</t>
  </si>
  <si>
    <t>ID1353</t>
  </si>
  <si>
    <t>9 067</t>
  </si>
  <si>
    <t>assistant</t>
  </si>
  <si>
    <t>ID1354</t>
  </si>
  <si>
    <t>A$150000</t>
  </si>
  <si>
    <t>Bus Analyst</t>
  </si>
  <si>
    <t>ID1355</t>
  </si>
  <si>
    <t>Vice President of Performance Management</t>
  </si>
  <si>
    <t>ID1356</t>
  </si>
  <si>
    <t>Principal advisor</t>
  </si>
  <si>
    <t>ID1357</t>
  </si>
  <si>
    <t>Director of Technology</t>
  </si>
  <si>
    <t>ID1358</t>
  </si>
  <si>
    <t>Austria</t>
  </si>
  <si>
    <t>ID1359</t>
  </si>
  <si>
    <t>ID1360</t>
  </si>
  <si>
    <t>2.5 per lacks</t>
  </si>
  <si>
    <t>Credit Executive</t>
  </si>
  <si>
    <t>ID1361</t>
  </si>
  <si>
    <t>Business Analytics Associate</t>
  </si>
  <si>
    <t>ID1362</t>
  </si>
  <si>
    <t xml:space="preserve">27,000.GBP 42,353 USD </t>
  </si>
  <si>
    <t>Engineering Tech</t>
  </si>
  <si>
    <t>ID1363</t>
  </si>
  <si>
    <t xml:space="preserve">Rs. 4.5 lakhs </t>
  </si>
  <si>
    <t>Mechanical Design engineer</t>
  </si>
  <si>
    <t>ID1364</t>
  </si>
  <si>
    <t>ID1365</t>
  </si>
  <si>
    <t>Business Information Analyst</t>
  </si>
  <si>
    <t>ID1366</t>
  </si>
  <si>
    <t>2.21Lac</t>
  </si>
  <si>
    <t>ID1367</t>
  </si>
  <si>
    <t>Junior Controller</t>
  </si>
  <si>
    <t>ID1368</t>
  </si>
  <si>
    <t>4000000 JPY</t>
  </si>
  <si>
    <t>JPY</t>
  </si>
  <si>
    <t>System Analyst (Configuration Mgmt)</t>
  </si>
  <si>
    <t>ID1369</t>
  </si>
  <si>
    <t>Planning Supervisor</t>
  </si>
  <si>
    <t>ID1370</t>
  </si>
  <si>
    <t>ID1371</t>
  </si>
  <si>
    <t>$80,000 USD</t>
  </si>
  <si>
    <t>Manager of Data Analytics</t>
  </si>
  <si>
    <t>ID1372</t>
  </si>
  <si>
    <t>ID1373</t>
  </si>
  <si>
    <t>Quality Control Supervisor</t>
  </si>
  <si>
    <t>ID1374</t>
  </si>
  <si>
    <t>$100,000 US</t>
  </si>
  <si>
    <t>ID1375</t>
  </si>
  <si>
    <t>$60,000 USD</t>
  </si>
  <si>
    <t>ID1376</t>
  </si>
  <si>
    <t>ID1377</t>
  </si>
  <si>
    <t>clerk 24 hrs per week</t>
  </si>
  <si>
    <t>ID1378</t>
  </si>
  <si>
    <t>Engineering Intern</t>
  </si>
  <si>
    <t>ID1379</t>
  </si>
  <si>
    <t>ID1380</t>
  </si>
  <si>
    <t>ID1381</t>
  </si>
  <si>
    <t>ID1382</t>
  </si>
  <si>
    <t>Vice Head of Dpt in Education</t>
  </si>
  <si>
    <t>ID1383</t>
  </si>
  <si>
    <t xml:space="preserve">$83000 USD </t>
  </si>
  <si>
    <t>Senior Planning Analyst</t>
  </si>
  <si>
    <t>ID1384</t>
  </si>
  <si>
    <t>energy engineer</t>
  </si>
  <si>
    <t>ID1385</t>
  </si>
  <si>
    <t>ID1386</t>
  </si>
  <si>
    <t>Measurement &amp; Verification Engineer</t>
  </si>
  <si>
    <t>ID1387</t>
  </si>
  <si>
    <t>97,000 USD</t>
  </si>
  <si>
    <t>Sr. Manager of Finance</t>
  </si>
  <si>
    <t>ID1388</t>
  </si>
  <si>
    <t>60000 $</t>
  </si>
  <si>
    <t>ID1389</t>
  </si>
  <si>
    <t>I.T Manager</t>
  </si>
  <si>
    <t>ID1390</t>
  </si>
  <si>
    <t>Rs 250000</t>
  </si>
  <si>
    <t>ID1391</t>
  </si>
  <si>
    <t>Measurement Specialist</t>
  </si>
  <si>
    <t>ID1392</t>
  </si>
  <si>
    <t>Test engineer</t>
  </si>
  <si>
    <t>ID1393</t>
  </si>
  <si>
    <t>VP, Business Management</t>
  </si>
  <si>
    <t>ID1394</t>
  </si>
  <si>
    <t>MIS Controller</t>
  </si>
  <si>
    <t>Europe</t>
  </si>
  <si>
    <t>ID1395</t>
  </si>
  <si>
    <t>Senior Underwriting Analyst</t>
  </si>
  <si>
    <t>ID1396</t>
  </si>
  <si>
    <t>ID1397</t>
  </si>
  <si>
    <t>Data Integrity &amp; Reporting Tool Analyst</t>
  </si>
  <si>
    <t>ID1398</t>
  </si>
  <si>
    <t>Manager FP and A</t>
  </si>
  <si>
    <t>ID1399</t>
  </si>
  <si>
    <t>Business Operation Specialist</t>
  </si>
  <si>
    <t>ID1400</t>
  </si>
  <si>
    <t>Stress Engineer</t>
  </si>
  <si>
    <t>ID1401</t>
  </si>
  <si>
    <t>ID1402</t>
  </si>
  <si>
    <t>eeo analyst</t>
  </si>
  <si>
    <t>ID1403</t>
  </si>
  <si>
    <t>Sr Process Consultant</t>
  </si>
  <si>
    <t>ID1404</t>
  </si>
  <si>
    <t>37K</t>
  </si>
  <si>
    <t>Credentialing Coordinator &amp; Productivity Reports "Guru"</t>
  </si>
  <si>
    <t>ID1405</t>
  </si>
  <si>
    <t>Transportation Planner</t>
  </si>
  <si>
    <t>ID1406</t>
  </si>
  <si>
    <t>ID1407</t>
  </si>
  <si>
    <t>ID1408</t>
  </si>
  <si>
    <t>Risk Analyst</t>
  </si>
  <si>
    <t>ID1409</t>
  </si>
  <si>
    <t>Project Coordinator</t>
  </si>
  <si>
    <t>ID1410</t>
  </si>
  <si>
    <t>ID1411</t>
  </si>
  <si>
    <t>36000 euros</t>
  </si>
  <si>
    <t>Data Analytics Consultant</t>
  </si>
  <si>
    <t>ID1412</t>
  </si>
  <si>
    <t>ID1413</t>
  </si>
  <si>
    <t>Manager, Financial Planning &amp; Analysis</t>
  </si>
  <si>
    <t>ID1414</t>
  </si>
  <si>
    <t>Lead Budget/Financial Analyst</t>
  </si>
  <si>
    <t>ID1415</t>
  </si>
  <si>
    <t>216000.00 Saudi Riyak</t>
  </si>
  <si>
    <t>SAR</t>
  </si>
  <si>
    <t>Senior Electrical Engineer</t>
  </si>
  <si>
    <t>ID1416</t>
  </si>
  <si>
    <t>Accounting Supervisor</t>
  </si>
  <si>
    <t>ID1417</t>
  </si>
  <si>
    <t>ID1418</t>
  </si>
  <si>
    <t>Tax Manager</t>
  </si>
  <si>
    <t>ID1419</t>
  </si>
  <si>
    <t>ID1420</t>
  </si>
  <si>
    <t>Finance &amp; IT Manager</t>
  </si>
  <si>
    <t>ID1421</t>
  </si>
  <si>
    <t>Technical Support Specialist</t>
  </si>
  <si>
    <t>ID1422</t>
  </si>
  <si>
    <t>Clinical Data Specialist</t>
  </si>
  <si>
    <t>ID1423</t>
  </si>
  <si>
    <t>INR 750000</t>
  </si>
  <si>
    <t>Associate - Indirect Tax</t>
  </si>
  <si>
    <t>ID1424</t>
  </si>
  <si>
    <t>ID1425</t>
  </si>
  <si>
    <t>Digital Analyst</t>
  </si>
  <si>
    <t>ID1426</t>
  </si>
  <si>
    <t>ID1427</t>
  </si>
  <si>
    <t>Senior Budget Analyst</t>
  </si>
  <si>
    <t>ID1428</t>
  </si>
  <si>
    <t>HR Cordinator</t>
  </si>
  <si>
    <t>ID1429</t>
  </si>
  <si>
    <t>Treasury Analyst</t>
  </si>
  <si>
    <t>ID1430</t>
  </si>
  <si>
    <t>Assistant Engineer</t>
  </si>
  <si>
    <t>ID1431</t>
  </si>
  <si>
    <t>92000 USD</t>
  </si>
  <si>
    <t>ID1432</t>
  </si>
  <si>
    <t>sr. senior analyst</t>
  </si>
  <si>
    <t>ID1433</t>
  </si>
  <si>
    <t>ID1434</t>
  </si>
  <si>
    <t>Project Manager - Finance</t>
  </si>
  <si>
    <t>ID1435</t>
  </si>
  <si>
    <t>Senior analyst, ops support</t>
  </si>
  <si>
    <t>ID1436</t>
  </si>
  <si>
    <t>Rs 3.25 Lacs</t>
  </si>
  <si>
    <t>ISO TS Documentation</t>
  </si>
  <si>
    <t>ID1437</t>
  </si>
  <si>
    <t>ID1438</t>
  </si>
  <si>
    <t>24000 USD</t>
  </si>
  <si>
    <t>inventory controller</t>
  </si>
  <si>
    <t>ID1439</t>
  </si>
  <si>
    <t>Accounting manager</t>
  </si>
  <si>
    <t>ID1440</t>
  </si>
  <si>
    <t>AUD55,000</t>
  </si>
  <si>
    <t>PA</t>
  </si>
  <si>
    <t>ID1442</t>
  </si>
  <si>
    <t>ID1443</t>
  </si>
  <si>
    <t>Manager, Data Management</t>
  </si>
  <si>
    <t>ID1444</t>
  </si>
  <si>
    <t>ID1445</t>
  </si>
  <si>
    <t>ID1446</t>
  </si>
  <si>
    <t>MYR60000</t>
  </si>
  <si>
    <t>Liquidity Management Executive</t>
  </si>
  <si>
    <t>ID1447</t>
  </si>
  <si>
    <t>ID1448</t>
  </si>
  <si>
    <t>ID1449</t>
  </si>
  <si>
    <t xml:space="preserve">accounting systems manager </t>
  </si>
  <si>
    <t>ID1450</t>
  </si>
  <si>
    <t>ID1451</t>
  </si>
  <si>
    <t>Rs. 900000 per annum</t>
  </si>
  <si>
    <t>ID1452</t>
  </si>
  <si>
    <t>Rs  6 lakhs/annum</t>
  </si>
  <si>
    <t>ID1453</t>
  </si>
  <si>
    <t>Accounting Specialist</t>
  </si>
  <si>
    <t>ID1454</t>
  </si>
  <si>
    <t>Project Management</t>
  </si>
  <si>
    <t>ID1455</t>
  </si>
  <si>
    <t>ID1456</t>
  </si>
  <si>
    <t>ID1457</t>
  </si>
  <si>
    <t>project management</t>
  </si>
  <si>
    <t>ID1458</t>
  </si>
  <si>
    <t>ID1459</t>
  </si>
  <si>
    <t>Business Intelligence Supervisor</t>
  </si>
  <si>
    <t>ID1460</t>
  </si>
  <si>
    <t>zar22000</t>
  </si>
  <si>
    <t>SouthAfrica</t>
  </si>
  <si>
    <t>ID1461</t>
  </si>
  <si>
    <t>stress engineer</t>
  </si>
  <si>
    <t>nld</t>
  </si>
  <si>
    <t>ID1462</t>
  </si>
  <si>
    <t>320000 INR</t>
  </si>
  <si>
    <t>ID1463</t>
  </si>
  <si>
    <t>4 Lakhs INR p.a</t>
  </si>
  <si>
    <t>ID1464</t>
  </si>
  <si>
    <t>Rs.2,50,000.00</t>
  </si>
  <si>
    <t>Manager Commercial</t>
  </si>
  <si>
    <t>ID1465</t>
  </si>
  <si>
    <t>ID1466</t>
  </si>
  <si>
    <t>Rs. 1150000/-</t>
  </si>
  <si>
    <t>ID1467</t>
  </si>
  <si>
    <t>Catalog Auditor</t>
  </si>
  <si>
    <t>ID1468</t>
  </si>
  <si>
    <t>Rs 10,00,000</t>
  </si>
  <si>
    <t>ID1469</t>
  </si>
  <si>
    <t>ID1470</t>
  </si>
  <si>
    <t>Â£17000</t>
  </si>
  <si>
    <t>Verification Agent</t>
  </si>
  <si>
    <t>ID1471</t>
  </si>
  <si>
    <t>M &amp; E Officer</t>
  </si>
  <si>
    <t>Myanmar [Burma]</t>
  </si>
  <si>
    <t>ID1472</t>
  </si>
  <si>
    <t>Assistant Financial Accountant</t>
  </si>
  <si>
    <t>ID1473</t>
  </si>
  <si>
    <t>Support</t>
  </si>
  <si>
    <t>EU</t>
  </si>
  <si>
    <t>ID1474</t>
  </si>
  <si>
    <t>Process Assocaite</t>
  </si>
  <si>
    <t>ID1475</t>
  </si>
  <si>
    <t>$AUD 125,000 +</t>
  </si>
  <si>
    <t>Financial Application Developer</t>
  </si>
  <si>
    <t>ID1476</t>
  </si>
  <si>
    <t>Â£37000</t>
  </si>
  <si>
    <t>Planning &amp; Scheduling Manager</t>
  </si>
  <si>
    <t>ID1477</t>
  </si>
  <si>
    <t>ZAR6500</t>
  </si>
  <si>
    <t>Online Stats Controller</t>
  </si>
  <si>
    <t>ID1478</t>
  </si>
  <si>
    <t>INR 60000</t>
  </si>
  <si>
    <t>DEO</t>
  </si>
  <si>
    <t>ID1479</t>
  </si>
  <si>
    <t>M I S Executive</t>
  </si>
  <si>
    <t>ID1480</t>
  </si>
  <si>
    <t>Service Solution Rep</t>
  </si>
  <si>
    <t>ID1481</t>
  </si>
  <si>
    <t>US $ 3200</t>
  </si>
  <si>
    <t xml:space="preserve">Regional Business Manager </t>
  </si>
  <si>
    <t>ID1482</t>
  </si>
  <si>
    <t>sales&amp;marketing</t>
  </si>
  <si>
    <t>turkey</t>
  </si>
  <si>
    <t>ID1483</t>
  </si>
  <si>
    <t>sr analyst</t>
  </si>
  <si>
    <t>ID1484</t>
  </si>
  <si>
    <t>Mgr Technology</t>
  </si>
  <si>
    <t>ID1485</t>
  </si>
  <si>
    <t>60000 Euros</t>
  </si>
  <si>
    <t>ID1486</t>
  </si>
  <si>
    <t>Chemical Engineer</t>
  </si>
  <si>
    <t>ID1487</t>
  </si>
  <si>
    <t>ID1488</t>
  </si>
  <si>
    <t>ID1489</t>
  </si>
  <si>
    <t>Senior Planning Engineer</t>
  </si>
  <si>
    <t>ID1490</t>
  </si>
  <si>
    <t>ID1491</t>
  </si>
  <si>
    <t>ID1492</t>
  </si>
  <si>
    <t>AUD 165000</t>
  </si>
  <si>
    <t>ID1493</t>
  </si>
  <si>
    <t>50000 US$</t>
  </si>
  <si>
    <t>ID1494</t>
  </si>
  <si>
    <t>7200 USD per year aprox</t>
  </si>
  <si>
    <t>control process auxiliary</t>
  </si>
  <si>
    <t>ID1495</t>
  </si>
  <si>
    <t>Business Intelligence Consultant</t>
  </si>
  <si>
    <t>ID1496</t>
  </si>
  <si>
    <t>ID1497</t>
  </si>
  <si>
    <t>Officer MIS</t>
  </si>
  <si>
    <t>ID1498</t>
  </si>
  <si>
    <t>operations Administrator</t>
  </si>
  <si>
    <t>ID1499</t>
  </si>
  <si>
    <t>ID1500</t>
  </si>
  <si>
    <t>33500 â‚¬</t>
  </si>
  <si>
    <t>Controller / VBA Developet</t>
  </si>
  <si>
    <t>ID1501</t>
  </si>
  <si>
    <t>61K</t>
  </si>
  <si>
    <t>ID1502</t>
  </si>
  <si>
    <t>Director of Business Analytics</t>
  </si>
  <si>
    <t>ID1503</t>
  </si>
  <si>
    <t>278000 PA</t>
  </si>
  <si>
    <t>ID1504</t>
  </si>
  <si>
    <t>Supplier Manager</t>
  </si>
  <si>
    <t>ID1505</t>
  </si>
  <si>
    <t>Reports Writer</t>
  </si>
  <si>
    <t>ID1506</t>
  </si>
  <si>
    <t>Process Associate</t>
  </si>
  <si>
    <t>ID1507</t>
  </si>
  <si>
    <t>6.5 LAKHS</t>
  </si>
  <si>
    <t>HR/ADMINISTRATION</t>
  </si>
  <si>
    <t>ID1508</t>
  </si>
  <si>
    <t>ID1509</t>
  </si>
  <si>
    <t>4.00 lac</t>
  </si>
  <si>
    <t>Operational Specialist</t>
  </si>
  <si>
    <t>ID1510</t>
  </si>
  <si>
    <t>US$ 10000</t>
  </si>
  <si>
    <t>Trainee</t>
  </si>
  <si>
    <t>ID1511</t>
  </si>
  <si>
    <t>Senior Business Research Analyst</t>
  </si>
  <si>
    <t>ID1512</t>
  </si>
  <si>
    <t>Senior Consultant - PMO</t>
  </si>
  <si>
    <t>ID1513</t>
  </si>
  <si>
    <t>Rs 5,36,000</t>
  </si>
  <si>
    <t>ID1514</t>
  </si>
  <si>
    <t>ID1515</t>
  </si>
  <si>
    <t>Financial Analst</t>
  </si>
  <si>
    <t>ID1516</t>
  </si>
  <si>
    <t>ID1519</t>
  </si>
  <si>
    <t>ID1520</t>
  </si>
  <si>
    <t>ID1521</t>
  </si>
  <si>
    <t>Excel Business Analyst</t>
  </si>
  <si>
    <t>ID1522</t>
  </si>
  <si>
    <t>SVP</t>
  </si>
  <si>
    <t>ID1523</t>
  </si>
  <si>
    <t>ID1524</t>
  </si>
  <si>
    <t>Bolivia</t>
  </si>
  <si>
    <t>ID1525</t>
  </si>
  <si>
    <t>info analyst</t>
  </si>
  <si>
    <t>ID1526</t>
  </si>
  <si>
    <t>Data Manager</t>
  </si>
  <si>
    <t>ID1527</t>
  </si>
  <si>
    <t>ID1528</t>
  </si>
  <si>
    <t>ID1529</t>
  </si>
  <si>
    <t>ID1530</t>
  </si>
  <si>
    <t>ID1531</t>
  </si>
  <si>
    <t>ID1532</t>
  </si>
  <si>
    <t>ID1533</t>
  </si>
  <si>
    <t>10000 US$</t>
  </si>
  <si>
    <t>Project management</t>
  </si>
  <si>
    <t>Vietnam</t>
  </si>
  <si>
    <t>ID1534</t>
  </si>
  <si>
    <t>Business Banker</t>
  </si>
  <si>
    <t>ID1535</t>
  </si>
  <si>
    <t>Associate Analyst</t>
  </si>
  <si>
    <t>MYS</t>
  </si>
  <si>
    <t>ID1536</t>
  </si>
  <si>
    <t>Rs. 200000/-</t>
  </si>
  <si>
    <t>Accounts Executive</t>
  </si>
  <si>
    <t>ID1537</t>
  </si>
  <si>
    <t>85,000 AUD</t>
  </si>
  <si>
    <t>Demand Planner</t>
  </si>
  <si>
    <t>ID1539</t>
  </si>
  <si>
    <t>ID1540</t>
  </si>
  <si>
    <t>Rs. 380000</t>
  </si>
  <si>
    <t>reporting analyst</t>
  </si>
  <si>
    <t>ID1541</t>
  </si>
  <si>
    <t>Â£30500</t>
  </si>
  <si>
    <t>Construction Estimator</t>
  </si>
  <si>
    <t>ID1542</t>
  </si>
  <si>
    <t>60K â‚¬</t>
  </si>
  <si>
    <t>Trade Marketing</t>
  </si>
  <si>
    <t>NL</t>
  </si>
  <si>
    <t>ID1543</t>
  </si>
  <si>
    <t>Merchandise Planning Manager</t>
  </si>
  <si>
    <t>ID1544</t>
  </si>
  <si>
    <t>pricing manager</t>
  </si>
  <si>
    <t>ID1545</t>
  </si>
  <si>
    <t>Marketing Services Manager</t>
  </si>
  <si>
    <t>ID1546</t>
  </si>
  <si>
    <t>Sr Analyst</t>
  </si>
  <si>
    <t>ID1547</t>
  </si>
  <si>
    <t>Rs. 180000</t>
  </si>
  <si>
    <t>Asst Store Manager</t>
  </si>
  <si>
    <t>ID1548</t>
  </si>
  <si>
    <t>45.000 USD</t>
  </si>
  <si>
    <t>Junior Reporting Manager</t>
  </si>
  <si>
    <t>ID1549</t>
  </si>
  <si>
    <t>Brand manager</t>
  </si>
  <si>
    <t>Libya</t>
  </si>
  <si>
    <t>ID1550</t>
  </si>
  <si>
    <t>ID1551</t>
  </si>
  <si>
    <t>ID1552</t>
  </si>
  <si>
    <t>ID1553</t>
  </si>
  <si>
    <t>55000 EUR</t>
  </si>
  <si>
    <t>Risk Officer</t>
  </si>
  <si>
    <t>ID1554</t>
  </si>
  <si>
    <t>Sr. Risk Analyst</t>
  </si>
  <si>
    <t>ID1555</t>
  </si>
  <si>
    <t>60000 EUR</t>
  </si>
  <si>
    <t>Business Engineer</t>
  </si>
  <si>
    <t>ID1556</t>
  </si>
  <si>
    <t>ID1557</t>
  </si>
  <si>
    <t>FA /financial Analyst</t>
  </si>
  <si>
    <t>Bulgaria</t>
  </si>
  <si>
    <t>ID1558</t>
  </si>
  <si>
    <t>ID1559</t>
  </si>
  <si>
    <t>ID1560</t>
  </si>
  <si>
    <t>$59,000 USD</t>
  </si>
  <si>
    <t>Operations Manager</t>
  </si>
  <si>
    <t>ID1561</t>
  </si>
  <si>
    <t>Management Reporting Analyst</t>
  </si>
  <si>
    <t>ID1562</t>
  </si>
  <si>
    <t>Reporting Team Lead</t>
  </si>
  <si>
    <t>ID1563</t>
  </si>
  <si>
    <t>70000 â‚¬</t>
  </si>
  <si>
    <t>Specialist Learning Technology</t>
  </si>
  <si>
    <t>ID1564</t>
  </si>
  <si>
    <t>USD90,000</t>
  </si>
  <si>
    <t>Operationsl Regional Manager</t>
  </si>
  <si>
    <t>ID1565</t>
  </si>
  <si>
    <t>Manager - Business Development</t>
  </si>
  <si>
    <t>ID1566</t>
  </si>
  <si>
    <t>$40,000 USD</t>
  </si>
  <si>
    <t>QA Data Analyst</t>
  </si>
  <si>
    <t>ID1567</t>
  </si>
  <si>
    <t>SME</t>
  </si>
  <si>
    <t>ID1569</t>
  </si>
  <si>
    <t>Work Force Scheduler for Call Center</t>
  </si>
  <si>
    <t>ID1570</t>
  </si>
  <si>
    <t>ID1571</t>
  </si>
  <si>
    <t>ID1572</t>
  </si>
  <si>
    <t>ID1573</t>
  </si>
  <si>
    <t>Asistente</t>
  </si>
  <si>
    <t>Peru</t>
  </si>
  <si>
    <t>ID1574</t>
  </si>
  <si>
    <t>INR 850000</t>
  </si>
  <si>
    <t>Sr Business analyst</t>
  </si>
  <si>
    <t>ID1575</t>
  </si>
  <si>
    <t>ID1576</t>
  </si>
  <si>
    <t>ID1577</t>
  </si>
  <si>
    <t>35000 GBP</t>
  </si>
  <si>
    <t>finance director</t>
  </si>
  <si>
    <t>ID1578</t>
  </si>
  <si>
    <t>IT Coordinator</t>
  </si>
  <si>
    <t>ID1579</t>
  </si>
  <si>
    <t>ID1580</t>
  </si>
  <si>
    <t>120000 MAD</t>
  </si>
  <si>
    <t>MAD</t>
  </si>
  <si>
    <t>Supply chain Controller</t>
  </si>
  <si>
    <t>Morocco</t>
  </si>
  <si>
    <t>ID1581</t>
  </si>
  <si>
    <t>ID1582</t>
  </si>
  <si>
    <t>Business Operations Analyst</t>
  </si>
  <si>
    <t>ID1583</t>
  </si>
  <si>
    <t>Sr Report Developer</t>
  </si>
  <si>
    <t>ID1584</t>
  </si>
  <si>
    <t>ID1585</t>
  </si>
  <si>
    <t>5.65 lac per annum</t>
  </si>
  <si>
    <t>ID1586</t>
  </si>
  <si>
    <t>Administrator</t>
  </si>
  <si>
    <t>ID1587</t>
  </si>
  <si>
    <t>AU $120000</t>
  </si>
  <si>
    <t>ID1588</t>
  </si>
  <si>
    <t xml:space="preserve">team leader </t>
  </si>
  <si>
    <t>ID1589</t>
  </si>
  <si>
    <t>Quality Assurance Analyst</t>
  </si>
  <si>
    <t>ID1590</t>
  </si>
  <si>
    <t>Analytics engineer</t>
  </si>
  <si>
    <t>ID1591</t>
  </si>
  <si>
    <t>Assistant Manger Service Quality Assurance</t>
  </si>
  <si>
    <t>ID1592</t>
  </si>
  <si>
    <t>AVP</t>
  </si>
  <si>
    <t>ID1593</t>
  </si>
  <si>
    <t>U$52,000/annual</t>
  </si>
  <si>
    <t>ID1594</t>
  </si>
  <si>
    <t>75000 $</t>
  </si>
  <si>
    <t>ID1595</t>
  </si>
  <si>
    <t>Rs 1000000</t>
  </si>
  <si>
    <t>ID1596</t>
  </si>
  <si>
    <t>Lesotho</t>
  </si>
  <si>
    <t>ID1597</t>
  </si>
  <si>
    <t>ID1598</t>
  </si>
  <si>
    <t>21000EUR</t>
  </si>
  <si>
    <t>Coordenador PeÃ§as Grupo</t>
  </si>
  <si>
    <t>ID1600</t>
  </si>
  <si>
    <t>Owner of Business Improvement Consultancy</t>
  </si>
  <si>
    <t>ID1601</t>
  </si>
  <si>
    <t>500 USD</t>
  </si>
  <si>
    <t>ID1602</t>
  </si>
  <si>
    <t>ID1603</t>
  </si>
  <si>
    <t>ID1604</t>
  </si>
  <si>
    <t>dgm</t>
  </si>
  <si>
    <t>ID1605</t>
  </si>
  <si>
    <t>Catalog Circulation Analyst</t>
  </si>
  <si>
    <t>ID1606</t>
  </si>
  <si>
    <t>20000 $</t>
  </si>
  <si>
    <t>ID1607</t>
  </si>
  <si>
    <t>ID1608</t>
  </si>
  <si>
    <t>â‚¬ 50k</t>
  </si>
  <si>
    <t>ID1609</t>
  </si>
  <si>
    <t>ID1610</t>
  </si>
  <si>
    <t>ID1611</t>
  </si>
  <si>
    <t>ID1612</t>
  </si>
  <si>
    <t>ID1613</t>
  </si>
  <si>
    <t>SAS Adminstrator</t>
  </si>
  <si>
    <t>ID1614</t>
  </si>
  <si>
    <t>ID1615</t>
  </si>
  <si>
    <t>Â£21500Uk</t>
  </si>
  <si>
    <t>ID1616</t>
  </si>
  <si>
    <t>ID1617</t>
  </si>
  <si>
    <t>ID1618</t>
  </si>
  <si>
    <t>42000 US</t>
  </si>
  <si>
    <t>production clerk</t>
  </si>
  <si>
    <t>ID1619</t>
  </si>
  <si>
    <t>ID1620</t>
  </si>
  <si>
    <t>ID1621</t>
  </si>
  <si>
    <t>U$13,000</t>
  </si>
  <si>
    <t>Dss Analyst</t>
  </si>
  <si>
    <t>ID1623</t>
  </si>
  <si>
    <t xml:space="preserve">Business Analysis &amp; MIS </t>
  </si>
  <si>
    <t>ID1624</t>
  </si>
  <si>
    <t>50000USD</t>
  </si>
  <si>
    <t>Associate Vice President</t>
  </si>
  <si>
    <t>ID1625</t>
  </si>
  <si>
    <t>M.I.S</t>
  </si>
  <si>
    <t>ID1626</t>
  </si>
  <si>
    <t>ID1627</t>
  </si>
  <si>
    <t>application dev</t>
  </si>
  <si>
    <t>ID1628</t>
  </si>
  <si>
    <t>37000GBP</t>
  </si>
  <si>
    <t>Technical Web Analyst</t>
  </si>
  <si>
    <t>ID1629</t>
  </si>
  <si>
    <t>6.8 Lac INR</t>
  </si>
  <si>
    <t>ID1630</t>
  </si>
  <si>
    <t>ID1631</t>
  </si>
  <si>
    <t>Head of Business</t>
  </si>
  <si>
    <t>ID1632</t>
  </si>
  <si>
    <t>ID1633</t>
  </si>
  <si>
    <t>24 K mauritian Rupees</t>
  </si>
  <si>
    <t>MUR</t>
  </si>
  <si>
    <t>IT Support Engineer</t>
  </si>
  <si>
    <t>Mauritius</t>
  </si>
  <si>
    <t>ID1634</t>
  </si>
  <si>
    <t>ID1635</t>
  </si>
  <si>
    <t>Environmental Adviser</t>
  </si>
  <si>
    <t>Azerbaijan</t>
  </si>
  <si>
    <t>ID1636</t>
  </si>
  <si>
    <t>Rs. 3.70 lacs</t>
  </si>
  <si>
    <t>Senior Officer</t>
  </si>
  <si>
    <t>ID1637</t>
  </si>
  <si>
    <t>IT Developer</t>
  </si>
  <si>
    <t>ID1638</t>
  </si>
  <si>
    <t>485000 DKK</t>
  </si>
  <si>
    <t>ID1639</t>
  </si>
  <si>
    <t>business support analyst</t>
  </si>
  <si>
    <t>New zealand</t>
  </si>
  <si>
    <t>ID1640</t>
  </si>
  <si>
    <t>ID1641</t>
  </si>
  <si>
    <t>10 lacs INR</t>
  </si>
  <si>
    <t>Category Manager</t>
  </si>
  <si>
    <t>ID1642</t>
  </si>
  <si>
    <t>assistant director of finance</t>
  </si>
  <si>
    <t>ID1643</t>
  </si>
  <si>
    <t>ID1644</t>
  </si>
  <si>
    <t>ID1645</t>
  </si>
  <si>
    <t>Clinical Intake Specialist</t>
  </si>
  <si>
    <t>ID1646</t>
  </si>
  <si>
    <t>Marketing services</t>
  </si>
  <si>
    <t>ID1647</t>
  </si>
  <si>
    <t>Senior Associate, Finance</t>
  </si>
  <si>
    <t>ID1648</t>
  </si>
  <si>
    <t xml:space="preserve">MIS </t>
  </si>
  <si>
    <t>ID1649</t>
  </si>
  <si>
    <t>Rs. 125000</t>
  </si>
  <si>
    <t>No</t>
  </si>
  <si>
    <t>ID1650</t>
  </si>
  <si>
    <t>ID1651</t>
  </si>
  <si>
    <t>ID1652</t>
  </si>
  <si>
    <t>280$/ month</t>
  </si>
  <si>
    <t>service executive</t>
  </si>
  <si>
    <t>ID1653</t>
  </si>
  <si>
    <t>ID1654</t>
  </si>
  <si>
    <t>Sr financial analyst</t>
  </si>
  <si>
    <t>ID1655</t>
  </si>
  <si>
    <t>Consulting Practice Manager</t>
  </si>
  <si>
    <t>ID1656</t>
  </si>
  <si>
    <t>SVP of Acquisitions</t>
  </si>
  <si>
    <t>ID1657</t>
  </si>
  <si>
    <t>ID1658</t>
  </si>
  <si>
    <t>Store Inventory</t>
  </si>
  <si>
    <t>ID1659</t>
  </si>
  <si>
    <t>ID1660</t>
  </si>
  <si>
    <t>240000 INR</t>
  </si>
  <si>
    <t>Exicutive TQM</t>
  </si>
  <si>
    <t>ID1661</t>
  </si>
  <si>
    <t>Rs. 5 lacs</t>
  </si>
  <si>
    <t>ID1662</t>
  </si>
  <si>
    <t>ID1663</t>
  </si>
  <si>
    <t>INR 3.2 lpa</t>
  </si>
  <si>
    <t>ID1664</t>
  </si>
  <si>
    <t>Â£22k</t>
  </si>
  <si>
    <t>Supply/Demand Planner</t>
  </si>
  <si>
    <t>ID1665</t>
  </si>
  <si>
    <t>2600 $</t>
  </si>
  <si>
    <t>ISRAEL</t>
  </si>
  <si>
    <t>ID1666</t>
  </si>
  <si>
    <t>ID1667</t>
  </si>
  <si>
    <t>logistics analyst</t>
  </si>
  <si>
    <t>Slovakia</t>
  </si>
  <si>
    <t>ID1668</t>
  </si>
  <si>
    <t>BI director</t>
  </si>
  <si>
    <t>ID1669</t>
  </si>
  <si>
    <t>Sr Manager</t>
  </si>
  <si>
    <t>ID1670</t>
  </si>
  <si>
    <t>11000 USD</t>
  </si>
  <si>
    <t>Dataminer</t>
  </si>
  <si>
    <t>Tunisia</t>
  </si>
  <si>
    <t>ID1671</t>
  </si>
  <si>
    <t>30000 â‚¬</t>
  </si>
  <si>
    <t>Safety technician</t>
  </si>
  <si>
    <t>ID1672</t>
  </si>
  <si>
    <t>Marketing Data Analyst</t>
  </si>
  <si>
    <t>ID1673</t>
  </si>
  <si>
    <t>Category Leader</t>
  </si>
  <si>
    <t>ID1674</t>
  </si>
  <si>
    <t>Customer Sales Analyst</t>
  </si>
  <si>
    <t>ID1675</t>
  </si>
  <si>
    <t>ID1677</t>
  </si>
  <si>
    <t>Maintenance Manager</t>
  </si>
  <si>
    <t>ID1678</t>
  </si>
  <si>
    <t>US$ 30500</t>
  </si>
  <si>
    <t>ID1679</t>
  </si>
  <si>
    <t>Data Resource Specialist</t>
  </si>
  <si>
    <t>ID1680</t>
  </si>
  <si>
    <t>Waiter</t>
  </si>
  <si>
    <t>ID1681</t>
  </si>
  <si>
    <t>Business Systems Analyst I</t>
  </si>
  <si>
    <t>ID1682</t>
  </si>
  <si>
    <t>Technical Specialist</t>
  </si>
  <si>
    <t>ID1683</t>
  </si>
  <si>
    <t>Rs 16000</t>
  </si>
  <si>
    <t>ID1684</t>
  </si>
  <si>
    <t>Enterprise Portfolio Manager</t>
  </si>
  <si>
    <t>ID1685</t>
  </si>
  <si>
    <t>NZD$71000</t>
  </si>
  <si>
    <t>ID1686</t>
  </si>
  <si>
    <t>Sr Executive - MIS</t>
  </si>
  <si>
    <t>ID1687</t>
  </si>
  <si>
    <t>200000 INR</t>
  </si>
  <si>
    <t>ID1688</t>
  </si>
  <si>
    <t>ID1689</t>
  </si>
  <si>
    <t>ID1690</t>
  </si>
  <si>
    <t>ID1691</t>
  </si>
  <si>
    <t>france</t>
  </si>
  <si>
    <t>ID1692</t>
  </si>
  <si>
    <t>Senior QA Tester</t>
  </si>
  <si>
    <t>ID1693</t>
  </si>
  <si>
    <t>400 000 NOK</t>
  </si>
  <si>
    <t>NOK</t>
  </si>
  <si>
    <t>Economic analyst</t>
  </si>
  <si>
    <t>ID1694</t>
  </si>
  <si>
    <t>ID1695</t>
  </si>
  <si>
    <t>ID1696</t>
  </si>
  <si>
    <t>ID1697</t>
  </si>
  <si>
    <t>Directer of Sales Support</t>
  </si>
  <si>
    <t>ID1698</t>
  </si>
  <si>
    <t>Anallyst</t>
  </si>
  <si>
    <t>ID1699</t>
  </si>
  <si>
    <t>ID1700</t>
  </si>
  <si>
    <t>Â£35500</t>
  </si>
  <si>
    <t>ID1701</t>
  </si>
  <si>
    <t>Bussiness Analyst</t>
  </si>
  <si>
    <t>ID1702</t>
  </si>
  <si>
    <t>4 lacs INR</t>
  </si>
  <si>
    <t>ID1703</t>
  </si>
  <si>
    <t>38920EUR</t>
  </si>
  <si>
    <t>functional analyst</t>
  </si>
  <si>
    <t>ID1704</t>
  </si>
  <si>
    <t>US$45,000</t>
  </si>
  <si>
    <t>ID1705</t>
  </si>
  <si>
    <t>US$60000</t>
  </si>
  <si>
    <t>ID1706</t>
  </si>
  <si>
    <t>Actuarial Analyst</t>
  </si>
  <si>
    <t>ID1707</t>
  </si>
  <si>
    <t>process coordinator</t>
  </si>
  <si>
    <t>ID1708</t>
  </si>
  <si>
    <t>ID1710</t>
  </si>
  <si>
    <t>Contact Operations Analyst</t>
  </si>
  <si>
    <t>ID1711</t>
  </si>
  <si>
    <t>Student assistant</t>
  </si>
  <si>
    <t>ID1712</t>
  </si>
  <si>
    <t>ID1713</t>
  </si>
  <si>
    <t>PPC Search Specialist</t>
  </si>
  <si>
    <t>ID1714</t>
  </si>
  <si>
    <t>data organizer</t>
  </si>
  <si>
    <t>ID1716</t>
  </si>
  <si>
    <t>ID1717</t>
  </si>
  <si>
    <t>admin</t>
  </si>
  <si>
    <t>ID1718</t>
  </si>
  <si>
    <t>gov employee</t>
  </si>
  <si>
    <t>ID1719</t>
  </si>
  <si>
    <t>Accounts manager</t>
  </si>
  <si>
    <t>ID1720</t>
  </si>
  <si>
    <t>ID1721</t>
  </si>
  <si>
    <t>1.5 LINR</t>
  </si>
  <si>
    <t>ID1722</t>
  </si>
  <si>
    <t>Manager (MIS)</t>
  </si>
  <si>
    <t>ID1723</t>
  </si>
  <si>
    <t>financial analyst (real estate)</t>
  </si>
  <si>
    <t>ID1724</t>
  </si>
  <si>
    <t>ID1725</t>
  </si>
  <si>
    <t>36000stg</t>
  </si>
  <si>
    <t>contracts officer</t>
  </si>
  <si>
    <t>ID1726</t>
  </si>
  <si>
    <t>exe</t>
  </si>
  <si>
    <t>ID1727</t>
  </si>
  <si>
    <t>500000vINR</t>
  </si>
  <si>
    <t>ID1729</t>
  </si>
  <si>
    <t>Â£27000</t>
  </si>
  <si>
    <t>Network Designer</t>
  </si>
  <si>
    <t>ID1730</t>
  </si>
  <si>
    <t>Senior Production Accountant</t>
  </si>
  <si>
    <t>ID1731</t>
  </si>
  <si>
    <t>ID1732</t>
  </si>
  <si>
    <t>6000 US</t>
  </si>
  <si>
    <t>Reporting Coordinator</t>
  </si>
  <si>
    <t>Armenia</t>
  </si>
  <si>
    <t>ID1733</t>
  </si>
  <si>
    <t>ID1734</t>
  </si>
  <si>
    <t>PMO Analyst</t>
  </si>
  <si>
    <t>ID1735</t>
  </si>
  <si>
    <t>AGM - Operations &amp; Customer Support</t>
  </si>
  <si>
    <t>ID1736</t>
  </si>
  <si>
    <t>Baan ERP Functional Consultant</t>
  </si>
  <si>
    <t>ID1737</t>
  </si>
  <si>
    <t>ID1738</t>
  </si>
  <si>
    <t>ID1739</t>
  </si>
  <si>
    <t>Â£73000</t>
  </si>
  <si>
    <t>ID1740</t>
  </si>
  <si>
    <t>Sourcing Analyst</t>
  </si>
  <si>
    <t>ID1741</t>
  </si>
  <si>
    <t>ID1742</t>
  </si>
  <si>
    <t>Tax Associate</t>
  </si>
  <si>
    <t>ID1743</t>
  </si>
  <si>
    <t>ID1744</t>
  </si>
  <si>
    <t>Senior Fiancial Analyst</t>
  </si>
  <si>
    <t>ID1745</t>
  </si>
  <si>
    <t>Rs. 21500</t>
  </si>
  <si>
    <t>Senior Data Associate</t>
  </si>
  <si>
    <t>ID1746</t>
  </si>
  <si>
    <t>Business Analyst II</t>
  </si>
  <si>
    <t>ID1747</t>
  </si>
  <si>
    <t>ID1748</t>
  </si>
  <si>
    <t>Sales / Finance Manager</t>
  </si>
  <si>
    <t>ID1749</t>
  </si>
  <si>
    <t>ID1750</t>
  </si>
  <si>
    <t>ID1751</t>
  </si>
  <si>
    <t>ID1752</t>
  </si>
  <si>
    <t>9,50,000</t>
  </si>
  <si>
    <t>Associate Manager, Drug Safety Operations</t>
  </si>
  <si>
    <t>ID1753</t>
  </si>
  <si>
    <t>15000inr</t>
  </si>
  <si>
    <t>ID1754</t>
  </si>
  <si>
    <t xml:space="preserve">Project Lead </t>
  </si>
  <si>
    <t>ID1755</t>
  </si>
  <si>
    <t>ID1756</t>
  </si>
  <si>
    <t>INR800000</t>
  </si>
  <si>
    <t>ID1757</t>
  </si>
  <si>
    <t>ID1758</t>
  </si>
  <si>
    <t>ID1759</t>
  </si>
  <si>
    <t xml:space="preserve">Financial Analyst </t>
  </si>
  <si>
    <t>ID1760</t>
  </si>
  <si>
    <t>ID1761</t>
  </si>
  <si>
    <t>bUSINESS aNALYST</t>
  </si>
  <si>
    <t>ID1762</t>
  </si>
  <si>
    <t>ID1763</t>
  </si>
  <si>
    <t>Customer Service</t>
  </si>
  <si>
    <t>ID1764</t>
  </si>
  <si>
    <t>CHF140000</t>
  </si>
  <si>
    <t>CHF</t>
  </si>
  <si>
    <t>Projektleiter</t>
  </si>
  <si>
    <t>ID1765</t>
  </si>
  <si>
    <t>Pricing Manager</t>
  </si>
  <si>
    <t>ID1766</t>
  </si>
  <si>
    <t>ID1767</t>
  </si>
  <si>
    <t>ID1768</t>
  </si>
  <si>
    <t>Compliance Officer</t>
  </si>
  <si>
    <t>ID1769</t>
  </si>
  <si>
    <t>ID1770</t>
  </si>
  <si>
    <t>Data Management Solutions Supervisor</t>
  </si>
  <si>
    <t>ID1771</t>
  </si>
  <si>
    <t>Officer</t>
  </si>
  <si>
    <t>ID1772</t>
  </si>
  <si>
    <t>ID1773</t>
  </si>
  <si>
    <t>1.40 lac</t>
  </si>
  <si>
    <t>magic</t>
  </si>
  <si>
    <t>ID1774</t>
  </si>
  <si>
    <t>account</t>
  </si>
  <si>
    <t>ID1775</t>
  </si>
  <si>
    <t>purchasing manager</t>
  </si>
  <si>
    <t>ID1776</t>
  </si>
  <si>
    <t>ID1777</t>
  </si>
  <si>
    <t>equity research trainee</t>
  </si>
  <si>
    <t>ID1778</t>
  </si>
  <si>
    <t>ID1779</t>
  </si>
  <si>
    <t>ID1780</t>
  </si>
  <si>
    <t xml:space="preserve">project engineer </t>
  </si>
  <si>
    <t>ID1781</t>
  </si>
  <si>
    <t>Teacher</t>
  </si>
  <si>
    <t>ID1782</t>
  </si>
  <si>
    <t>regional sales manager</t>
  </si>
  <si>
    <t>croatia</t>
  </si>
  <si>
    <t>ID1783</t>
  </si>
  <si>
    <t>Â£22300</t>
  </si>
  <si>
    <t>Analysis &amp; insight consultant</t>
  </si>
  <si>
    <t>ID1784</t>
  </si>
  <si>
    <t>Â£31185</t>
  </si>
  <si>
    <t>Data Team Leader</t>
  </si>
  <si>
    <t>ID1785</t>
  </si>
  <si>
    <t>ID1786</t>
  </si>
  <si>
    <t>assistant account manager</t>
  </si>
  <si>
    <t>ID1787</t>
  </si>
  <si>
    <t>ID1788</t>
  </si>
  <si>
    <t>Scientist III</t>
  </si>
  <si>
    <t>ID1789</t>
  </si>
  <si>
    <t>Â£26500</t>
  </si>
  <si>
    <t>Compliance Manager</t>
  </si>
  <si>
    <t>ID1790</t>
  </si>
  <si>
    <t>Development Analyst</t>
  </si>
  <si>
    <t>ID1791</t>
  </si>
  <si>
    <t>computer operator</t>
  </si>
  <si>
    <t>ID1792</t>
  </si>
  <si>
    <t>ID1793</t>
  </si>
  <si>
    <t>ID1794</t>
  </si>
  <si>
    <t>ID1795</t>
  </si>
  <si>
    <t>ID1796</t>
  </si>
  <si>
    <t>ECommerce Manager</t>
  </si>
  <si>
    <t>ID1797</t>
  </si>
  <si>
    <t>ID1798</t>
  </si>
  <si>
    <t>ID1799</t>
  </si>
  <si>
    <t>ID1800</t>
  </si>
  <si>
    <t>Machine Scheduler</t>
  </si>
  <si>
    <t>ID1801</t>
  </si>
  <si>
    <t>ID1802</t>
  </si>
  <si>
    <t>$65,000 US</t>
  </si>
  <si>
    <t>Sr Financial Systems Analyst</t>
  </si>
  <si>
    <t>ID1803</t>
  </si>
  <si>
    <t>ID1804</t>
  </si>
  <si>
    <t>ID1805</t>
  </si>
  <si>
    <t>SFA</t>
  </si>
  <si>
    <t>ID1806</t>
  </si>
  <si>
    <t>ID1807</t>
  </si>
  <si>
    <t>Ð˜Ð¨ Ð¤Ñ‚Ñ„Ð´Ð½Ñ‹Ðµ</t>
  </si>
  <si>
    <t>ID1808</t>
  </si>
  <si>
    <t>ba</t>
  </si>
  <si>
    <t>ID1809</t>
  </si>
  <si>
    <t>Lead Financial Analyst</t>
  </si>
  <si>
    <t>ID1810</t>
  </si>
  <si>
    <t>Senior Associate Engineer</t>
  </si>
  <si>
    <t>ID1811</t>
  </si>
  <si>
    <t>Associate Manager</t>
  </si>
  <si>
    <t>ID1812</t>
  </si>
  <si>
    <t>ID1813</t>
  </si>
  <si>
    <t>ID1814</t>
  </si>
  <si>
    <t>ID1815</t>
  </si>
  <si>
    <t>Manager MIS &amp; Analytics</t>
  </si>
  <si>
    <t>ID1816</t>
  </si>
  <si>
    <t>aud145000</t>
  </si>
  <si>
    <t>ID1818</t>
  </si>
  <si>
    <t>Sales Cordinator</t>
  </si>
  <si>
    <t>ID1819</t>
  </si>
  <si>
    <t>Sr Executive</t>
  </si>
  <si>
    <t>ID1820</t>
  </si>
  <si>
    <t>4.5 Laks</t>
  </si>
  <si>
    <t>ID1821</t>
  </si>
  <si>
    <t>Manager, Operations</t>
  </si>
  <si>
    <t>ID1822</t>
  </si>
  <si>
    <t>IT Trainer</t>
  </si>
  <si>
    <t>ID1823</t>
  </si>
  <si>
    <t>administrator</t>
  </si>
  <si>
    <t>ID1824</t>
  </si>
  <si>
    <t>ID1825</t>
  </si>
  <si>
    <t>$214,000  USD</t>
  </si>
  <si>
    <t>Assistant Corporate Controller</t>
  </si>
  <si>
    <t>ID1826</t>
  </si>
  <si>
    <t>Data Integration Engenieer</t>
  </si>
  <si>
    <t>ID1827</t>
  </si>
  <si>
    <t>purchasing operations administrator</t>
  </si>
  <si>
    <t>ID1828</t>
  </si>
  <si>
    <t>Planning and Logistics Coordinator</t>
  </si>
  <si>
    <t>ID1829</t>
  </si>
  <si>
    <t>1600â‚¬ net monthly</t>
  </si>
  <si>
    <t>bank clerk</t>
  </si>
  <si>
    <t>ID1830</t>
  </si>
  <si>
    <t>Financial Modeler</t>
  </si>
  <si>
    <t>ID1831</t>
  </si>
  <si>
    <t>Personal Assistant</t>
  </si>
  <si>
    <t>Hong Kong</t>
  </si>
  <si>
    <t>ID1832</t>
  </si>
  <si>
    <t>ID1833</t>
  </si>
  <si>
    <t>INR 10 lacs p.a.</t>
  </si>
  <si>
    <t>Mnanager- Customer Project finance &amp; recovery</t>
  </si>
  <si>
    <t>ID1834</t>
  </si>
  <si>
    <t xml:space="preserve">Lead </t>
  </si>
  <si>
    <t>ID1835</t>
  </si>
  <si>
    <t>36000 British pounds</t>
  </si>
  <si>
    <t>Senior officer data reporting</t>
  </si>
  <si>
    <t>ID1836</t>
  </si>
  <si>
    <t>AM</t>
  </si>
  <si>
    <t>ID1837</t>
  </si>
  <si>
    <t>ID1838</t>
  </si>
  <si>
    <t>ID1839</t>
  </si>
  <si>
    <t>ID1840</t>
  </si>
  <si>
    <t>ID1841</t>
  </si>
  <si>
    <t>Rates Analyst</t>
  </si>
  <si>
    <t>ID1842</t>
  </si>
  <si>
    <t>Project Controller</t>
  </si>
  <si>
    <t>ID1843</t>
  </si>
  <si>
    <t>ID1844</t>
  </si>
  <si>
    <t>ID1845</t>
  </si>
  <si>
    <t>accoutant</t>
  </si>
  <si>
    <t>ID1846</t>
  </si>
  <si>
    <t>Programme Officer</t>
  </si>
  <si>
    <t>ID1847</t>
  </si>
  <si>
    <t>Digital Media Analyst</t>
  </si>
  <si>
    <t>ID1848</t>
  </si>
  <si>
    <t>ID1849</t>
  </si>
  <si>
    <t>ID1850</t>
  </si>
  <si>
    <t>ID1851</t>
  </si>
  <si>
    <t>Research Support Specialist</t>
  </si>
  <si>
    <t>ID1852</t>
  </si>
  <si>
    <t>US$ 85000</t>
  </si>
  <si>
    <t>Chief Financial Officer</t>
  </si>
  <si>
    <t>ID1853</t>
  </si>
  <si>
    <t>ID1854</t>
  </si>
  <si>
    <t>Â£33500</t>
  </si>
  <si>
    <t>Senior Manufacturing Engineer</t>
  </si>
  <si>
    <t>ID1855</t>
  </si>
  <si>
    <t>Customer Experence Engineer</t>
  </si>
  <si>
    <t>ID1857</t>
  </si>
  <si>
    <t>ID1858</t>
  </si>
  <si>
    <t>ID1859</t>
  </si>
  <si>
    <t>Baltic</t>
  </si>
  <si>
    <t>ID1860</t>
  </si>
  <si>
    <t>ID1861</t>
  </si>
  <si>
    <t>Manager - Controlling</t>
  </si>
  <si>
    <t>ID1862</t>
  </si>
  <si>
    <t>Sr. System Analyst</t>
  </si>
  <si>
    <t>ID1863</t>
  </si>
  <si>
    <t>ID1864</t>
  </si>
  <si>
    <t>Sr.Manager</t>
  </si>
  <si>
    <t>ID1865</t>
  </si>
  <si>
    <t>ID1866</t>
  </si>
  <si>
    <t>ID1867</t>
  </si>
  <si>
    <t>EUR 90000</t>
  </si>
  <si>
    <t>mainland Europe (Euro zone)</t>
  </si>
  <si>
    <t>ID1868</t>
  </si>
  <si>
    <t>$US16.110,72</t>
  </si>
  <si>
    <t>INFORMATION ANALIST</t>
  </si>
  <si>
    <t>COLOMBIA</t>
  </si>
  <si>
    <t>ID1869</t>
  </si>
  <si>
    <t>HR Supervisor</t>
  </si>
  <si>
    <t>ID1870</t>
  </si>
  <si>
    <t>Marketing Initatities Analyst</t>
  </si>
  <si>
    <t>ID1871</t>
  </si>
  <si>
    <t>Sales Compensation Analyst</t>
  </si>
  <si>
    <t>ID1872</t>
  </si>
  <si>
    <t>materials</t>
  </si>
  <si>
    <t>ID1873</t>
  </si>
  <si>
    <t>Actuarial Specialist</t>
  </si>
  <si>
    <t>ID1874</t>
  </si>
  <si>
    <t>Marketing Database Analyst</t>
  </si>
  <si>
    <t>ID1875</t>
  </si>
  <si>
    <t>ID1876</t>
  </si>
  <si>
    <t>INR 360000</t>
  </si>
  <si>
    <t>ID1877</t>
  </si>
  <si>
    <t>INR 50000</t>
  </si>
  <si>
    <t>Manager- Customer Support</t>
  </si>
  <si>
    <t>ID1878</t>
  </si>
  <si>
    <t>ID1879</t>
  </si>
  <si>
    <t>3.5 lac</t>
  </si>
  <si>
    <t>ID1880</t>
  </si>
  <si>
    <t>3r23regedf</t>
  </si>
  <si>
    <t>ID1881</t>
  </si>
  <si>
    <t>Revenue Focus Manager</t>
  </si>
  <si>
    <t>ID1882</t>
  </si>
  <si>
    <t>ID1883</t>
  </si>
  <si>
    <t>technical analyst</t>
  </si>
  <si>
    <t>ID1884</t>
  </si>
  <si>
    <t>US$100,000</t>
  </si>
  <si>
    <t>Senior Manager MIS</t>
  </si>
  <si>
    <t>ID1885</t>
  </si>
  <si>
    <t>ID1886</t>
  </si>
  <si>
    <t>ID1887</t>
  </si>
  <si>
    <t>ID1888</t>
  </si>
  <si>
    <t>AUD63000</t>
  </si>
  <si>
    <t>Financial Modelling adviser</t>
  </si>
  <si>
    <t>ID1889</t>
  </si>
  <si>
    <t>pm</t>
  </si>
  <si>
    <t>ID1890</t>
  </si>
  <si>
    <t>DK</t>
  </si>
  <si>
    <t>ID1891</t>
  </si>
  <si>
    <t>AML Analyst</t>
  </si>
  <si>
    <t>ID1892</t>
  </si>
  <si>
    <t xml:space="preserve">analyst </t>
  </si>
  <si>
    <t>ID1893</t>
  </si>
  <si>
    <t>$AUD 76300</t>
  </si>
  <si>
    <t>ID1894</t>
  </si>
  <si>
    <t>manager purchase</t>
  </si>
  <si>
    <t>ID1895</t>
  </si>
  <si>
    <t>Process Analyst</t>
  </si>
  <si>
    <t>ID1896</t>
  </si>
  <si>
    <t>ID1897</t>
  </si>
  <si>
    <t>60k usd</t>
  </si>
  <si>
    <t>buyer</t>
  </si>
  <si>
    <t>ID1898</t>
  </si>
  <si>
    <t>ID1899</t>
  </si>
  <si>
    <t>ID1900</t>
  </si>
  <si>
    <t>Inventory Analyst</t>
  </si>
  <si>
    <t>ID1901</t>
  </si>
  <si>
    <t>ID1902</t>
  </si>
  <si>
    <t>operator</t>
  </si>
  <si>
    <t>ID1903</t>
  </si>
  <si>
    <t>ID1904</t>
  </si>
  <si>
    <t>52,224.00ETB</t>
  </si>
  <si>
    <t>ETB</t>
  </si>
  <si>
    <t>Project Costing &amp;Dashboard reporting</t>
  </si>
  <si>
    <t>Ethiopia</t>
  </si>
  <si>
    <t>ID1905</t>
  </si>
  <si>
    <t>ID1906</t>
  </si>
  <si>
    <t>ID1907</t>
  </si>
  <si>
    <t>ID1908</t>
  </si>
  <si>
    <t>ID1909</t>
  </si>
  <si>
    <t>ID1910</t>
  </si>
  <si>
    <t>ID1911</t>
  </si>
  <si>
    <t>Marketing Analyst Co-op</t>
  </si>
  <si>
    <t>ID1912</t>
  </si>
  <si>
    <t>abc</t>
  </si>
  <si>
    <t>ID1914</t>
  </si>
  <si>
    <t>Rs23000/month</t>
  </si>
  <si>
    <t>MIS specialist</t>
  </si>
  <si>
    <t>ID1915</t>
  </si>
  <si>
    <t>ID1916</t>
  </si>
  <si>
    <t>research associate</t>
  </si>
  <si>
    <t>ID1917</t>
  </si>
  <si>
    <t>ID1918</t>
  </si>
  <si>
    <t>Monitoring and Evaluation Officer</t>
  </si>
  <si>
    <t>ID1919</t>
  </si>
  <si>
    <t>Vice President - Finance</t>
  </si>
  <si>
    <t>ID1920</t>
  </si>
  <si>
    <t xml:space="preserve">Operations Analyst </t>
  </si>
  <si>
    <t>ID1921</t>
  </si>
  <si>
    <t>Poultry Analyst</t>
  </si>
  <si>
    <t>ID1922</t>
  </si>
  <si>
    <t>ID1924</t>
  </si>
  <si>
    <t>Customer Resolution</t>
  </si>
  <si>
    <t>ID1925</t>
  </si>
  <si>
    <t>ID1927</t>
  </si>
  <si>
    <t>Business Analist</t>
  </si>
  <si>
    <t>south africa</t>
  </si>
  <si>
    <t>ID1928</t>
  </si>
  <si>
    <t>Oman</t>
  </si>
  <si>
    <t>ID1929</t>
  </si>
  <si>
    <t>eorl</t>
  </si>
  <si>
    <t>ID1930</t>
  </si>
  <si>
    <t>Corporate Trainer</t>
  </si>
  <si>
    <t>ID1931</t>
  </si>
  <si>
    <t>ID1932</t>
  </si>
  <si>
    <t>Administrative Coordinator</t>
  </si>
  <si>
    <t>Unique ID</t>
  </si>
  <si>
    <t>Timestamp</t>
  </si>
  <si>
    <t>Your Salary</t>
  </si>
  <si>
    <t>clean Salary (in local currency)</t>
  </si>
  <si>
    <t>Currency</t>
  </si>
  <si>
    <t>Salary in USD</t>
  </si>
  <si>
    <t>Your Job Title</t>
  </si>
  <si>
    <t>Job Type</t>
  </si>
  <si>
    <t>Where do you work</t>
  </si>
  <si>
    <t>clean Country</t>
  </si>
  <si>
    <t>How many hours of a day you work on Excel</t>
  </si>
  <si>
    <t>Years of Experience</t>
  </si>
  <si>
    <t>ID0001</t>
  </si>
  <si>
    <t>USD</t>
  </si>
  <si>
    <t>MIS Analyst</t>
  </si>
  <si>
    <t>Analyst</t>
  </si>
  <si>
    <t>India</t>
  </si>
  <si>
    <t>4 to 6 hours a day</t>
  </si>
  <si>
    <t>ID0002</t>
  </si>
  <si>
    <t>15000 usd</t>
  </si>
  <si>
    <t>cost control</t>
  </si>
  <si>
    <t>Controller</t>
  </si>
  <si>
    <t>europe/Croatia</t>
  </si>
  <si>
    <t>All the 8 hours baby, all the 8!</t>
  </si>
  <si>
    <t>ID0003</t>
  </si>
  <si>
    <t>Financial Analyst</t>
  </si>
  <si>
    <t>USA</t>
  </si>
  <si>
    <t>ID0004</t>
  </si>
  <si>
    <t>Quality Control</t>
  </si>
  <si>
    <t>Pakistan</t>
  </si>
  <si>
    <t>2 to 3 hours per day</t>
  </si>
  <si>
    <t>ID0005</t>
  </si>
  <si>
    <t>Quality Engineer</t>
  </si>
  <si>
    <t>Engineer</t>
  </si>
  <si>
    <t>ID0006</t>
  </si>
  <si>
    <t>Iceland</t>
  </si>
  <si>
    <t>ID0007</t>
  </si>
  <si>
    <t>EUR</t>
  </si>
  <si>
    <t>senior project manager</t>
  </si>
  <si>
    <t>Manager</t>
  </si>
  <si>
    <t>Germany</t>
  </si>
  <si>
    <t>1 or 2 hours a day</t>
  </si>
  <si>
    <t>ID0008</t>
  </si>
  <si>
    <t>Assistant SP&amp;A</t>
  </si>
  <si>
    <t>Ukraine</t>
  </si>
  <si>
    <t>ID0009</t>
  </si>
  <si>
    <t>44000 $</t>
  </si>
  <si>
    <t>CFO</t>
  </si>
  <si>
    <t>CXO or Top Mgmt.</t>
  </si>
  <si>
    <t>Portugal</t>
  </si>
  <si>
    <t>ID0010</t>
  </si>
  <si>
    <t>PKR 8,000</t>
  </si>
  <si>
    <t>PKR</t>
  </si>
  <si>
    <t xml:space="preserve">Audit Trainee </t>
  </si>
  <si>
    <t>Accountant</t>
  </si>
  <si>
    <t>ID0011</t>
  </si>
  <si>
    <t>â‚¬ 51650</t>
  </si>
  <si>
    <t>Training Specialist</t>
  </si>
  <si>
    <t>Specialist</t>
  </si>
  <si>
    <t>Ireland</t>
  </si>
  <si>
    <t>ID0012</t>
  </si>
  <si>
    <t>quality engineer</t>
  </si>
  <si>
    <t>Hungary</t>
  </si>
  <si>
    <t>ID0013</t>
  </si>
  <si>
    <t>749000 INR</t>
  </si>
  <si>
    <t>INR</t>
  </si>
  <si>
    <t>Senion Analyst</t>
  </si>
  <si>
    <t>ID0014</t>
  </si>
  <si>
    <t>business analyst</t>
  </si>
  <si>
    <t>ID0015</t>
  </si>
  <si>
    <t>Project Engineer</t>
  </si>
  <si>
    <t>ID0016</t>
  </si>
  <si>
    <t>Sr Project Engineer</t>
  </si>
  <si>
    <t>ID0017</t>
  </si>
  <si>
    <t>Business Development</t>
  </si>
  <si>
    <t>Switzerland</t>
  </si>
  <si>
    <t>ID0018</t>
  </si>
  <si>
    <t>Excel Report Writer</t>
  </si>
  <si>
    <t>Reporting</t>
  </si>
  <si>
    <t>South Africa</t>
  </si>
  <si>
    <t>ID0019</t>
  </si>
  <si>
    <t>AGM</t>
  </si>
  <si>
    <t>ID0020</t>
  </si>
  <si>
    <t>GM</t>
  </si>
  <si>
    <t>ID0021</t>
  </si>
  <si>
    <t>DSE Co-ordinator</t>
  </si>
  <si>
    <t>ID0022</t>
  </si>
  <si>
    <t>ID0023</t>
  </si>
  <si>
    <t>ID0024</t>
  </si>
  <si>
    <t>Marketing Director</t>
  </si>
  <si>
    <t>ID0025</t>
  </si>
  <si>
    <t>40000 us</t>
  </si>
  <si>
    <t>sales and marketing</t>
  </si>
  <si>
    <t>ID0026</t>
  </si>
  <si>
    <t>Analyst II</t>
  </si>
  <si>
    <t>ID0028</t>
  </si>
  <si>
    <t>Project Leader</t>
  </si>
  <si>
    <t>Belgium</t>
  </si>
  <si>
    <t>ID0029</t>
  </si>
  <si>
    <t>900000 INR</t>
  </si>
  <si>
    <t>Applications Engineer</t>
  </si>
  <si>
    <t>ID0030</t>
  </si>
  <si>
    <t>Rs 600000</t>
  </si>
  <si>
    <t>strategy manager</t>
  </si>
  <si>
    <t>ID0031</t>
  </si>
  <si>
    <t>Chief of the department of public budget analisis and forecasting</t>
  </si>
  <si>
    <t>Russia</t>
  </si>
  <si>
    <t>ID0032</t>
  </si>
  <si>
    <t>360000 INR</t>
  </si>
  <si>
    <t>ID0033</t>
  </si>
  <si>
    <t>Â£35000</t>
  </si>
  <si>
    <t>GBP</t>
  </si>
  <si>
    <t>Management Information Analyst</t>
  </si>
  <si>
    <t>UK</t>
  </si>
  <si>
    <t>ID0035</t>
  </si>
  <si>
    <t>1600 $</t>
  </si>
  <si>
    <t>Poland</t>
  </si>
  <si>
    <t>ID0036</t>
  </si>
  <si>
    <t>Senior Consultant</t>
  </si>
  <si>
    <t>Consultant</t>
  </si>
  <si>
    <t>ID0037</t>
  </si>
  <si>
    <t>Portfolio Manager</t>
  </si>
  <si>
    <t>ID0038</t>
  </si>
  <si>
    <t>Design Engineer</t>
  </si>
  <si>
    <t>ID0039</t>
  </si>
  <si>
    <t>Academic Advisor</t>
  </si>
  <si>
    <t>ID0040</t>
  </si>
  <si>
    <t>Rs. 400000</t>
  </si>
  <si>
    <t>Coordination</t>
  </si>
  <si>
    <t>ID0041</t>
  </si>
  <si>
    <t>AUD</t>
  </si>
  <si>
    <t>consultant</t>
  </si>
  <si>
    <t>Australia</t>
  </si>
  <si>
    <t>ID0042</t>
  </si>
  <si>
    <t>Business Analsyt</t>
  </si>
  <si>
    <t>ID0043</t>
  </si>
  <si>
    <t>CAD</t>
  </si>
  <si>
    <t>Product Engineer</t>
  </si>
  <si>
    <t>Canada</t>
  </si>
  <si>
    <t>ID0044</t>
  </si>
  <si>
    <t>Senior Accountant</t>
  </si>
  <si>
    <t>ID0045</t>
  </si>
  <si>
    <t>Scientist</t>
  </si>
  <si>
    <t>Misc.</t>
  </si>
  <si>
    <t>ID0046</t>
  </si>
  <si>
    <t>Team Lead</t>
  </si>
  <si>
    <t>ID0047</t>
  </si>
  <si>
    <t>Senior intelligence analyst</t>
  </si>
  <si>
    <t>ID0048</t>
  </si>
  <si>
    <t>Freelance consultant</t>
  </si>
  <si>
    <t>ID0049</t>
  </si>
  <si>
    <t>â‚¬ 45</t>
  </si>
  <si>
    <t>Online Traffic Manager / Web Analist</t>
  </si>
  <si>
    <t>The Netherlands</t>
  </si>
  <si>
    <t>ID0050</t>
  </si>
  <si>
    <t>100000 USD</t>
  </si>
  <si>
    <t>Seinor Financial Analyst</t>
  </si>
  <si>
    <t>ID0051</t>
  </si>
  <si>
    <t>Senior Accounting Supervisor</t>
  </si>
  <si>
    <t>ID0052</t>
  </si>
  <si>
    <t>ID0053</t>
  </si>
  <si>
    <t>2000 Euros</t>
  </si>
  <si>
    <t>PPC Manager</t>
  </si>
  <si>
    <t>ID0054</t>
  </si>
  <si>
    <t>Financial Planner</t>
  </si>
  <si>
    <t>ID0055</t>
  </si>
  <si>
    <t>ID0056</t>
  </si>
  <si>
    <t>ID0057</t>
  </si>
  <si>
    <t>Â£18000</t>
  </si>
  <si>
    <t>Building Design and Performance Researcher</t>
  </si>
  <si>
    <t>ID0058</t>
  </si>
  <si>
    <t>Project leader</t>
  </si>
  <si>
    <t>France</t>
  </si>
  <si>
    <t>ID0059</t>
  </si>
  <si>
    <t>Senior Analyst</t>
  </si>
  <si>
    <t>ID0060</t>
  </si>
  <si>
    <t>ID0061</t>
  </si>
  <si>
    <t>Engineering Data Analyst</t>
  </si>
  <si>
    <t>ID0062</t>
  </si>
  <si>
    <t>Sales Analyst</t>
  </si>
  <si>
    <t>CANADA</t>
  </si>
  <si>
    <t>ID0063</t>
  </si>
  <si>
    <t>Coordinator Of Costa and Buget</t>
  </si>
  <si>
    <t>Brasil</t>
  </si>
  <si>
    <t>ID0064</t>
  </si>
  <si>
    <t>SAP consultant</t>
  </si>
  <si>
    <t>FR</t>
  </si>
  <si>
    <t>ID0065</t>
  </si>
  <si>
    <t>ID0066</t>
  </si>
  <si>
    <t>â‚¬ 38000</t>
  </si>
  <si>
    <t>busines analist</t>
  </si>
  <si>
    <t>ID0067</t>
  </si>
  <si>
    <t>head of data</t>
  </si>
  <si>
    <t>ID0068</t>
  </si>
  <si>
    <t>Business Systems Analyst</t>
  </si>
  <si>
    <t>ID0069</t>
  </si>
  <si>
    <t>Financial Analyst II</t>
  </si>
  <si>
    <t>ID0070</t>
  </si>
  <si>
    <t>Mngr MI</t>
  </si>
  <si>
    <t>RSA</t>
  </si>
  <si>
    <t>ID0071</t>
  </si>
  <si>
    <t>sales analyst</t>
  </si>
  <si>
    <t>ID0072</t>
  </si>
  <si>
    <t>Consumer Research Program Manager</t>
  </si>
  <si>
    <t>ID0073</t>
  </si>
  <si>
    <t>$AUD100000</t>
  </si>
  <si>
    <t>technical trainer</t>
  </si>
  <si>
    <t>ID0074</t>
  </si>
  <si>
    <t>Process Flow Coordinator</t>
  </si>
  <si>
    <t>United Arab Emirates</t>
  </si>
  <si>
    <t>ID0075</t>
  </si>
  <si>
    <t>Process Improvement Specialist</t>
  </si>
  <si>
    <t>ID0076</t>
  </si>
  <si>
    <t>Excel Programmer Consultant</t>
  </si>
  <si>
    <t>ID0077</t>
  </si>
  <si>
    <t>US $60,000</t>
  </si>
  <si>
    <t>Statistical Analyst</t>
  </si>
  <si>
    <t>ID0078</t>
  </si>
  <si>
    <t>ID0079</t>
  </si>
  <si>
    <t>Us$ 18000</t>
  </si>
  <si>
    <t>Operational Analyst</t>
  </si>
  <si>
    <t>Saudi Arabia</t>
  </si>
  <si>
    <t>ID0080</t>
  </si>
  <si>
    <t>Exceler</t>
  </si>
  <si>
    <t>ID0081</t>
  </si>
  <si>
    <t>Marketing Analyst</t>
  </si>
  <si>
    <t>Panama</t>
  </si>
  <si>
    <t>ID0082</t>
  </si>
  <si>
    <t>Â£30000</t>
  </si>
  <si>
    <t>Database Manager</t>
  </si>
  <si>
    <t>ID0083</t>
  </si>
  <si>
    <t>Director</t>
  </si>
  <si>
    <t>ID0084</t>
  </si>
  <si>
    <t>Manager, Forecasts &amp; Budgets</t>
  </si>
  <si>
    <t>ID0085</t>
  </si>
  <si>
    <t>ID0086</t>
  </si>
  <si>
    <t>US $ 31330.00</t>
  </si>
  <si>
    <t>VBA Analyst</t>
  </si>
  <si>
    <t>Brazil</t>
  </si>
  <si>
    <t>ID0087</t>
  </si>
  <si>
    <t>Senior Scheduling Engineer</t>
  </si>
  <si>
    <t>ID0088</t>
  </si>
  <si>
    <t>81,000USD</t>
  </si>
  <si>
    <t>Strategy Consultant</t>
  </si>
  <si>
    <t>ID0089</t>
  </si>
  <si>
    <t>Admin</t>
  </si>
  <si>
    <t>ID0090</t>
  </si>
  <si>
    <t>IT Asset Administrator</t>
  </si>
  <si>
    <t>ID0091</t>
  </si>
  <si>
    <t>Director of Marketing</t>
  </si>
  <si>
    <t>ID0092</t>
  </si>
  <si>
    <t>Graphic Design Manager</t>
  </si>
  <si>
    <t>ID0093</t>
  </si>
  <si>
    <t>Rs. 12,000/-</t>
  </si>
  <si>
    <t>Financial Consultant</t>
  </si>
  <si>
    <t>ID0094</t>
  </si>
  <si>
    <t>Data Analyst</t>
  </si>
  <si>
    <t>ID0095</t>
  </si>
  <si>
    <t>ID0096</t>
  </si>
  <si>
    <t>Paraeducator</t>
  </si>
  <si>
    <t>ID0097</t>
  </si>
  <si>
    <t>91,000 USD</t>
  </si>
  <si>
    <t>Channel Marketing Manager</t>
  </si>
  <si>
    <t>ID0098</t>
  </si>
  <si>
    <t xml:space="preserve">Sales and Marketing Analyst </t>
  </si>
  <si>
    <t>ID0099</t>
  </si>
  <si>
    <t>Production Scheduler</t>
  </si>
  <si>
    <t>ID0100</t>
  </si>
  <si>
    <t>ID0101</t>
  </si>
  <si>
    <t>80k</t>
  </si>
  <si>
    <t>financial analyst</t>
  </si>
  <si>
    <t>ID0102</t>
  </si>
  <si>
    <t>Product Specialist</t>
  </si>
  <si>
    <t>ID0103</t>
  </si>
  <si>
    <t>IT support</t>
  </si>
  <si>
    <t>arabian Gulf</t>
  </si>
  <si>
    <t>ID0104</t>
  </si>
  <si>
    <t>sr. project coordinator</t>
  </si>
  <si>
    <t>ID0105</t>
  </si>
  <si>
    <t>Sr Administrative Assistant</t>
  </si>
  <si>
    <t>Mexico</t>
  </si>
  <si>
    <t>ID0106</t>
  </si>
  <si>
    <t>ID0107</t>
  </si>
  <si>
    <t>IT Analyst</t>
  </si>
  <si>
    <t>ID0108</t>
  </si>
  <si>
    <t>ID0109</t>
  </si>
  <si>
    <t>Project manager</t>
  </si>
  <si>
    <t>Greece</t>
  </si>
  <si>
    <t>ID0111</t>
  </si>
  <si>
    <t>$85,000+</t>
  </si>
  <si>
    <t>Strategic Analyst</t>
  </si>
  <si>
    <t>ID0112</t>
  </si>
  <si>
    <t>Transportation Specialist</t>
  </si>
  <si>
    <t>ID0113</t>
  </si>
  <si>
    <t>$58,000 USD</t>
  </si>
  <si>
    <t>Operations Programs Support</t>
  </si>
  <si>
    <t>ID0114</t>
  </si>
  <si>
    <t>Accounting Coordinator</t>
  </si>
  <si>
    <t>ID0115</t>
  </si>
  <si>
    <t>Asst.Manager Finance</t>
  </si>
  <si>
    <t>UAE</t>
  </si>
  <si>
    <t>ID0116</t>
  </si>
  <si>
    <t>Operations Cost Analyst</t>
  </si>
  <si>
    <t>ID0117</t>
  </si>
  <si>
    <t>Financial Controller</t>
  </si>
  <si>
    <t>ID0118</t>
  </si>
  <si>
    <t>Utilization Analyst</t>
  </si>
  <si>
    <t>ID0119</t>
  </si>
  <si>
    <t>Researcher</t>
  </si>
  <si>
    <t>Colombia</t>
  </si>
  <si>
    <t>ID0120</t>
  </si>
  <si>
    <t>Market Analyst</t>
  </si>
  <si>
    <t>Excel ?!? What Excel?</t>
  </si>
  <si>
    <t>ID0121</t>
  </si>
  <si>
    <t>Web Developer</t>
  </si>
  <si>
    <t>ID0122</t>
  </si>
  <si>
    <t>Sr. Acct</t>
  </si>
  <si>
    <t>ID0123</t>
  </si>
  <si>
    <t>Information Systems Specialist</t>
  </si>
  <si>
    <t>ID0124</t>
  </si>
  <si>
    <t>Analytics lead</t>
  </si>
  <si>
    <t>ID0125</t>
  </si>
  <si>
    <t>ID0126</t>
  </si>
  <si>
    <t>Actuary</t>
  </si>
  <si>
    <t>ID0127</t>
  </si>
  <si>
    <t>US $44,000</t>
  </si>
  <si>
    <t>School Tech Coordinator</t>
  </si>
  <si>
    <t>ID0128</t>
  </si>
  <si>
    <t>sr accountant</t>
  </si>
  <si>
    <t>ID0129</t>
  </si>
  <si>
    <t>36000 usd</t>
  </si>
  <si>
    <t>senior accountant</t>
  </si>
  <si>
    <t>Turkey</t>
  </si>
  <si>
    <t>ID0130</t>
  </si>
  <si>
    <t>Freelance</t>
  </si>
  <si>
    <t>ID0131</t>
  </si>
  <si>
    <t>ID0132</t>
  </si>
  <si>
    <t>DBA</t>
  </si>
  <si>
    <t>ID0133</t>
  </si>
  <si>
    <t>Research Analyst</t>
  </si>
  <si>
    <t>ID0134</t>
  </si>
  <si>
    <t>Project Manager</t>
  </si>
  <si>
    <t>ID0135</t>
  </si>
  <si>
    <t>Market Research Analyst</t>
  </si>
  <si>
    <t>ID0136</t>
  </si>
  <si>
    <t>Manager : Accounts</t>
  </si>
  <si>
    <t>ID0137</t>
  </si>
  <si>
    <t>project manager</t>
  </si>
  <si>
    <t>canada</t>
  </si>
  <si>
    <t>ID0138</t>
  </si>
  <si>
    <t>Inventory manger</t>
  </si>
  <si>
    <t>ID0139</t>
  </si>
  <si>
    <t>Business Analyst</t>
  </si>
  <si>
    <t>ID0140</t>
  </si>
  <si>
    <t>$62,000 CND</t>
  </si>
  <si>
    <t>Process Technician</t>
  </si>
  <si>
    <t>ID0141</t>
  </si>
  <si>
    <t>28000rs</t>
  </si>
  <si>
    <t>MIS Team Leader</t>
  </si>
  <si>
    <t>ID0142</t>
  </si>
  <si>
    <t>ID0143</t>
  </si>
  <si>
    <t>Finance Director</t>
  </si>
  <si>
    <t>ID0144</t>
  </si>
  <si>
    <t>Industrial Engineer</t>
  </si>
  <si>
    <t>ID0145</t>
  </si>
  <si>
    <t>data analyst</t>
  </si>
  <si>
    <t>ID0146</t>
  </si>
  <si>
    <t>Senior Financial &amp; Systems Analyst</t>
  </si>
  <si>
    <t>ID0147</t>
  </si>
  <si>
    <t>project manager - metrics</t>
  </si>
  <si>
    <t>ID0148</t>
  </si>
  <si>
    <t>Informatics Research Analyst</t>
  </si>
  <si>
    <t>ID0149</t>
  </si>
  <si>
    <t>Business Technical Consultant</t>
  </si>
  <si>
    <t>ID0150</t>
  </si>
  <si>
    <t>Business Operations Reporting Analyst</t>
  </si>
  <si>
    <t>ID0151</t>
  </si>
  <si>
    <t>Program Services Coordinator</t>
  </si>
  <si>
    <t>ID0152</t>
  </si>
  <si>
    <t>Specialist - Finance Planning and Analysis</t>
  </si>
  <si>
    <t>ID0153</t>
  </si>
  <si>
    <t>Sr Accountant</t>
  </si>
  <si>
    <t>ID0154</t>
  </si>
  <si>
    <t>ID0155</t>
  </si>
  <si>
    <t>Proces auditor</t>
  </si>
  <si>
    <t>ID0156</t>
  </si>
  <si>
    <t>90000 USD</t>
  </si>
  <si>
    <t>Senior Data Quality Analyst</t>
  </si>
  <si>
    <t>ID0157</t>
  </si>
  <si>
    <t>Sr Business Analyst</t>
  </si>
  <si>
    <t>ID0158</t>
  </si>
  <si>
    <t>COST ACCOUNTANT</t>
  </si>
  <si>
    <t>ID0159</t>
  </si>
  <si>
    <t>Â£32250</t>
  </si>
  <si>
    <t>project Support</t>
  </si>
  <si>
    <t>ID0160</t>
  </si>
  <si>
    <t>managerial</t>
  </si>
  <si>
    <t>ID0161</t>
  </si>
  <si>
    <t>Program Analyst</t>
  </si>
  <si>
    <t>ID0162</t>
  </si>
  <si>
    <t>Team Lead - Computer Discounts</t>
  </si>
  <si>
    <t>ID0163</t>
  </si>
  <si>
    <t>Change Architect</t>
  </si>
  <si>
    <t>ID0164</t>
  </si>
  <si>
    <t>Telecom Technician</t>
  </si>
  <si>
    <t>ID0165</t>
  </si>
  <si>
    <t>Rs. 1300000</t>
  </si>
  <si>
    <t>ID0166</t>
  </si>
  <si>
    <t>Manager, Asset Optimization</t>
  </si>
  <si>
    <t>ID0167</t>
  </si>
  <si>
    <t>Financialcontroller</t>
  </si>
  <si>
    <t>ID0168</t>
  </si>
  <si>
    <t xml:space="preserve">Accounting </t>
  </si>
  <si>
    <t>ID0169</t>
  </si>
  <si>
    <t>Consultant, HR Services &amp; Governance</t>
  </si>
  <si>
    <t>ID0170</t>
  </si>
  <si>
    <t>Rs 5 lakh</t>
  </si>
  <si>
    <t>QA Executive</t>
  </si>
  <si>
    <t>ID0171</t>
  </si>
  <si>
    <t>Senior Actuarial Analyst</t>
  </si>
  <si>
    <t>ID0172</t>
  </si>
  <si>
    <t>Sr. Associate</t>
  </si>
  <si>
    <t>ID0173</t>
  </si>
  <si>
    <t>Budget Analyst</t>
  </si>
  <si>
    <t>ID0174</t>
  </si>
  <si>
    <t>B.I. Data Analyst II</t>
  </si>
  <si>
    <t>ID0175</t>
  </si>
  <si>
    <t>Rd. 11 lakhs</t>
  </si>
  <si>
    <t>Asst manager investor relations and business analytics</t>
  </si>
  <si>
    <t>ID0176</t>
  </si>
  <si>
    <t>Industrial Engineer (Fed)</t>
  </si>
  <si>
    <t>ID0177</t>
  </si>
  <si>
    <t>Informatics specialist</t>
  </si>
  <si>
    <t>ID0178</t>
  </si>
  <si>
    <t>ID0179</t>
  </si>
  <si>
    <t>Trainee Management Accountant</t>
  </si>
  <si>
    <t>ID0180</t>
  </si>
  <si>
    <t>Senior analyst</t>
  </si>
  <si>
    <t>ID0181</t>
  </si>
  <si>
    <t>Director of Analytics</t>
  </si>
  <si>
    <t>ID0182</t>
  </si>
  <si>
    <t>Executive Assistant</t>
  </si>
  <si>
    <t>ID0183</t>
  </si>
  <si>
    <t>Project Speciast</t>
  </si>
  <si>
    <t>ID0184</t>
  </si>
  <si>
    <t>Sales Coordinator &amp; Analytical Support</t>
  </si>
  <si>
    <t>ID0185</t>
  </si>
  <si>
    <t>analyst</t>
  </si>
  <si>
    <t>ID0186</t>
  </si>
  <si>
    <t>Senior Staff Accountant</t>
  </si>
  <si>
    <t>ID0187</t>
  </si>
  <si>
    <t>Consultant - Retail Mkts</t>
  </si>
  <si>
    <t>ID0188</t>
  </si>
  <si>
    <t>Process Manager</t>
  </si>
  <si>
    <t>ID0189</t>
  </si>
  <si>
    <t>Project Manager (Process Owner)</t>
  </si>
  <si>
    <t>ID0190</t>
  </si>
  <si>
    <t>60000 CAD$</t>
  </si>
  <si>
    <t>Demographer</t>
  </si>
  <si>
    <t>ID0192</t>
  </si>
  <si>
    <t>Administrative Assistant</t>
  </si>
  <si>
    <t>ID0193</t>
  </si>
  <si>
    <t>Accounting/Financial Analyst</t>
  </si>
  <si>
    <t>ID0194</t>
  </si>
  <si>
    <t>Business Process Specialist</t>
  </si>
  <si>
    <t>ID0195</t>
  </si>
  <si>
    <t>ID0196</t>
  </si>
  <si>
    <t>Sr Financial Analyst</t>
  </si>
  <si>
    <t>ID0197</t>
  </si>
  <si>
    <t>Asst. Manager (MIS)</t>
  </si>
  <si>
    <t>ID0198</t>
  </si>
  <si>
    <t>US$ 99000</t>
  </si>
  <si>
    <t>Business Controller</t>
  </si>
  <si>
    <t>ID0200</t>
  </si>
  <si>
    <t>ID0201</t>
  </si>
  <si>
    <t>Rs. 275000</t>
  </si>
  <si>
    <t>low level monitoring</t>
  </si>
  <si>
    <t>ID0202</t>
  </si>
  <si>
    <t>INR 16000</t>
  </si>
  <si>
    <t>Administrative</t>
  </si>
  <si>
    <t>ID0203</t>
  </si>
  <si>
    <t>Service Line Coordinator</t>
  </si>
  <si>
    <t>ID0204</t>
  </si>
  <si>
    <t>Strategic Sourcing Manager</t>
  </si>
  <si>
    <t>ID0205</t>
  </si>
  <si>
    <t>INR18Lacs or US$36000</t>
  </si>
  <si>
    <t>Chief Manager</t>
  </si>
  <si>
    <t>ID0207</t>
  </si>
  <si>
    <t>Business Intelligence Analyst</t>
  </si>
  <si>
    <t>ID0208</t>
  </si>
  <si>
    <t>â‚¬ 50000</t>
  </si>
  <si>
    <t>ID0209</t>
  </si>
  <si>
    <t>Sr. Financial Analyst</t>
  </si>
  <si>
    <t>ID0210</t>
  </si>
  <si>
    <t>Buyer</t>
  </si>
  <si>
    <t>ID0211</t>
  </si>
  <si>
    <t>program manager</t>
  </si>
  <si>
    <t>ID0212</t>
  </si>
  <si>
    <t>Reporting Analyst Team Lead</t>
  </si>
  <si>
    <t>ID0213</t>
  </si>
  <si>
    <t>Innovation Analyst</t>
  </si>
  <si>
    <t>Singapore</t>
  </si>
  <si>
    <t>ID0214</t>
  </si>
  <si>
    <t>Operations Expert</t>
  </si>
  <si>
    <t>ID0215</t>
  </si>
  <si>
    <t>Director of Finance</t>
  </si>
  <si>
    <t>ID0216</t>
  </si>
  <si>
    <t>Information Analyst II</t>
  </si>
  <si>
    <t>ID0217</t>
  </si>
  <si>
    <t>ID0218</t>
  </si>
  <si>
    <t>ID0219</t>
  </si>
  <si>
    <t>45k</t>
  </si>
  <si>
    <t>Accounting Assistant</t>
  </si>
  <si>
    <t>ID0220</t>
  </si>
  <si>
    <t>Tax Professional</t>
  </si>
  <si>
    <t>Bermuda</t>
  </si>
  <si>
    <t>ID0221</t>
  </si>
  <si>
    <t>INR 500000</t>
  </si>
  <si>
    <t>ID0222</t>
  </si>
  <si>
    <t>INR 350k</t>
  </si>
  <si>
    <t>Jr. Executive Finance</t>
  </si>
  <si>
    <t>ID0223</t>
  </si>
  <si>
    <t>Assistant Controller</t>
  </si>
  <si>
    <t>ID0224</t>
  </si>
  <si>
    <t>US$ 138K</t>
  </si>
  <si>
    <t>Project engineer</t>
  </si>
  <si>
    <t>Thailand</t>
  </si>
  <si>
    <t>ID0225</t>
  </si>
  <si>
    <t>Cash Officer</t>
  </si>
  <si>
    <t>ID0226</t>
  </si>
  <si>
    <t>ID0227</t>
  </si>
  <si>
    <t>ID0228</t>
  </si>
  <si>
    <t>Technical support specialist</t>
  </si>
  <si>
    <t>ID0229</t>
  </si>
  <si>
    <t>ServiceDesk Supervisor</t>
  </si>
  <si>
    <t>ID0230</t>
  </si>
  <si>
    <t>medical biller</t>
  </si>
  <si>
    <t>ID0231</t>
  </si>
  <si>
    <t>Sr. Strategic Development Specialist</t>
  </si>
  <si>
    <t>ID0232</t>
  </si>
  <si>
    <t>ID0233</t>
  </si>
  <si>
    <t>VP - Procurment</t>
  </si>
  <si>
    <t>ID0234</t>
  </si>
  <si>
    <t>52500.00 USD</t>
  </si>
  <si>
    <t>HRIS Analyst</t>
  </si>
  <si>
    <t>ID0235</t>
  </si>
  <si>
    <t>Procurement manager</t>
  </si>
  <si>
    <t>ID0236</t>
  </si>
  <si>
    <t>Energy Analyst</t>
  </si>
  <si>
    <t>ID0237</t>
  </si>
  <si>
    <t>ID0238</t>
  </si>
  <si>
    <t>Branch head -sales</t>
  </si>
  <si>
    <t>ID0239</t>
  </si>
  <si>
    <t>retail buyer</t>
  </si>
  <si>
    <t>ID0240</t>
  </si>
  <si>
    <t>1000 â‚¬</t>
  </si>
  <si>
    <t>HR Specialist</t>
  </si>
  <si>
    <t>ID0241</t>
  </si>
  <si>
    <t>ID0242</t>
  </si>
  <si>
    <t>ID0243</t>
  </si>
  <si>
    <t>Director of Finance and Accounting</t>
  </si>
  <si>
    <t>ID0244</t>
  </si>
  <si>
    <t>Manager Business Control</t>
  </si>
  <si>
    <t>ID0245</t>
  </si>
  <si>
    <t>Manager Pricing</t>
  </si>
  <si>
    <t>ID0246</t>
  </si>
  <si>
    <t>Insurance Manager</t>
  </si>
  <si>
    <t>ID0247</t>
  </si>
  <si>
    <t>ID0248</t>
  </si>
  <si>
    <t>ID0249</t>
  </si>
  <si>
    <t>US$ 96k</t>
  </si>
  <si>
    <t>Freellance</t>
  </si>
  <si>
    <t>ID0250</t>
  </si>
  <si>
    <t>category manager</t>
  </si>
  <si>
    <t>ID0251</t>
  </si>
  <si>
    <t>Customer Operations Analyst</t>
  </si>
  <si>
    <t>ID0252</t>
  </si>
  <si>
    <t>ID0253</t>
  </si>
  <si>
    <t>ID0254</t>
  </si>
  <si>
    <t>ID0255</t>
  </si>
  <si>
    <t>$31,000 USD</t>
  </si>
  <si>
    <t>Site Technician</t>
  </si>
  <si>
    <t>ID0256</t>
  </si>
  <si>
    <t>Excel Consultant</t>
  </si>
  <si>
    <t>ID0257</t>
  </si>
  <si>
    <t>Senior Project Manager</t>
  </si>
  <si>
    <t>ID0258</t>
  </si>
  <si>
    <t>Rs 470000</t>
  </si>
  <si>
    <t>Web Statistics Analyst</t>
  </si>
  <si>
    <t>ID0259</t>
  </si>
  <si>
    <t>Business Data Analyst I</t>
  </si>
  <si>
    <t>ID0260</t>
  </si>
  <si>
    <t>Â£60000</t>
  </si>
  <si>
    <t>Decision Analyst &amp; Modeller</t>
  </si>
  <si>
    <t>ID0261</t>
  </si>
  <si>
    <t>ID0262</t>
  </si>
  <si>
    <t>Ops Adminstrator</t>
  </si>
  <si>
    <t>ID0263</t>
  </si>
  <si>
    <t>Sr. Global marketing Specialist</t>
  </si>
  <si>
    <t>ID0264</t>
  </si>
  <si>
    <t>financial accountant</t>
  </si>
  <si>
    <t>ID0265</t>
  </si>
  <si>
    <t>Software Consultant</t>
  </si>
  <si>
    <t>ID0266</t>
  </si>
  <si>
    <t>Anaylst</t>
  </si>
  <si>
    <t>ID0267</t>
  </si>
  <si>
    <t>rs 2.76 lakhs per year</t>
  </si>
  <si>
    <t>ID0268</t>
  </si>
  <si>
    <t>$77,000 USD</t>
  </si>
  <si>
    <t>senior accounting coordinator</t>
  </si>
  <si>
    <t>ID0269</t>
  </si>
  <si>
    <t>Demand Planning Mgr</t>
  </si>
  <si>
    <t>ID0270</t>
  </si>
  <si>
    <t>VP / Credit Administrator</t>
  </si>
  <si>
    <t>ID0271</t>
  </si>
  <si>
    <t>DP specialist</t>
  </si>
  <si>
    <t>ID0272</t>
  </si>
  <si>
    <t>Analyst 2</t>
  </si>
  <si>
    <t>ID0273</t>
  </si>
  <si>
    <t>VP</t>
  </si>
  <si>
    <t>ID0274</t>
  </si>
  <si>
    <t>ID0275</t>
  </si>
  <si>
    <t>ID0276</t>
  </si>
  <si>
    <t>35,000 Philippine Peso</t>
  </si>
  <si>
    <t>PHP</t>
  </si>
  <si>
    <t>Global Problem Management - IT</t>
  </si>
  <si>
    <t>Philippines</t>
  </si>
  <si>
    <t>ID0277</t>
  </si>
  <si>
    <t>ID0278</t>
  </si>
  <si>
    <t>Enterprise Performance Metrics Manager</t>
  </si>
  <si>
    <t>ID0279</t>
  </si>
  <si>
    <t>ID0280</t>
  </si>
  <si>
    <t>ID0281</t>
  </si>
  <si>
    <t>University Relations Intern</t>
  </si>
  <si>
    <t>ID0282</t>
  </si>
  <si>
    <t>Auxiliar Administrativo</t>
  </si>
  <si>
    <t>ID0283</t>
  </si>
  <si>
    <t>Engineering Tech Sr.</t>
  </si>
  <si>
    <t>ID0284</t>
  </si>
  <si>
    <t>36000 $</t>
  </si>
  <si>
    <t>Senior Specialist</t>
  </si>
  <si>
    <t>ID0285</t>
  </si>
  <si>
    <t>moneymaker</t>
  </si>
  <si>
    <t>ID0286</t>
  </si>
  <si>
    <t>INR 15,00,000</t>
  </si>
  <si>
    <t>ID0287</t>
  </si>
  <si>
    <t>AED100000</t>
  </si>
  <si>
    <t>AED</t>
  </si>
  <si>
    <t>Dubai</t>
  </si>
  <si>
    <t>ID0288</t>
  </si>
  <si>
    <t>MIS</t>
  </si>
  <si>
    <t>ID0289</t>
  </si>
  <si>
    <t>management accountant</t>
  </si>
  <si>
    <t>ID0290</t>
  </si>
  <si>
    <t>ID0291</t>
  </si>
  <si>
    <t>Â£31000</t>
  </si>
  <si>
    <t>Telecoms Engineer</t>
  </si>
  <si>
    <t>ID0292</t>
  </si>
  <si>
    <t>Software Support</t>
  </si>
  <si>
    <t>ID0293</t>
  </si>
  <si>
    <t>Projects Planner</t>
  </si>
  <si>
    <t>ID0294</t>
  </si>
  <si>
    <t>4.5 lakh INR</t>
  </si>
  <si>
    <t>ID0295</t>
  </si>
  <si>
    <t>Mathematical Data Analyist</t>
  </si>
  <si>
    <t>ID0296</t>
  </si>
  <si>
    <t>sales support</t>
  </si>
  <si>
    <t>ID0297</t>
  </si>
  <si>
    <t xml:space="preserve">Rs.1.8 lakhs </t>
  </si>
  <si>
    <t>Administrative Officer</t>
  </si>
  <si>
    <t>ID0298</t>
  </si>
  <si>
    <t>IS Manager</t>
  </si>
  <si>
    <t>ID0299</t>
  </si>
  <si>
    <t xml:space="preserve">Support Specialist </t>
  </si>
  <si>
    <t>ID0300</t>
  </si>
  <si>
    <t>FA</t>
  </si>
  <si>
    <t>ID0301</t>
  </si>
  <si>
    <t>VP of Finance</t>
  </si>
  <si>
    <t>ID0302</t>
  </si>
  <si>
    <t>36,000 USD</t>
  </si>
  <si>
    <t>PRODUCTION ASSISTANT</t>
  </si>
  <si>
    <t>ID0303</t>
  </si>
  <si>
    <t>ID0304</t>
  </si>
  <si>
    <t>ID0305</t>
  </si>
  <si>
    <t>65000 euro</t>
  </si>
  <si>
    <t>controller</t>
  </si>
  <si>
    <t>germany</t>
  </si>
  <si>
    <t>ID0306</t>
  </si>
  <si>
    <t>HR Analyst</t>
  </si>
  <si>
    <t>ID0307</t>
  </si>
  <si>
    <t>ID0308</t>
  </si>
  <si>
    <t>Plant Controller</t>
  </si>
  <si>
    <t>ID0309</t>
  </si>
  <si>
    <t>consultant bi</t>
  </si>
  <si>
    <t>The netherlands</t>
  </si>
  <si>
    <t>ID0310</t>
  </si>
  <si>
    <t>Royalties Coordinator</t>
  </si>
  <si>
    <t>ID0311</t>
  </si>
  <si>
    <t>Â£20000/year but i work part time 30h/week</t>
  </si>
  <si>
    <t>Graduate Structural Engineer</t>
  </si>
  <si>
    <t>ID0312</t>
  </si>
  <si>
    <t>Operations Analyst</t>
  </si>
  <si>
    <t>ID0313</t>
  </si>
  <si>
    <t>Marketing</t>
  </si>
  <si>
    <t>ID0314</t>
  </si>
  <si>
    <t xml:space="preserve">Finance, Manager </t>
  </si>
  <si>
    <t>ID0315</t>
  </si>
  <si>
    <t>Sr. Business Analyst</t>
  </si>
  <si>
    <t>ID0316</t>
  </si>
  <si>
    <t>150000 MXN</t>
  </si>
  <si>
    <t>MXN</t>
  </si>
  <si>
    <t>Information Analyst</t>
  </si>
  <si>
    <t>ID0317</t>
  </si>
  <si>
    <t>ID0318</t>
  </si>
  <si>
    <t>Financial Specialist</t>
  </si>
  <si>
    <t>ID0319</t>
  </si>
  <si>
    <t>ID0320</t>
  </si>
  <si>
    <t>Management Analyst</t>
  </si>
  <si>
    <t>ID0321</t>
  </si>
  <si>
    <t>INR 1000000</t>
  </si>
  <si>
    <t>ID0322</t>
  </si>
  <si>
    <t>Dp manager</t>
  </si>
  <si>
    <t>ID0323</t>
  </si>
  <si>
    <t>director of analytics</t>
  </si>
  <si>
    <t>ID0324</t>
  </si>
  <si>
    <t>US$ 4.545</t>
  </si>
  <si>
    <t>Supply Processes Analyst</t>
  </si>
  <si>
    <t>ID0325</t>
  </si>
  <si>
    <t>Â£29000</t>
  </si>
  <si>
    <t>ICT Technical Analyst</t>
  </si>
  <si>
    <t>ID0326</t>
  </si>
  <si>
    <t>Sourcing Specialist</t>
  </si>
  <si>
    <t>ID0327</t>
  </si>
  <si>
    <t>ID0328</t>
  </si>
  <si>
    <t>PhP 456,000</t>
  </si>
  <si>
    <t>Reporting Shared Services Oferring Lead</t>
  </si>
  <si>
    <t>ID0329</t>
  </si>
  <si>
    <t>Sales Analytics Manager</t>
  </si>
  <si>
    <t>ID0330</t>
  </si>
  <si>
    <t>22000 usd</t>
  </si>
  <si>
    <t>Product Manager Sr</t>
  </si>
  <si>
    <t>ID0331</t>
  </si>
  <si>
    <t>Database Architect</t>
  </si>
  <si>
    <t>ID0332</t>
  </si>
  <si>
    <t>ID0333</t>
  </si>
  <si>
    <t>CAD 65000</t>
  </si>
  <si>
    <t>Product developer</t>
  </si>
  <si>
    <t>ID0334</t>
  </si>
  <si>
    <t>Supply Chain Analyst</t>
  </si>
  <si>
    <t>ID0335</t>
  </si>
  <si>
    <t>financial planning</t>
  </si>
  <si>
    <t>ID0336</t>
  </si>
  <si>
    <t>400000 INR</t>
  </si>
  <si>
    <t>Test Analyst</t>
  </si>
  <si>
    <t>ID0337</t>
  </si>
  <si>
    <t>project manager, project finance consultant</t>
  </si>
  <si>
    <t>Israel</t>
  </si>
  <si>
    <t>ID0338</t>
  </si>
  <si>
    <t>QC Fabrication Inspector</t>
  </si>
  <si>
    <t>ID0339</t>
  </si>
  <si>
    <t>Manager of Trade Investment &amp; Analysis</t>
  </si>
  <si>
    <t>ID0340</t>
  </si>
  <si>
    <t>30000 Rs</t>
  </si>
  <si>
    <t>Business Analysit</t>
  </si>
  <si>
    <t>ID0341</t>
  </si>
  <si>
    <t>Assistant Outside Plant Project Manager</t>
  </si>
  <si>
    <t>ID0342</t>
  </si>
  <si>
    <t>operation-manager</t>
  </si>
  <si>
    <t>ID0343</t>
  </si>
  <si>
    <t>63000 USD</t>
  </si>
  <si>
    <t>ID0344</t>
  </si>
  <si>
    <t>Senior Financial Analyst</t>
  </si>
  <si>
    <t>ID0346</t>
  </si>
  <si>
    <t>100,000 US$ equiv</t>
  </si>
  <si>
    <t>Senior Data Analyst</t>
  </si>
  <si>
    <t>ID0347</t>
  </si>
  <si>
    <t>3.8 k</t>
  </si>
  <si>
    <t>MIS EXCUTIVE</t>
  </si>
  <si>
    <t>ID0348</t>
  </si>
  <si>
    <t>Advisor</t>
  </si>
  <si>
    <t>ID0349</t>
  </si>
  <si>
    <t>Online Analyst</t>
  </si>
  <si>
    <t>ID0350</t>
  </si>
  <si>
    <t>General Manager</t>
  </si>
  <si>
    <t>ID0351</t>
  </si>
  <si>
    <t>Sr Staff Engineer</t>
  </si>
  <si>
    <t>ID0352</t>
  </si>
  <si>
    <t>3,70,000</t>
  </si>
  <si>
    <t>Senior Design Associate</t>
  </si>
  <si>
    <t>ID0353</t>
  </si>
  <si>
    <t>ID0354</t>
  </si>
  <si>
    <t>Planning and Analysis Supervisor</t>
  </si>
  <si>
    <t>ID0355</t>
  </si>
  <si>
    <t>asset manager</t>
  </si>
  <si>
    <t>ID0356</t>
  </si>
  <si>
    <t>Transportation Engineer</t>
  </si>
  <si>
    <t>ID0357</t>
  </si>
  <si>
    <t>web marketing analyst</t>
  </si>
  <si>
    <t>ID0358</t>
  </si>
  <si>
    <t>170000 usd</t>
  </si>
  <si>
    <t>RS</t>
  </si>
  <si>
    <t>ID0359</t>
  </si>
  <si>
    <t>ID0360</t>
  </si>
  <si>
    <t>ID0361</t>
  </si>
  <si>
    <t>62500.00 USD</t>
  </si>
  <si>
    <t>Director of Payroll</t>
  </si>
  <si>
    <t>ID0362</t>
  </si>
  <si>
    <t>ID0363</t>
  </si>
  <si>
    <t>480 000 SEK / 70000 US$</t>
  </si>
  <si>
    <t>SEK</t>
  </si>
  <si>
    <t>IT consultant</t>
  </si>
  <si>
    <t>Sweden</t>
  </si>
  <si>
    <t>ID0365</t>
  </si>
  <si>
    <t>ID0366</t>
  </si>
  <si>
    <t>Commercial Manager</t>
  </si>
  <si>
    <t>ID0367</t>
  </si>
  <si>
    <t>Quality Assurance Officer</t>
  </si>
  <si>
    <t>ID0368</t>
  </si>
  <si>
    <t>Senior Treasury Analyst</t>
  </si>
  <si>
    <t>ID0369</t>
  </si>
  <si>
    <t>Supervisor, Contracts, Rebates, Chargebacks and Returns</t>
  </si>
  <si>
    <t>ID0370</t>
  </si>
  <si>
    <t>ID0371</t>
  </si>
  <si>
    <t>ceo</t>
  </si>
  <si>
    <t>ID0372</t>
  </si>
  <si>
    <t>480000 Rs.</t>
  </si>
  <si>
    <t>System Manager</t>
  </si>
  <si>
    <t>ID0373</t>
  </si>
  <si>
    <t>ID0374</t>
  </si>
  <si>
    <t>2207,00</t>
  </si>
  <si>
    <t>ID0375</t>
  </si>
  <si>
    <t>director</t>
  </si>
  <si>
    <t>ID0376</t>
  </si>
  <si>
    <t>ID0377</t>
  </si>
  <si>
    <t>Rs. 500000</t>
  </si>
  <si>
    <t>Owner</t>
  </si>
  <si>
    <t>ID0378</t>
  </si>
  <si>
    <t>Senior Business Analyst</t>
  </si>
  <si>
    <t>ID0379</t>
  </si>
  <si>
    <t xml:space="preserve">marketing and sales </t>
  </si>
  <si>
    <t>ID0380</t>
  </si>
  <si>
    <t>Managing Director</t>
  </si>
  <si>
    <t>ID0381</t>
  </si>
  <si>
    <t>ID0382</t>
  </si>
  <si>
    <t>INR 5,40,000</t>
  </si>
  <si>
    <t>Senior Billing Engineer</t>
  </si>
  <si>
    <t>ID0383</t>
  </si>
  <si>
    <t>Quality Analyst</t>
  </si>
  <si>
    <t>ID0384</t>
  </si>
  <si>
    <t>46000 usd</t>
  </si>
  <si>
    <t>Financial analyst</t>
  </si>
  <si>
    <t>ID0385</t>
  </si>
  <si>
    <t>Economist</t>
  </si>
  <si>
    <t>ID0386</t>
  </si>
  <si>
    <t>Rs 6.2 lakhs</t>
  </si>
  <si>
    <t>assistant manager (finance)</t>
  </si>
  <si>
    <t>ID0387</t>
  </si>
  <si>
    <t>Â£28000</t>
  </si>
  <si>
    <t>Central Services Manager</t>
  </si>
  <si>
    <t>ID0388</t>
  </si>
  <si>
    <t xml:space="preserve">Trainer </t>
  </si>
  <si>
    <t>ID0389</t>
  </si>
  <si>
    <t>continuous improvement team member</t>
  </si>
  <si>
    <t>ID0390</t>
  </si>
  <si>
    <t>ID0391</t>
  </si>
  <si>
    <t>MIS Officer</t>
  </si>
  <si>
    <t>ID0392</t>
  </si>
  <si>
    <t>IR Manager</t>
  </si>
  <si>
    <t>ID0393</t>
  </si>
  <si>
    <t>7,50,000 INR</t>
  </si>
  <si>
    <t>ID0394</t>
  </si>
  <si>
    <t>99147 $</t>
  </si>
  <si>
    <t>Chief Specialist of Economics &amp; Planning</t>
  </si>
  <si>
    <t>ID0395</t>
  </si>
  <si>
    <t>Campus Budget Officer</t>
  </si>
  <si>
    <t>ID0396</t>
  </si>
  <si>
    <t>Management Ananlyst</t>
  </si>
  <si>
    <t>ID0397</t>
  </si>
  <si>
    <t>Sales Operations Analyst</t>
  </si>
  <si>
    <t>ID0398</t>
  </si>
  <si>
    <t>120000 BDT</t>
  </si>
  <si>
    <t>BDT</t>
  </si>
  <si>
    <t>Computer Operator</t>
  </si>
  <si>
    <t>Bangladesh</t>
  </si>
  <si>
    <t>ID0399</t>
  </si>
  <si>
    <t>ENGINEER</t>
  </si>
  <si>
    <t>ID0400</t>
  </si>
  <si>
    <t>Sr Management Analytst 2</t>
  </si>
  <si>
    <t>ID0401</t>
  </si>
  <si>
    <t>Accounting Manager</t>
  </si>
  <si>
    <t>ID0402</t>
  </si>
  <si>
    <t>ID0403</t>
  </si>
  <si>
    <t>ID0404</t>
  </si>
  <si>
    <t>Information Research Technician II</t>
  </si>
  <si>
    <t>ID0405</t>
  </si>
  <si>
    <t>ID0406</t>
  </si>
  <si>
    <t>Sr. Systems Engineer</t>
  </si>
  <si>
    <t>ID0407</t>
  </si>
  <si>
    <t>ID0408</t>
  </si>
  <si>
    <t>Senior Purchasing Officer</t>
  </si>
  <si>
    <t>United Arab Emriate</t>
  </si>
  <si>
    <t>ID0409</t>
  </si>
  <si>
    <t>Mgmt Accountant</t>
  </si>
  <si>
    <t>ID0410</t>
  </si>
  <si>
    <t xml:space="preserve">Sr financial analyst </t>
  </si>
  <si>
    <t>ID0411</t>
  </si>
  <si>
    <t>Department Manager</t>
  </si>
  <si>
    <t>Romania</t>
  </si>
  <si>
    <t>ID0412</t>
  </si>
  <si>
    <t>Â¢ 14.000.000,00</t>
  </si>
  <si>
    <t>COSTARICAN</t>
  </si>
  <si>
    <t>Businees Adminstratot</t>
  </si>
  <si>
    <t>Costa Rica</t>
  </si>
  <si>
    <t>ID0413</t>
  </si>
  <si>
    <t xml:space="preserve">Staff assistant </t>
  </si>
  <si>
    <t>ID0414</t>
  </si>
  <si>
    <t>Sr. Accountant</t>
  </si>
  <si>
    <t>ID0415</t>
  </si>
  <si>
    <t>Air Planning Analyst</t>
  </si>
  <si>
    <t>ID0416</t>
  </si>
  <si>
    <t>Credit Analyst</t>
  </si>
  <si>
    <t>ID0417</t>
  </si>
  <si>
    <t>financial management consultant</t>
  </si>
  <si>
    <t>ID0418</t>
  </si>
  <si>
    <t>US$115000</t>
  </si>
  <si>
    <t>ID0419</t>
  </si>
  <si>
    <t>Â£66000</t>
  </si>
  <si>
    <t>IT Project Manager, EMEA</t>
  </si>
  <si>
    <t>ID0420</t>
  </si>
  <si>
    <t>INR 200000</t>
  </si>
  <si>
    <t>ID0421</t>
  </si>
  <si>
    <t>IS Director</t>
  </si>
  <si>
    <t>ID0422</t>
  </si>
  <si>
    <t>ID0423</t>
  </si>
  <si>
    <t>8500 USD</t>
  </si>
  <si>
    <t>ID0424</t>
  </si>
  <si>
    <t>teacher</t>
  </si>
  <si>
    <t>iran</t>
  </si>
  <si>
    <t>ID0425</t>
  </si>
  <si>
    <t>250000 to 270000</t>
  </si>
  <si>
    <t>ID0426</t>
  </si>
  <si>
    <t>Excel trainer</t>
  </si>
  <si>
    <t>Finland</t>
  </si>
  <si>
    <t>ID0427</t>
  </si>
  <si>
    <t>20000 RS</t>
  </si>
  <si>
    <t>WFM Team Lead</t>
  </si>
  <si>
    <t>ID0428</t>
  </si>
  <si>
    <t xml:space="preserve">US $30,000.00 </t>
  </si>
  <si>
    <t>Supervisor</t>
  </si>
  <si>
    <t>ID0429</t>
  </si>
  <si>
    <t>30000 $</t>
  </si>
  <si>
    <t>BI Developer</t>
  </si>
  <si>
    <t>ID0430</t>
  </si>
  <si>
    <t>engineer</t>
  </si>
  <si>
    <t>ID0431</t>
  </si>
  <si>
    <t>Planner</t>
  </si>
  <si>
    <t>ID0432</t>
  </si>
  <si>
    <t>ID0433</t>
  </si>
  <si>
    <t>Â£65000</t>
  </si>
  <si>
    <t>ID0434</t>
  </si>
  <si>
    <t>US $6,629.00</t>
  </si>
  <si>
    <t>Dominican Republic</t>
  </si>
  <si>
    <t>ID0435</t>
  </si>
  <si>
    <t>senior analyst</t>
  </si>
  <si>
    <t>ID0436</t>
  </si>
  <si>
    <t>Assesor</t>
  </si>
  <si>
    <t>ID0437</t>
  </si>
  <si>
    <t>Financial Analys</t>
  </si>
  <si>
    <t>ID0438</t>
  </si>
  <si>
    <t>Sr. Information Systems Analyst</t>
  </si>
  <si>
    <t>ID0439</t>
  </si>
  <si>
    <t>Senior Claims Analyst</t>
  </si>
  <si>
    <t>ID0440</t>
  </si>
  <si>
    <t>ID0441</t>
  </si>
  <si>
    <t>INR 40L</t>
  </si>
  <si>
    <t>Sr Mgr Finance</t>
  </si>
  <si>
    <t>ID0442</t>
  </si>
  <si>
    <t>Rs. 300000</t>
  </si>
  <si>
    <t>Web Portal Manager</t>
  </si>
  <si>
    <t>ID0443</t>
  </si>
  <si>
    <t>manager - MIS &amp; operations planning</t>
  </si>
  <si>
    <t>ID0444</t>
  </si>
  <si>
    <t>web analyst</t>
  </si>
  <si>
    <t>ID0445</t>
  </si>
  <si>
    <t>INR 30,00,000</t>
  </si>
  <si>
    <t>Management Consultant</t>
  </si>
  <si>
    <t>ID0446</t>
  </si>
  <si>
    <t>Continuos improvment</t>
  </si>
  <si>
    <t>Canad</t>
  </si>
  <si>
    <t>ID0447</t>
  </si>
  <si>
    <t>Direct marketing manager</t>
  </si>
  <si>
    <t>ID0448</t>
  </si>
  <si>
    <t>5000 $</t>
  </si>
  <si>
    <t>mis</t>
  </si>
  <si>
    <t>ID0449</t>
  </si>
  <si>
    <t>ID0450</t>
  </si>
  <si>
    <t>ID0451</t>
  </si>
  <si>
    <t>Wine Analyst</t>
  </si>
  <si>
    <t>ID0452</t>
  </si>
  <si>
    <t>500000 rupees</t>
  </si>
  <si>
    <t>ID0453</t>
  </si>
  <si>
    <t>FinanceManager</t>
  </si>
  <si>
    <t>Somalia</t>
  </si>
  <si>
    <t>ID0454</t>
  </si>
  <si>
    <t>Regional Manager</t>
  </si>
  <si>
    <t>ID0455</t>
  </si>
  <si>
    <t>7500 USD</t>
  </si>
  <si>
    <t>HR reporting analyst</t>
  </si>
  <si>
    <t>ID0456</t>
  </si>
  <si>
    <t>Finalcial Reporting Analyst</t>
  </si>
  <si>
    <t>ID0457</t>
  </si>
  <si>
    <t>800000 rupees</t>
  </si>
  <si>
    <t>Partner</t>
  </si>
  <si>
    <t>ID0458</t>
  </si>
  <si>
    <t>operations tech</t>
  </si>
  <si>
    <t>ID0459</t>
  </si>
  <si>
    <t>Â£38000</t>
  </si>
  <si>
    <t>Commercial Accountant</t>
  </si>
  <si>
    <t>ID0460</t>
  </si>
  <si>
    <t>52,000 Cdn</t>
  </si>
  <si>
    <t>Office Manager</t>
  </si>
  <si>
    <t>ID0461</t>
  </si>
  <si>
    <t>Prod Mgr</t>
  </si>
  <si>
    <t>ID0462</t>
  </si>
  <si>
    <t>Graphics/Web Document Designer</t>
  </si>
  <si>
    <t>ID0463</t>
  </si>
  <si>
    <t>ID0464</t>
  </si>
  <si>
    <t>ID0465</t>
  </si>
  <si>
    <t>Business intelligence manager</t>
  </si>
  <si>
    <t>ID0466</t>
  </si>
  <si>
    <t>CDN $70,000</t>
  </si>
  <si>
    <t>Program Manager</t>
  </si>
  <si>
    <t>ID0467</t>
  </si>
  <si>
    <t>5250 $</t>
  </si>
  <si>
    <t>Treasure Specialist</t>
  </si>
  <si>
    <t>Republic of Georgia</t>
  </si>
  <si>
    <t>ID0468</t>
  </si>
  <si>
    <t>Business Manager</t>
  </si>
  <si>
    <t>ID0469</t>
  </si>
  <si>
    <t>clerk</t>
  </si>
  <si>
    <t>ID0470</t>
  </si>
  <si>
    <t>ID0471</t>
  </si>
  <si>
    <t>Researcher &amp; Data Analyst</t>
  </si>
  <si>
    <t>ID0472</t>
  </si>
  <si>
    <t>ID0473</t>
  </si>
  <si>
    <t>Â£28500</t>
  </si>
  <si>
    <t>Data Quality &amp; Analysis Manager</t>
  </si>
  <si>
    <t>ID0474</t>
  </si>
  <si>
    <t>ID0476</t>
  </si>
  <si>
    <t>Resource managment Analyst</t>
  </si>
  <si>
    <t>Estonia</t>
  </si>
  <si>
    <t>ID0477</t>
  </si>
  <si>
    <t>Account Executive</t>
  </si>
  <si>
    <t>ID0478</t>
  </si>
  <si>
    <t>video production</t>
  </si>
  <si>
    <t>ID0479</t>
  </si>
  <si>
    <t>mozambique</t>
  </si>
  <si>
    <t>ID0480</t>
  </si>
  <si>
    <t>principal engineer</t>
  </si>
  <si>
    <t>ID0481</t>
  </si>
  <si>
    <t>budget analyst</t>
  </si>
  <si>
    <t>ID0482</t>
  </si>
  <si>
    <t>US$169,000</t>
  </si>
  <si>
    <t>Category Director (Marketing)</t>
  </si>
  <si>
    <t>ID0484</t>
  </si>
  <si>
    <t>Senior consultant accounting</t>
  </si>
  <si>
    <t>Norway</t>
  </si>
  <si>
    <t>ID0485</t>
  </si>
  <si>
    <t>Zar 1080000</t>
  </si>
  <si>
    <t>ZAR</t>
  </si>
  <si>
    <t>Finance manager</t>
  </si>
  <si>
    <t>South africa</t>
  </si>
  <si>
    <t>ID0486</t>
  </si>
  <si>
    <t>GB Sterling 59k</t>
  </si>
  <si>
    <t>Health and safety advisor</t>
  </si>
  <si>
    <t>ID0487</t>
  </si>
  <si>
    <t>Workforce Analyst</t>
  </si>
  <si>
    <t>ID0488</t>
  </si>
  <si>
    <t>ID0489</t>
  </si>
  <si>
    <t>Sr. Marketing Solutions Analyst</t>
  </si>
  <si>
    <t>ID0490</t>
  </si>
  <si>
    <t>ID0491</t>
  </si>
  <si>
    <t>20000 US$</t>
  </si>
  <si>
    <t>ID0492</t>
  </si>
  <si>
    <t>ID0493</t>
  </si>
  <si>
    <t>Managing Partner</t>
  </si>
  <si>
    <t>ID0494</t>
  </si>
  <si>
    <t>Administration Officer</t>
  </si>
  <si>
    <t>ID0495</t>
  </si>
  <si>
    <t>BAS</t>
  </si>
  <si>
    <t>ID0496</t>
  </si>
  <si>
    <t>USD 108,000</t>
  </si>
  <si>
    <t>ID0497</t>
  </si>
  <si>
    <t>200000 Rupees</t>
  </si>
  <si>
    <t>chemist</t>
  </si>
  <si>
    <t>ID0498</t>
  </si>
  <si>
    <t>ID0499</t>
  </si>
  <si>
    <t>LOGISTIC MANAGER</t>
  </si>
  <si>
    <t>ID0500</t>
  </si>
  <si>
    <t>Rs. 7,20,000/-</t>
  </si>
  <si>
    <t>Manager Finance</t>
  </si>
  <si>
    <t>ID0501</t>
  </si>
  <si>
    <t>ID0502</t>
  </si>
  <si>
    <t>23000 USD</t>
  </si>
  <si>
    <t>IT solutions coordinator</t>
  </si>
  <si>
    <t>ID0503</t>
  </si>
  <si>
    <t>Business Modeller</t>
  </si>
  <si>
    <t>ID0504</t>
  </si>
  <si>
    <t>ID0505</t>
  </si>
  <si>
    <t>ID0506</t>
  </si>
  <si>
    <t>Sr QS</t>
  </si>
  <si>
    <t>ID0507</t>
  </si>
  <si>
    <t>15000 â‚¬</t>
  </si>
  <si>
    <t>Report Analyst</t>
  </si>
  <si>
    <t>Spain</t>
  </si>
  <si>
    <t>ID0508</t>
  </si>
  <si>
    <t>Rs 6L</t>
  </si>
  <si>
    <t>Business Co ordinator</t>
  </si>
  <si>
    <t>ID0509</t>
  </si>
  <si>
    <t>ID0510</t>
  </si>
  <si>
    <t>Rs 500000</t>
  </si>
  <si>
    <t>duty manager</t>
  </si>
  <si>
    <t>ID0511</t>
  </si>
  <si>
    <t>ID0512</t>
  </si>
  <si>
    <t>Retail Store Manager</t>
  </si>
  <si>
    <t>ID0513</t>
  </si>
  <si>
    <t>Â£16400</t>
  </si>
  <si>
    <t>Job Build analyst</t>
  </si>
  <si>
    <t>ID0514</t>
  </si>
  <si>
    <t>Associate</t>
  </si>
  <si>
    <t>ID0515</t>
  </si>
  <si>
    <t>ID0516</t>
  </si>
  <si>
    <t>$150000pa</t>
  </si>
  <si>
    <t>ID0517</t>
  </si>
  <si>
    <t>ID0518</t>
  </si>
  <si>
    <t>57000 USD</t>
  </si>
  <si>
    <t>project finance manager</t>
  </si>
  <si>
    <t>israel</t>
  </si>
  <si>
    <t>ID0519</t>
  </si>
  <si>
    <t>ID0520</t>
  </si>
  <si>
    <t>Metrics Analyst</t>
  </si>
  <si>
    <t>ID0521</t>
  </si>
  <si>
    <t>Asst.Manager</t>
  </si>
  <si>
    <t>ID0522</t>
  </si>
  <si>
    <t>ID0523</t>
  </si>
  <si>
    <t>Accounting Operations Manager</t>
  </si>
  <si>
    <t>ID0524</t>
  </si>
  <si>
    <t>ID0525</t>
  </si>
  <si>
    <t>Vice President, Analyst</t>
  </si>
  <si>
    <t>ID0526</t>
  </si>
  <si>
    <t>ID0527</t>
  </si>
  <si>
    <t>COO</t>
  </si>
  <si>
    <t>ID0528</t>
  </si>
  <si>
    <t>EUR 49248</t>
  </si>
  <si>
    <t>Financial Advisor</t>
  </si>
  <si>
    <t>Netherlands</t>
  </si>
  <si>
    <t>ID0529</t>
  </si>
  <si>
    <t>Production Manager</t>
  </si>
  <si>
    <t>ID0530</t>
  </si>
  <si>
    <t>Manager - Finance</t>
  </si>
  <si>
    <t>ID0531</t>
  </si>
  <si>
    <t>Process Design Consultant</t>
  </si>
  <si>
    <t>ID0532</t>
  </si>
  <si>
    <t>vba specialist</t>
  </si>
  <si>
    <t>ID0533</t>
  </si>
  <si>
    <t xml:space="preserve">Analytical Department Director </t>
  </si>
  <si>
    <t>ID0534</t>
  </si>
  <si>
    <t>ID0535</t>
  </si>
  <si>
    <t>120k</t>
  </si>
  <si>
    <t>manager</t>
  </si>
  <si>
    <t>nz</t>
  </si>
  <si>
    <t>ID0536</t>
  </si>
  <si>
    <t>US$95K</t>
  </si>
  <si>
    <t>Director of Supply Chain</t>
  </si>
  <si>
    <t>Central America</t>
  </si>
  <si>
    <t>ID0537</t>
  </si>
  <si>
    <t>Research Assistant</t>
  </si>
  <si>
    <t>ID0538</t>
  </si>
  <si>
    <t>73,000 GBP</t>
  </si>
  <si>
    <t>Finance Manager</t>
  </si>
  <si>
    <t>ID0539</t>
  </si>
  <si>
    <t>Excel professional</t>
  </si>
  <si>
    <t>self-employed</t>
  </si>
  <si>
    <t>ID0540</t>
  </si>
  <si>
    <t>ID0541</t>
  </si>
  <si>
    <t>PKR 50,000</t>
  </si>
  <si>
    <t>Trainer</t>
  </si>
  <si>
    <t>ID0543</t>
  </si>
  <si>
    <t>Business analyst</t>
  </si>
  <si>
    <t>ID0544</t>
  </si>
  <si>
    <t>deputy manager</t>
  </si>
  <si>
    <t>ID0545</t>
  </si>
  <si>
    <t>ID0546</t>
  </si>
  <si>
    <t>ID0547</t>
  </si>
  <si>
    <t>ID0548</t>
  </si>
  <si>
    <t>Research Associate</t>
  </si>
  <si>
    <t>ID0549</t>
  </si>
  <si>
    <t>Reports Coordinator</t>
  </si>
  <si>
    <t>ID0550</t>
  </si>
  <si>
    <t>Quality Compliance Manager</t>
  </si>
  <si>
    <t>ID0551</t>
  </si>
  <si>
    <t>80,000 USD</t>
  </si>
  <si>
    <t>Cost Analyst</t>
  </si>
  <si>
    <t>ID0552</t>
  </si>
  <si>
    <t>ID0553</t>
  </si>
  <si>
    <t>Japan</t>
  </si>
  <si>
    <t>ID0554</t>
  </si>
  <si>
    <t>ID0555</t>
  </si>
  <si>
    <t>Â£20000</t>
  </si>
  <si>
    <t>IT Consultant</t>
  </si>
  <si>
    <t>ID0556</t>
  </si>
  <si>
    <t>Intelligence Analyst</t>
  </si>
  <si>
    <t>ID0557</t>
  </si>
  <si>
    <t>Marketing Specialist</t>
  </si>
  <si>
    <t>ID0558</t>
  </si>
  <si>
    <t>ID0559</t>
  </si>
  <si>
    <t>Proyect Manager</t>
  </si>
  <si>
    <t>ID0560</t>
  </si>
  <si>
    <t>IT Specialist</t>
  </si>
  <si>
    <t>ID0561</t>
  </si>
  <si>
    <t>CONTROLLER</t>
  </si>
  <si>
    <t>BRA</t>
  </si>
  <si>
    <t>ID0562</t>
  </si>
  <si>
    <t>Technical Support Technician</t>
  </si>
  <si>
    <t>ID0563</t>
  </si>
  <si>
    <t>Director, Supply Chain Operations</t>
  </si>
  <si>
    <t>ID0564</t>
  </si>
  <si>
    <t>ID0565</t>
  </si>
  <si>
    <t>ID0566</t>
  </si>
  <si>
    <t>ID0567</t>
  </si>
  <si>
    <t>Workflow Analyst</t>
  </si>
  <si>
    <t>ID0568</t>
  </si>
  <si>
    <t>95000 USD</t>
  </si>
  <si>
    <t>ID0569</t>
  </si>
  <si>
    <t>AUD $155,000</t>
  </si>
  <si>
    <t>Finance Manager Business Services</t>
  </si>
  <si>
    <t>ID0570</t>
  </si>
  <si>
    <t>NZ $80,000</t>
  </si>
  <si>
    <t>NZD</t>
  </si>
  <si>
    <t>Accountant/Analyst</t>
  </si>
  <si>
    <t>New Zealand</t>
  </si>
  <si>
    <t>ID0572</t>
  </si>
  <si>
    <t>Costing Analysis</t>
  </si>
  <si>
    <t>ID0573</t>
  </si>
  <si>
    <t>Sales Operations Supervisor</t>
  </si>
  <si>
    <t>ID0574</t>
  </si>
  <si>
    <t>Â£28800</t>
  </si>
  <si>
    <t>ID0575</t>
  </si>
  <si>
    <t>Â£21000</t>
  </si>
  <si>
    <t>ID0576</t>
  </si>
  <si>
    <t>USD 4285.00</t>
  </si>
  <si>
    <t>Assistant</t>
  </si>
  <si>
    <t>ID0577</t>
  </si>
  <si>
    <t>In Charge</t>
  </si>
  <si>
    <t>Guyana</t>
  </si>
  <si>
    <t>ID0578</t>
  </si>
  <si>
    <t>$22,000 AUD</t>
  </si>
  <si>
    <t>ID0579</t>
  </si>
  <si>
    <t>ID0580</t>
  </si>
  <si>
    <t>ID0581</t>
  </si>
  <si>
    <t>ID0582</t>
  </si>
  <si>
    <t>ID0583</t>
  </si>
  <si>
    <t>ID0584</t>
  </si>
  <si>
    <t>CEO</t>
  </si>
  <si>
    <t>ID0585</t>
  </si>
  <si>
    <t>coordinator lismore regional airport</t>
  </si>
  <si>
    <t>ID0586</t>
  </si>
  <si>
    <t>Mgr Op Excellence</t>
  </si>
  <si>
    <t>ID0587</t>
  </si>
  <si>
    <t>ID0588</t>
  </si>
  <si>
    <t>Pricing and Strategy Specialist</t>
  </si>
  <si>
    <t>ID0589</t>
  </si>
  <si>
    <t>Sr. Human Resources Analyst</t>
  </si>
  <si>
    <t>ID0590</t>
  </si>
  <si>
    <t>Performance Improvement Analyst</t>
  </si>
  <si>
    <t>ID0591</t>
  </si>
  <si>
    <t>ID0592</t>
  </si>
  <si>
    <t>Sr. Analyst</t>
  </si>
  <si>
    <t>ID0593</t>
  </si>
  <si>
    <t>CNY</t>
  </si>
  <si>
    <t>finance</t>
  </si>
  <si>
    <t>china</t>
  </si>
  <si>
    <t>ID0594</t>
  </si>
  <si>
    <t>$36 000</t>
  </si>
  <si>
    <t>Consulting</t>
  </si>
  <si>
    <t>ID0595</t>
  </si>
  <si>
    <t>ID0596</t>
  </si>
  <si>
    <t xml:space="preserve">Technology consultant </t>
  </si>
  <si>
    <t>ID0597</t>
  </si>
  <si>
    <t>ID0598</t>
  </si>
  <si>
    <t>4,00,000</t>
  </si>
  <si>
    <t>BPO</t>
  </si>
  <si>
    <t>ID0599</t>
  </si>
  <si>
    <t>General manager</t>
  </si>
  <si>
    <t>ID0600</t>
  </si>
  <si>
    <t>Technical Analyst</t>
  </si>
  <si>
    <t>ID0601</t>
  </si>
  <si>
    <t>Head Accounts</t>
  </si>
  <si>
    <t>ID0602</t>
  </si>
  <si>
    <t>90 k</t>
  </si>
  <si>
    <t>Operations</t>
  </si>
  <si>
    <t>ID0603</t>
  </si>
  <si>
    <t>Rs. 20000</t>
  </si>
  <si>
    <t>Talati</t>
  </si>
  <si>
    <t>ID0604</t>
  </si>
  <si>
    <t>Product manager</t>
  </si>
  <si>
    <t>ID0605</t>
  </si>
  <si>
    <t>Helicopter Mechanic</t>
  </si>
  <si>
    <t>ID0606</t>
  </si>
  <si>
    <t>Program/Mgt Analyst</t>
  </si>
  <si>
    <t>ID0608</t>
  </si>
  <si>
    <t>Director, Analytics</t>
  </si>
  <si>
    <t>ID0609</t>
  </si>
  <si>
    <t>Purchasing Manager</t>
  </si>
  <si>
    <t>ID0611</t>
  </si>
  <si>
    <t>Incharge</t>
  </si>
  <si>
    <t>ID0612</t>
  </si>
  <si>
    <t>Sales Assistant</t>
  </si>
  <si>
    <t>ID0613</t>
  </si>
  <si>
    <t>INR 420000</t>
  </si>
  <si>
    <t>Assistant EDP</t>
  </si>
  <si>
    <t>ID0614</t>
  </si>
  <si>
    <t>Sales ops</t>
  </si>
  <si>
    <t>ID0615</t>
  </si>
  <si>
    <t>1150 $</t>
  </si>
  <si>
    <t>QS</t>
  </si>
  <si>
    <t>Sri Lanka</t>
  </si>
  <si>
    <t>ID0616</t>
  </si>
  <si>
    <t>INR 850,000</t>
  </si>
  <si>
    <t>ID0617</t>
  </si>
  <si>
    <t>AGM Finance</t>
  </si>
  <si>
    <t>ID0618</t>
  </si>
  <si>
    <t>Sales Controller</t>
  </si>
  <si>
    <t>ID0619</t>
  </si>
  <si>
    <t>ID0620</t>
  </si>
  <si>
    <t>ID0621</t>
  </si>
  <si>
    <t>1 lakh 60 thousand INR/Year</t>
  </si>
  <si>
    <t>MIS Executive</t>
  </si>
  <si>
    <t>ID0622</t>
  </si>
  <si>
    <t>SYSTEM MANAGER</t>
  </si>
  <si>
    <t>ID0623</t>
  </si>
  <si>
    <t>A$85000</t>
  </si>
  <si>
    <t>ID0624</t>
  </si>
  <si>
    <t>Project coordinator</t>
  </si>
  <si>
    <t>ID0625</t>
  </si>
  <si>
    <t>ID0626</t>
  </si>
  <si>
    <t>ID0627</t>
  </si>
  <si>
    <t>ID0628</t>
  </si>
  <si>
    <t>executive</t>
  </si>
  <si>
    <t>Indonesia</t>
  </si>
  <si>
    <t>ID0629</t>
  </si>
  <si>
    <t>ID0630</t>
  </si>
  <si>
    <t>Rs60000</t>
  </si>
  <si>
    <t>Quantity Surveyor</t>
  </si>
  <si>
    <t>ID0631</t>
  </si>
  <si>
    <t xml:space="preserve">Content Analyst </t>
  </si>
  <si>
    <t>ID0632</t>
  </si>
  <si>
    <t>ID0633</t>
  </si>
  <si>
    <t>A$170000</t>
  </si>
  <si>
    <t>senior business analyst</t>
  </si>
  <si>
    <t>ID0634</t>
  </si>
  <si>
    <t>ID0635</t>
  </si>
  <si>
    <t>Corporate Accountant</t>
  </si>
  <si>
    <t>ID0636</t>
  </si>
  <si>
    <t>Rs. 200000</t>
  </si>
  <si>
    <t>Auditor</t>
  </si>
  <si>
    <t>ID0637</t>
  </si>
  <si>
    <t>program coordinator - automotive</t>
  </si>
  <si>
    <t>ID0638</t>
  </si>
  <si>
    <t>ID0639</t>
  </si>
  <si>
    <t>Rs 300000</t>
  </si>
  <si>
    <t>Planning Engineer</t>
  </si>
  <si>
    <t>ID0640</t>
  </si>
  <si>
    <t>4000000 INR</t>
  </si>
  <si>
    <t>Senior Executive</t>
  </si>
  <si>
    <t>ID0641</t>
  </si>
  <si>
    <t>4500000 inr/pa</t>
  </si>
  <si>
    <t>cmo</t>
  </si>
  <si>
    <t>ID0642</t>
  </si>
  <si>
    <t>ID0643</t>
  </si>
  <si>
    <t>ID0644</t>
  </si>
  <si>
    <t>25000 INR</t>
  </si>
  <si>
    <t>ID0645</t>
  </si>
  <si>
    <t>Rs 4,00,000</t>
  </si>
  <si>
    <t>Sr Processor</t>
  </si>
  <si>
    <t>ID0646</t>
  </si>
  <si>
    <t>6,00,000</t>
  </si>
  <si>
    <t>Organiser</t>
  </si>
  <si>
    <t>ID0647</t>
  </si>
  <si>
    <t>ID0648</t>
  </si>
  <si>
    <t>Quality officer</t>
  </si>
  <si>
    <t>bangkok</t>
  </si>
  <si>
    <t>ID0649</t>
  </si>
  <si>
    <t>Executive</t>
  </si>
  <si>
    <t>ID0650</t>
  </si>
  <si>
    <t>Rs 800000</t>
  </si>
  <si>
    <t>ID0651</t>
  </si>
  <si>
    <t>BI Consultant</t>
  </si>
  <si>
    <t>ID0652</t>
  </si>
  <si>
    <t>Rs. 4.32 Lakhs</t>
  </si>
  <si>
    <t>Assistant Manager - IT</t>
  </si>
  <si>
    <t>ID0653</t>
  </si>
  <si>
    <t>Coordinator</t>
  </si>
  <si>
    <t>ID0654</t>
  </si>
  <si>
    <t>ID0655</t>
  </si>
  <si>
    <t>MANAGER</t>
  </si>
  <si>
    <t>ID0657</t>
  </si>
  <si>
    <t>Asst Mgr</t>
  </si>
  <si>
    <t>ID0658</t>
  </si>
  <si>
    <t>ID0659</t>
  </si>
  <si>
    <t>Accounts Officer</t>
  </si>
  <si>
    <t>ID0660</t>
  </si>
  <si>
    <t>INR 9,50,000</t>
  </si>
  <si>
    <t>Investment Banker</t>
  </si>
  <si>
    <t>ID0661</t>
  </si>
  <si>
    <t>INR 165000</t>
  </si>
  <si>
    <t>Co-operative bank</t>
  </si>
  <si>
    <t>ID0662</t>
  </si>
  <si>
    <t>ID0663</t>
  </si>
  <si>
    <t>Cad Engineer</t>
  </si>
  <si>
    <t>ID0664</t>
  </si>
  <si>
    <t>Mis Analyst</t>
  </si>
  <si>
    <t>ID0665</t>
  </si>
  <si>
    <t>INR 2 l;acks</t>
  </si>
  <si>
    <t>MIS EXECUTIVE</t>
  </si>
  <si>
    <t>ID0666</t>
  </si>
  <si>
    <t>Rs 480000</t>
  </si>
  <si>
    <t>PMO</t>
  </si>
  <si>
    <t>ID0667</t>
  </si>
  <si>
    <t>Asst. Manager(Commercial)</t>
  </si>
  <si>
    <t>ID0668</t>
  </si>
  <si>
    <t>230000 INR</t>
  </si>
  <si>
    <t>ID0669</t>
  </si>
  <si>
    <t>23000 Rupees</t>
  </si>
  <si>
    <t>Education Officer</t>
  </si>
  <si>
    <t>ID0670</t>
  </si>
  <si>
    <t>Management Accountant</t>
  </si>
  <si>
    <t>Saudi Arabai</t>
  </si>
  <si>
    <t>ID0671</t>
  </si>
  <si>
    <t>Us$24000</t>
  </si>
  <si>
    <t>ID0672</t>
  </si>
  <si>
    <t>Sales Coordinator</t>
  </si>
  <si>
    <t>ID0673</t>
  </si>
  <si>
    <t>TA</t>
  </si>
  <si>
    <t>ID0674</t>
  </si>
  <si>
    <t>ID0675</t>
  </si>
  <si>
    <t>ID0676</t>
  </si>
  <si>
    <t>ID0677</t>
  </si>
  <si>
    <t>ID0678</t>
  </si>
  <si>
    <t>2.5lakh</t>
  </si>
  <si>
    <t>ASM</t>
  </si>
  <si>
    <t>ID0679</t>
  </si>
  <si>
    <t>ID0680</t>
  </si>
  <si>
    <t>ID0681</t>
  </si>
  <si>
    <t>principal developer</t>
  </si>
  <si>
    <t>ID0682</t>
  </si>
  <si>
    <t>220000 in INR</t>
  </si>
  <si>
    <t>Accounts Payable Analyst</t>
  </si>
  <si>
    <t>ID0683</t>
  </si>
  <si>
    <t>Maint Sys Support Specialist</t>
  </si>
  <si>
    <t>ID0684</t>
  </si>
  <si>
    <t>Rs. 260000</t>
  </si>
  <si>
    <t>ID0685</t>
  </si>
  <si>
    <t>1,20,000 INR</t>
  </si>
  <si>
    <t>ID0686</t>
  </si>
  <si>
    <t>ID0687</t>
  </si>
  <si>
    <t>Rs. 144000</t>
  </si>
  <si>
    <t>Team Leader</t>
  </si>
  <si>
    <t>ID0688</t>
  </si>
  <si>
    <t>inr 11.5</t>
  </si>
  <si>
    <t>manager portfolio monitoring</t>
  </si>
  <si>
    <t>ID0689</t>
  </si>
  <si>
    <t>33,500 US $</t>
  </si>
  <si>
    <t>Sr. Executive Finance &amp; Accounts</t>
  </si>
  <si>
    <t>ID0690</t>
  </si>
  <si>
    <t>AREA SALES MANAGER</t>
  </si>
  <si>
    <t>ID0691</t>
  </si>
  <si>
    <t>govt</t>
  </si>
  <si>
    <t>ID0692</t>
  </si>
  <si>
    <t>4500 rs. per month</t>
  </si>
  <si>
    <t>COMPUTER OPERATOR</t>
  </si>
  <si>
    <t>ID0693</t>
  </si>
  <si>
    <t>Business Executive</t>
  </si>
  <si>
    <t>ID0694</t>
  </si>
  <si>
    <t>Team Lead Mis</t>
  </si>
  <si>
    <t>ID0695</t>
  </si>
  <si>
    <t>3000 $</t>
  </si>
  <si>
    <t>Call Centre Consultant</t>
  </si>
  <si>
    <t>Cambodia</t>
  </si>
  <si>
    <t>ID0696</t>
  </si>
  <si>
    <t>250000 rupees</t>
  </si>
  <si>
    <t>MIS executive</t>
  </si>
  <si>
    <t>ID0697</t>
  </si>
  <si>
    <t>Rs. 150000</t>
  </si>
  <si>
    <t>Oprations head</t>
  </si>
  <si>
    <t>ID0698</t>
  </si>
  <si>
    <t>Asst. Manager</t>
  </si>
  <si>
    <t>ID0699</t>
  </si>
  <si>
    <t>accounts</t>
  </si>
  <si>
    <t>ID0700</t>
  </si>
  <si>
    <t>ID0701</t>
  </si>
  <si>
    <t>25000 rupess</t>
  </si>
  <si>
    <t>ID0702</t>
  </si>
  <si>
    <t>370000 inr</t>
  </si>
  <si>
    <t>ID0703</t>
  </si>
  <si>
    <t>ID0704</t>
  </si>
  <si>
    <t>ID0705</t>
  </si>
  <si>
    <t>Cost Accountant</t>
  </si>
  <si>
    <t>ID0706</t>
  </si>
  <si>
    <t>senior executive</t>
  </si>
  <si>
    <t>ID0707</t>
  </si>
  <si>
    <t>ID0708</t>
  </si>
  <si>
    <t>Rs 10000</t>
  </si>
  <si>
    <t>Intern</t>
  </si>
  <si>
    <t>ID0709</t>
  </si>
  <si>
    <t>4,80,000 Ruppes</t>
  </si>
  <si>
    <t>ID0710</t>
  </si>
  <si>
    <t>Re. 4.5 Lacs Per Annum</t>
  </si>
  <si>
    <t>ID0711</t>
  </si>
  <si>
    <t>ID0712</t>
  </si>
  <si>
    <t>inr 2300000</t>
  </si>
  <si>
    <t>ID0713</t>
  </si>
  <si>
    <t>Audit Manager</t>
  </si>
  <si>
    <t>ID0714</t>
  </si>
  <si>
    <t>15000 USD</t>
  </si>
  <si>
    <t>Audit - senior assistant</t>
  </si>
  <si>
    <t>Lithuania</t>
  </si>
  <si>
    <t>ID0715</t>
  </si>
  <si>
    <t>tech operator (oil)</t>
  </si>
  <si>
    <t>uae</t>
  </si>
  <si>
    <t>ID0716</t>
  </si>
  <si>
    <t xml:space="preserve">mis </t>
  </si>
  <si>
    <t>ID0717</t>
  </si>
  <si>
    <t>ID0718</t>
  </si>
  <si>
    <t>Inr 60000</t>
  </si>
  <si>
    <t>Asstt manager</t>
  </si>
  <si>
    <t>ID0719</t>
  </si>
  <si>
    <t>Rs 15000</t>
  </si>
  <si>
    <t>Import &amp; Export Documentation Executive</t>
  </si>
  <si>
    <t>ID0720</t>
  </si>
  <si>
    <t>ID0721</t>
  </si>
  <si>
    <t>Systems Manager</t>
  </si>
  <si>
    <t>ID0722</t>
  </si>
  <si>
    <t>Program management</t>
  </si>
  <si>
    <t>ID0723</t>
  </si>
  <si>
    <t>PKR 17000</t>
  </si>
  <si>
    <t>Accounts Manager</t>
  </si>
  <si>
    <t>ID0724</t>
  </si>
  <si>
    <t xml:space="preserve">Rs.4lk </t>
  </si>
  <si>
    <t>sr. mis executive</t>
  </si>
  <si>
    <t>ID0725</t>
  </si>
  <si>
    <t>USD130000</t>
  </si>
  <si>
    <t>Modeller</t>
  </si>
  <si>
    <t>ID0726</t>
  </si>
  <si>
    <t>Rs. 250000</t>
  </si>
  <si>
    <t>ID0727</t>
  </si>
  <si>
    <t>ID0728</t>
  </si>
  <si>
    <t>INR 390000 PA</t>
  </si>
  <si>
    <t>ID0729</t>
  </si>
  <si>
    <t>Sr Financial Execative</t>
  </si>
  <si>
    <t>ID0730</t>
  </si>
  <si>
    <t>Asst Mngr</t>
  </si>
  <si>
    <t>ID0731</t>
  </si>
  <si>
    <t>ID0732</t>
  </si>
  <si>
    <t>Ind Rs.10,00,000.00</t>
  </si>
  <si>
    <t>Sr Associate</t>
  </si>
  <si>
    <t>ID0733</t>
  </si>
  <si>
    <t>ID0734</t>
  </si>
  <si>
    <t>ID0735</t>
  </si>
  <si>
    <t>8 Lakhs</t>
  </si>
  <si>
    <t>ID0736</t>
  </si>
  <si>
    <t>6 Lac Rs</t>
  </si>
  <si>
    <t>ERP Co-Ordinator</t>
  </si>
  <si>
    <t>ID0737</t>
  </si>
  <si>
    <t>Revenue Manager</t>
  </si>
  <si>
    <t>ID0738</t>
  </si>
  <si>
    <t>Accounts analyst</t>
  </si>
  <si>
    <t>ID0739</t>
  </si>
  <si>
    <t>ID0740</t>
  </si>
  <si>
    <t>EGYPT</t>
  </si>
  <si>
    <t>Estimator</t>
  </si>
  <si>
    <t>Egypt</t>
  </si>
  <si>
    <t>ID0741</t>
  </si>
  <si>
    <t>50 k per month</t>
  </si>
  <si>
    <t>ID0742</t>
  </si>
  <si>
    <t>4800 $</t>
  </si>
  <si>
    <t>Data Analysis</t>
  </si>
  <si>
    <t>Bhutan</t>
  </si>
  <si>
    <t>ID0743</t>
  </si>
  <si>
    <t>66000 â‚¬</t>
  </si>
  <si>
    <t>Logistics Analyst</t>
  </si>
  <si>
    <t>ID0744</t>
  </si>
  <si>
    <t>PROCSS ASOCIATE</t>
  </si>
  <si>
    <t>ID0745</t>
  </si>
  <si>
    <t>Reporting Analyst</t>
  </si>
  <si>
    <t>ID0746</t>
  </si>
  <si>
    <t>Corporate Finance Manager</t>
  </si>
  <si>
    <t>ID0747</t>
  </si>
  <si>
    <t>GBP21798</t>
  </si>
  <si>
    <t>ID0748</t>
  </si>
  <si>
    <t>compliance manager</t>
  </si>
  <si>
    <t>ID0749</t>
  </si>
  <si>
    <t>ID0750</t>
  </si>
  <si>
    <t>Merchandiser</t>
  </si>
  <si>
    <t>ID0751</t>
  </si>
  <si>
    <t>INR 30000</t>
  </si>
  <si>
    <t>Project Lead</t>
  </si>
  <si>
    <t>ID0752</t>
  </si>
  <si>
    <t>ID0753</t>
  </si>
  <si>
    <t>ID0754</t>
  </si>
  <si>
    <t>INR240000</t>
  </si>
  <si>
    <t>SR. ACCOUNTS EXECUTIVE</t>
  </si>
  <si>
    <t>ID0755</t>
  </si>
  <si>
    <t>Â£ 24000</t>
  </si>
  <si>
    <t>Business Support Specialist</t>
  </si>
  <si>
    <t>ID0756</t>
  </si>
  <si>
    <t>US $ 11,000</t>
  </si>
  <si>
    <t>Assistant Manager - Group MIS</t>
  </si>
  <si>
    <t>ID0757</t>
  </si>
  <si>
    <t>ID0758</t>
  </si>
  <si>
    <t>Rs. 225000</t>
  </si>
  <si>
    <t>ID0759</t>
  </si>
  <si>
    <t>NAIRA</t>
  </si>
  <si>
    <t>Company Systems Integration Manager</t>
  </si>
  <si>
    <t>Nigeria</t>
  </si>
  <si>
    <t>ID0760</t>
  </si>
  <si>
    <t>INR 20000</t>
  </si>
  <si>
    <t>EXECUTIVE</t>
  </si>
  <si>
    <t>ID0761</t>
  </si>
  <si>
    <t>INR 700000</t>
  </si>
  <si>
    <t>Sales Management Analyst</t>
  </si>
  <si>
    <t>ID0762</t>
  </si>
  <si>
    <t>Asst Production Planner</t>
  </si>
  <si>
    <t>ID0763</t>
  </si>
  <si>
    <t>Consultat</t>
  </si>
  <si>
    <t>Denmark</t>
  </si>
  <si>
    <t>ID0764</t>
  </si>
  <si>
    <t xml:space="preserve">System Analyst </t>
  </si>
  <si>
    <t>ID0765</t>
  </si>
  <si>
    <t>14960 $</t>
  </si>
  <si>
    <t>Stock Controller</t>
  </si>
  <si>
    <t>ID0766</t>
  </si>
  <si>
    <t>ACCOUNTANT</t>
  </si>
  <si>
    <t>ID0767</t>
  </si>
  <si>
    <t>Accounts Supervisor</t>
  </si>
  <si>
    <t>KSA</t>
  </si>
  <si>
    <t>ID0768</t>
  </si>
  <si>
    <t>ID0769</t>
  </si>
  <si>
    <t>95000 AUD</t>
  </si>
  <si>
    <t>Data Analyst - Report Writer</t>
  </si>
  <si>
    <t>ID0770</t>
  </si>
  <si>
    <t>Rs 1200000</t>
  </si>
  <si>
    <t xml:space="preserve">Regional Formwork Head </t>
  </si>
  <si>
    <t>ID0771</t>
  </si>
  <si>
    <t>BRANCH ACCOUNTANT</t>
  </si>
  <si>
    <t>ID0772</t>
  </si>
  <si>
    <t>$1,589.00/per month</t>
  </si>
  <si>
    <t>Accounting Head</t>
  </si>
  <si>
    <t>ID0773</t>
  </si>
  <si>
    <t>OPEX CONTROL</t>
  </si>
  <si>
    <t>ID0774</t>
  </si>
  <si>
    <t>ID0775</t>
  </si>
  <si>
    <t>2.2 lakhs per annum</t>
  </si>
  <si>
    <t>Associate Software Engineer</t>
  </si>
  <si>
    <t>ID0776</t>
  </si>
  <si>
    <t>ID0777</t>
  </si>
  <si>
    <t>45000 $</t>
  </si>
  <si>
    <t>ID0778</t>
  </si>
  <si>
    <t>italy</t>
  </si>
  <si>
    <t>ID0779</t>
  </si>
  <si>
    <t>Rs 40000</t>
  </si>
  <si>
    <t>Banker</t>
  </si>
  <si>
    <t>ID0780</t>
  </si>
  <si>
    <t>Dhs 2800 + Accomodation</t>
  </si>
  <si>
    <t>ID0781</t>
  </si>
  <si>
    <t>ID0782</t>
  </si>
  <si>
    <t>ID0783</t>
  </si>
  <si>
    <t>180000 PKR</t>
  </si>
  <si>
    <t>S&amp;D Reporting &amp; Analysis Team Leader</t>
  </si>
  <si>
    <t>ID0784</t>
  </si>
  <si>
    <t>AUS$36000</t>
  </si>
  <si>
    <t>Key Expert User</t>
  </si>
  <si>
    <t>ID0785</t>
  </si>
  <si>
    <t>2.25 lakhs per year(prof income)</t>
  </si>
  <si>
    <t>company secretary</t>
  </si>
  <si>
    <t>ID0786</t>
  </si>
  <si>
    <t>Mis executiv</t>
  </si>
  <si>
    <t>ID0787</t>
  </si>
  <si>
    <t>ID0788</t>
  </si>
  <si>
    <t>INR 400000</t>
  </si>
  <si>
    <t>ID0789</t>
  </si>
  <si>
    <t>BDM</t>
  </si>
  <si>
    <t>ID0790</t>
  </si>
  <si>
    <t>CA$66000</t>
  </si>
  <si>
    <t>Programmer-analyst</t>
  </si>
  <si>
    <t>ID0791</t>
  </si>
  <si>
    <t>security analyst</t>
  </si>
  <si>
    <t>ID0792</t>
  </si>
  <si>
    <t>Rs 450000</t>
  </si>
  <si>
    <t>Material Planner</t>
  </si>
  <si>
    <t>ID0793</t>
  </si>
  <si>
    <t>VP Infrastructure</t>
  </si>
  <si>
    <t>ID0794</t>
  </si>
  <si>
    <t>ONE LACK FIFTY THOUSAND(INR)</t>
  </si>
  <si>
    <t>WORKING WITH PRODUCT TEAM OF MAKEMYTRIP.COM</t>
  </si>
  <si>
    <t>ID0795</t>
  </si>
  <si>
    <t>ID0796</t>
  </si>
  <si>
    <t>Rs. 8000</t>
  </si>
  <si>
    <t>Cashier</t>
  </si>
  <si>
    <t>ID0797</t>
  </si>
  <si>
    <t>Technician</t>
  </si>
  <si>
    <t>ID0798</t>
  </si>
  <si>
    <t>Aud 65000</t>
  </si>
  <si>
    <t>Market analyst</t>
  </si>
  <si>
    <t>ID0799</t>
  </si>
  <si>
    <t>Rs. 377000</t>
  </si>
  <si>
    <t>Team Developer</t>
  </si>
  <si>
    <t>ID0800</t>
  </si>
  <si>
    <t>Reporting Assistant</t>
  </si>
  <si>
    <t>ID0801</t>
  </si>
  <si>
    <t>Loss Prevention Finance Coordinator</t>
  </si>
  <si>
    <t>ID0802</t>
  </si>
  <si>
    <t>ID0803</t>
  </si>
  <si>
    <t>ID0804</t>
  </si>
  <si>
    <t>ZAR900,000</t>
  </si>
  <si>
    <t>ID0805</t>
  </si>
  <si>
    <t>Senior Research Analyst</t>
  </si>
  <si>
    <t>ID0806</t>
  </si>
  <si>
    <t>Director, IT/Operations</t>
  </si>
  <si>
    <t>ID0807</t>
  </si>
  <si>
    <t>Rs. 450000</t>
  </si>
  <si>
    <t>Sr. Executive</t>
  </si>
  <si>
    <t>ID0808</t>
  </si>
  <si>
    <t>Operations Support Coordinator</t>
  </si>
  <si>
    <t>ID0809</t>
  </si>
  <si>
    <t>Sr. Executive MIS</t>
  </si>
  <si>
    <t>ID0810</t>
  </si>
  <si>
    <t>accountant</t>
  </si>
  <si>
    <t>ID0811</t>
  </si>
  <si>
    <t>ID0812</t>
  </si>
  <si>
    <t>24000 $</t>
  </si>
  <si>
    <t>Logistic KA Manager</t>
  </si>
  <si>
    <t>Croatia</t>
  </si>
  <si>
    <t>ID0813</t>
  </si>
  <si>
    <t>Rs 20000</t>
  </si>
  <si>
    <t>ID0814</t>
  </si>
  <si>
    <t>INR 650000</t>
  </si>
  <si>
    <t>Deputy Manager</t>
  </si>
  <si>
    <t>ID0815</t>
  </si>
  <si>
    <t>ID0816</t>
  </si>
  <si>
    <t>Management Trainee</t>
  </si>
  <si>
    <t>ID0817</t>
  </si>
  <si>
    <t>3500 Rs</t>
  </si>
  <si>
    <t>MNR</t>
  </si>
  <si>
    <t>ID0818</t>
  </si>
  <si>
    <t>BPO information process enabler</t>
  </si>
  <si>
    <t>ID0820</t>
  </si>
  <si>
    <t>Â£55000</t>
  </si>
  <si>
    <t>Financial controller</t>
  </si>
  <si>
    <t>ID0821</t>
  </si>
  <si>
    <t>ID0822</t>
  </si>
  <si>
    <t>R$3.000,00</t>
  </si>
  <si>
    <t>BRL</t>
  </si>
  <si>
    <t>Market Intelligence Analyst</t>
  </si>
  <si>
    <t>ID0823</t>
  </si>
  <si>
    <t>ID0824</t>
  </si>
  <si>
    <t>sr financial analyst</t>
  </si>
  <si>
    <t>ID0825</t>
  </si>
  <si>
    <t>12000 $</t>
  </si>
  <si>
    <t>Investment manager</t>
  </si>
  <si>
    <t>ID0826</t>
  </si>
  <si>
    <t>INR 1700000</t>
  </si>
  <si>
    <t>Operations Lead</t>
  </si>
  <si>
    <t>ID0827</t>
  </si>
  <si>
    <t>US$30,000</t>
  </si>
  <si>
    <t>Financial Control Section Headm</t>
  </si>
  <si>
    <t>Inonesia</t>
  </si>
  <si>
    <t>ID0828</t>
  </si>
  <si>
    <t>Application Developer</t>
  </si>
  <si>
    <t>ID0829</t>
  </si>
  <si>
    <t>ID0830</t>
  </si>
  <si>
    <t>ID0831</t>
  </si>
  <si>
    <t>High School Teacher</t>
  </si>
  <si>
    <t>ID0832</t>
  </si>
  <si>
    <t>5.5 lakhs</t>
  </si>
  <si>
    <t>ID0833</t>
  </si>
  <si>
    <t>65000 ron</t>
  </si>
  <si>
    <t>RON</t>
  </si>
  <si>
    <t>HR Planning Specialist</t>
  </si>
  <si>
    <t>ID0834</t>
  </si>
  <si>
    <t>15600 â‚¬</t>
  </si>
  <si>
    <t>Managment controller</t>
  </si>
  <si>
    <t>ID0835</t>
  </si>
  <si>
    <t>Rs.6,00,000/-</t>
  </si>
  <si>
    <t>AO</t>
  </si>
  <si>
    <t>ID0836</t>
  </si>
  <si>
    <t>Rs. 6,00,000</t>
  </si>
  <si>
    <t>ID0837</t>
  </si>
  <si>
    <t>business analyist</t>
  </si>
  <si>
    <t>ID0838</t>
  </si>
  <si>
    <t>13000 USD</t>
  </si>
  <si>
    <t>ID0839</t>
  </si>
  <si>
    <t>900000 Rs</t>
  </si>
  <si>
    <t>ID0840</t>
  </si>
  <si>
    <t>actuary</t>
  </si>
  <si>
    <t>ID0841</t>
  </si>
  <si>
    <t>Analysis Quality</t>
  </si>
  <si>
    <t>Colombia - South America</t>
  </si>
  <si>
    <t>ID0842</t>
  </si>
  <si>
    <t>ID0844</t>
  </si>
  <si>
    <t>ID0845</t>
  </si>
  <si>
    <t>1200000 Rs</t>
  </si>
  <si>
    <t>ID0846</t>
  </si>
  <si>
    <t>2 lac</t>
  </si>
  <si>
    <t>Bio-Statiscian</t>
  </si>
  <si>
    <t>ID0847</t>
  </si>
  <si>
    <t>Management Intern</t>
  </si>
  <si>
    <t>ID0848</t>
  </si>
  <si>
    <t>INR 2,00,000</t>
  </si>
  <si>
    <t>ID0849</t>
  </si>
  <si>
    <t>30000 eur</t>
  </si>
  <si>
    <t>financialcotroller</t>
  </si>
  <si>
    <t>portugal</t>
  </si>
  <si>
    <t>ID0850</t>
  </si>
  <si>
    <t>Rs. 10,00,000</t>
  </si>
  <si>
    <t>ID0851</t>
  </si>
  <si>
    <t>Financial Analyist</t>
  </si>
  <si>
    <t>ID0852</t>
  </si>
  <si>
    <t>Marketing Manager</t>
  </si>
  <si>
    <t>ID0854</t>
  </si>
  <si>
    <t>Dir of Analytics</t>
  </si>
  <si>
    <t>ID0855</t>
  </si>
  <si>
    <t>Rs. 550000</t>
  </si>
  <si>
    <t>ID0856</t>
  </si>
  <si>
    <t>Reporting Manager</t>
  </si>
  <si>
    <t>ID0857</t>
  </si>
  <si>
    <t>ID0858</t>
  </si>
  <si>
    <t>Data Research Assistant</t>
  </si>
  <si>
    <t>ID0859</t>
  </si>
  <si>
    <t>ID0860</t>
  </si>
  <si>
    <t>ID0861</t>
  </si>
  <si>
    <t>Rs. 45000</t>
  </si>
  <si>
    <t>ID0862</t>
  </si>
  <si>
    <t>Uruguay</t>
  </si>
  <si>
    <t>ID0863</t>
  </si>
  <si>
    <t>Guide for About.com</t>
  </si>
  <si>
    <t>ID0864</t>
  </si>
  <si>
    <t>Policy advisor</t>
  </si>
  <si>
    <t>Aruba</t>
  </si>
  <si>
    <t>ID0865</t>
  </si>
  <si>
    <t>R134000</t>
  </si>
  <si>
    <t>ID0866</t>
  </si>
  <si>
    <t>Security Access Governance Analyst</t>
  </si>
  <si>
    <t>ID0867</t>
  </si>
  <si>
    <t>IT Capacity Planner</t>
  </si>
  <si>
    <t>ID0868</t>
  </si>
  <si>
    <t>supply chain manager</t>
  </si>
  <si>
    <t>indonesia</t>
  </si>
  <si>
    <t>ID0869</t>
  </si>
  <si>
    <t>Boss</t>
  </si>
  <si>
    <t>ID0870</t>
  </si>
  <si>
    <t>Director, P&amp;A</t>
  </si>
  <si>
    <t>ID0871</t>
  </si>
  <si>
    <t>125 $</t>
  </si>
  <si>
    <t>Project controls manager</t>
  </si>
  <si>
    <t>ID0872</t>
  </si>
  <si>
    <t>senior associate</t>
  </si>
  <si>
    <t>ID0873</t>
  </si>
  <si>
    <t>Principal Financial Analyst</t>
  </si>
  <si>
    <t>ID0874</t>
  </si>
  <si>
    <t>ID0875</t>
  </si>
  <si>
    <t>Store keeper</t>
  </si>
  <si>
    <t>ID0876</t>
  </si>
  <si>
    <t xml:space="preserve">qa team supervisor </t>
  </si>
  <si>
    <t>ID0877</t>
  </si>
  <si>
    <t>Supply Chain Administrator</t>
  </si>
  <si>
    <t>ID0878</t>
  </si>
  <si>
    <t>sup</t>
  </si>
  <si>
    <t>ID0879</t>
  </si>
  <si>
    <t>Cost Trainee</t>
  </si>
  <si>
    <t>ID0880</t>
  </si>
  <si>
    <t>62000 USD</t>
  </si>
  <si>
    <t>Deputy Manager Finance</t>
  </si>
  <si>
    <t>Qatar</t>
  </si>
  <si>
    <t>ID0881</t>
  </si>
  <si>
    <t>3 lacs P.A</t>
  </si>
  <si>
    <t>Sales</t>
  </si>
  <si>
    <t>ID0882</t>
  </si>
  <si>
    <t>Medical information analist</t>
  </si>
  <si>
    <t>ID0883</t>
  </si>
  <si>
    <t>US 2130</t>
  </si>
  <si>
    <t>Training Coordinator</t>
  </si>
  <si>
    <t>saudi arabia</t>
  </si>
  <si>
    <t>ID0884</t>
  </si>
  <si>
    <t>Rs.60000/-</t>
  </si>
  <si>
    <t>Article (Internship) - CA</t>
  </si>
  <si>
    <t>ID0885</t>
  </si>
  <si>
    <t>Asst Manager</t>
  </si>
  <si>
    <t>ID0886</t>
  </si>
  <si>
    <t>Rs. 35000</t>
  </si>
  <si>
    <t>Assistant Manager</t>
  </si>
  <si>
    <t>ID0887</t>
  </si>
  <si>
    <t>$125000 / a excl bonus</t>
  </si>
  <si>
    <t>Commercial Director</t>
  </si>
  <si>
    <t>ID0888</t>
  </si>
  <si>
    <t>ID0889</t>
  </si>
  <si>
    <t>400000 Rs</t>
  </si>
  <si>
    <t>ID0890</t>
  </si>
  <si>
    <t>Finance Staff</t>
  </si>
  <si>
    <t>Viet Nam</t>
  </si>
  <si>
    <t>ID0891</t>
  </si>
  <si>
    <t>inr 500000</t>
  </si>
  <si>
    <t>team coach</t>
  </si>
  <si>
    <t>ID0892</t>
  </si>
  <si>
    <t>ID0893</t>
  </si>
  <si>
    <t>100,000 usd</t>
  </si>
  <si>
    <t>MÃ©xico</t>
  </si>
  <si>
    <t>ID0894</t>
  </si>
  <si>
    <t>Accountancy</t>
  </si>
  <si>
    <t>ID0895</t>
  </si>
  <si>
    <t>INR 23 L</t>
  </si>
  <si>
    <t>Manager - Business Planning &amp; Reporting</t>
  </si>
  <si>
    <t>ID0896</t>
  </si>
  <si>
    <t>rs 100000</t>
  </si>
  <si>
    <t>ASST VICE PREDISDENT</t>
  </si>
  <si>
    <t>ID0897</t>
  </si>
  <si>
    <t>co ordinator</t>
  </si>
  <si>
    <t>ID0898</t>
  </si>
  <si>
    <t>5,00,000 INR</t>
  </si>
  <si>
    <t>ID0899</t>
  </si>
  <si>
    <t>Engagement Lead</t>
  </si>
  <si>
    <t>ID0900</t>
  </si>
  <si>
    <t>ID0901</t>
  </si>
  <si>
    <t>PhP168000</t>
  </si>
  <si>
    <t>Clerk</t>
  </si>
  <si>
    <t>ID0903</t>
  </si>
  <si>
    <t xml:space="preserve">Document controller </t>
  </si>
  <si>
    <t xml:space="preserve">Kuwait </t>
  </si>
  <si>
    <t>ID0904</t>
  </si>
  <si>
    <t>180000 INR</t>
  </si>
  <si>
    <t>ID0905</t>
  </si>
  <si>
    <t>ID0906</t>
  </si>
  <si>
    <t>ID0907</t>
  </si>
  <si>
    <t>Rs 600000/-</t>
  </si>
  <si>
    <t>ID0908</t>
  </si>
  <si>
    <t>ID0909</t>
  </si>
  <si>
    <t>Financial Modeller</t>
  </si>
  <si>
    <t>ID0910</t>
  </si>
  <si>
    <t>Cost accountant</t>
  </si>
  <si>
    <t>ID0911</t>
  </si>
  <si>
    <t>banker</t>
  </si>
  <si>
    <t>ID0912</t>
  </si>
  <si>
    <t>ID0913</t>
  </si>
  <si>
    <t>1050000 INR</t>
  </si>
  <si>
    <t>Manager Market Reesrach</t>
  </si>
  <si>
    <t>ID0914</t>
  </si>
  <si>
    <t>QA Supervisor</t>
  </si>
  <si>
    <t>Czech Republic</t>
  </si>
  <si>
    <t>ID0915</t>
  </si>
  <si>
    <t>486000 INR</t>
  </si>
  <si>
    <t>Assistant manager</t>
  </si>
  <si>
    <t>ID0916</t>
  </si>
  <si>
    <t>ID0917</t>
  </si>
  <si>
    <t>Zimbabwe</t>
  </si>
  <si>
    <t>ID0918</t>
  </si>
  <si>
    <t>HR Advisor - Systems &amp; MI</t>
  </si>
  <si>
    <t>ID0919</t>
  </si>
  <si>
    <t>300000RS</t>
  </si>
  <si>
    <t>ANALYST</t>
  </si>
  <si>
    <t>ID0920</t>
  </si>
  <si>
    <t>ID0921</t>
  </si>
  <si>
    <t>C&amp;B Manager</t>
  </si>
  <si>
    <t>ID0922</t>
  </si>
  <si>
    <t>Senior Marketing Analyst</t>
  </si>
  <si>
    <t>ID0923</t>
  </si>
  <si>
    <t>operation supervisor</t>
  </si>
  <si>
    <t>ID0924</t>
  </si>
  <si>
    <t>MIS TEAM MEMBER</t>
  </si>
  <si>
    <t>ID0925</t>
  </si>
  <si>
    <t>ID0927</t>
  </si>
  <si>
    <t>ID0928</t>
  </si>
  <si>
    <t>7 Lakhs</t>
  </si>
  <si>
    <t>Business Support Executive</t>
  </si>
  <si>
    <t>ID0929</t>
  </si>
  <si>
    <t>analytic</t>
  </si>
  <si>
    <t>Slovenia</t>
  </si>
  <si>
    <t>ID0930</t>
  </si>
  <si>
    <t>ID0931</t>
  </si>
  <si>
    <t>ID0932</t>
  </si>
  <si>
    <t>50000 GBP</t>
  </si>
  <si>
    <t>Finance Analyst</t>
  </si>
  <si>
    <t>ID0933</t>
  </si>
  <si>
    <t>Credit Controller</t>
  </si>
  <si>
    <t>ID0934</t>
  </si>
  <si>
    <t>R$ 19.200,00</t>
  </si>
  <si>
    <t>Programmer</t>
  </si>
  <si>
    <t>ID0935</t>
  </si>
  <si>
    <t>ID0936</t>
  </si>
  <si>
    <t>business</t>
  </si>
  <si>
    <t>ID0937</t>
  </si>
  <si>
    <t>Rs.7,00,000</t>
  </si>
  <si>
    <t>ID0938</t>
  </si>
  <si>
    <t>Albania</t>
  </si>
  <si>
    <t>ID0939</t>
  </si>
  <si>
    <t>Reconciliation Manager in Textile Mill</t>
  </si>
  <si>
    <t>ID0940</t>
  </si>
  <si>
    <t>Reporting Supervisor</t>
  </si>
  <si>
    <t>ID0941</t>
  </si>
  <si>
    <t>Financial Expert</t>
  </si>
  <si>
    <t>Iran</t>
  </si>
  <si>
    <t>ID0943</t>
  </si>
  <si>
    <t>usd 2000 per month</t>
  </si>
  <si>
    <t>sr manager</t>
  </si>
  <si>
    <t>ID0944</t>
  </si>
  <si>
    <t>ID0945</t>
  </si>
  <si>
    <t>Client Manager</t>
  </si>
  <si>
    <t>ID0946</t>
  </si>
  <si>
    <t>ID0948</t>
  </si>
  <si>
    <t>INR 600K</t>
  </si>
  <si>
    <t>Asst. Mgr. Finance</t>
  </si>
  <si>
    <t>ID0949</t>
  </si>
  <si>
    <t>600000 INR</t>
  </si>
  <si>
    <t>ID0950</t>
  </si>
  <si>
    <t>Zambia</t>
  </si>
  <si>
    <t>ID0951</t>
  </si>
  <si>
    <t>42000 â‚¬</t>
  </si>
  <si>
    <t>ID0952</t>
  </si>
  <si>
    <t>ID0953</t>
  </si>
  <si>
    <t>Construction Engineer</t>
  </si>
  <si>
    <t>ID0954</t>
  </si>
  <si>
    <t>Marketing Insights Manager</t>
  </si>
  <si>
    <t>ID0955</t>
  </si>
  <si>
    <t>Risk analyst</t>
  </si>
  <si>
    <t>ID0957</t>
  </si>
  <si>
    <t>data analist</t>
  </si>
  <si>
    <t>netherlands</t>
  </si>
  <si>
    <t>ID0958</t>
  </si>
  <si>
    <t>2,000,000 Naira</t>
  </si>
  <si>
    <t>Head Business Advisory</t>
  </si>
  <si>
    <t>ID0959</t>
  </si>
  <si>
    <t>ID0960</t>
  </si>
  <si>
    <t>48000 $</t>
  </si>
  <si>
    <t>Merchandise planner</t>
  </si>
  <si>
    <t>ID0961</t>
  </si>
  <si>
    <t>NZ</t>
  </si>
  <si>
    <t>ID0962</t>
  </si>
  <si>
    <t>NZ$ 75000</t>
  </si>
  <si>
    <t>New  Zealand</t>
  </si>
  <si>
    <t>ID0963</t>
  </si>
  <si>
    <t>Software Tester</t>
  </si>
  <si>
    <t>ID0964</t>
  </si>
  <si>
    <t>Billing manager</t>
  </si>
  <si>
    <t>ID0965</t>
  </si>
  <si>
    <t>ID0966</t>
  </si>
  <si>
    <t>AUD90000</t>
  </si>
  <si>
    <t>ID0967</t>
  </si>
  <si>
    <t>Quality Executive</t>
  </si>
  <si>
    <t>ID0968</t>
  </si>
  <si>
    <t>AU$65</t>
  </si>
  <si>
    <t xml:space="preserve">Business Support </t>
  </si>
  <si>
    <t>ID0969</t>
  </si>
  <si>
    <t>ID0970</t>
  </si>
  <si>
    <t>Sales Manager</t>
  </si>
  <si>
    <t>ID0971</t>
  </si>
  <si>
    <t>Salary in USD (PPP)</t>
  </si>
  <si>
    <t>Excel Salary Summary</t>
  </si>
  <si>
    <t>Salary</t>
  </si>
  <si>
    <t>Named Lists</t>
  </si>
  <si>
    <t>JobType</t>
  </si>
  <si>
    <t>Country</t>
  </si>
  <si>
    <t>Experience</t>
  </si>
  <si>
    <t>Arabian Gulf</t>
  </si>
  <si>
    <t>Mozambique</t>
  </si>
  <si>
    <t>1 or 2</t>
  </si>
  <si>
    <t>2 to 3</t>
  </si>
  <si>
    <t>4 to 6</t>
  </si>
  <si>
    <t>Excel??</t>
  </si>
  <si>
    <t>0-5 yrs</t>
  </si>
  <si>
    <t>6-10 yrs</t>
  </si>
  <si>
    <t>11-20 yrs</t>
  </si>
  <si>
    <t>21-30 yrs</t>
  </si>
  <si>
    <t>31-40 yrs</t>
  </si>
  <si>
    <t>0-14.9K</t>
  </si>
  <si>
    <t>15-29.9K</t>
  </si>
  <si>
    <t>30-49.9K</t>
  </si>
  <si>
    <t>50-74.9K</t>
  </si>
  <si>
    <t>75-99.9K</t>
  </si>
  <si>
    <t>100-149.9K</t>
  </si>
  <si>
    <t>150-249.9K</t>
  </si>
  <si>
    <t>250K+</t>
  </si>
  <si>
    <t>Labels</t>
  </si>
  <si>
    <t>Fields</t>
  </si>
  <si>
    <t>Selected Salary</t>
  </si>
  <si>
    <t>PPP</t>
  </si>
  <si>
    <t>refHours</t>
  </si>
  <si>
    <t>refYears</t>
  </si>
  <si>
    <t>Fields1</t>
  </si>
  <si>
    <t>Hours</t>
  </si>
  <si>
    <t>All 8</t>
  </si>
  <si>
    <t>chartHours</t>
  </si>
  <si>
    <t>chartYears</t>
  </si>
  <si>
    <t>chartJob</t>
  </si>
  <si>
    <t>chartSalary</t>
  </si>
  <si>
    <t>Chart 2</t>
  </si>
  <si>
    <t>Field</t>
  </si>
  <si>
    <t>Country1</t>
  </si>
  <si>
    <t>Country2</t>
  </si>
  <si>
    <t>refSalary</t>
  </si>
  <si>
    <t>avgHours</t>
  </si>
  <si>
    <t>Filters</t>
  </si>
  <si>
    <t>Average Salary</t>
  </si>
  <si>
    <t>Average Hours p/ Day</t>
  </si>
  <si>
    <t>Average Years Exp</t>
  </si>
  <si>
    <t>Most Common Job</t>
  </si>
  <si>
    <t>Rank</t>
  </si>
  <si>
    <t>Avg Salary</t>
  </si>
  <si>
    <t>Avg Hours</t>
  </si>
  <si>
    <t>Avg Exp</t>
  </si>
  <si>
    <t>Common Job</t>
  </si>
  <si>
    <t>Survey Participants</t>
  </si>
  <si>
    <t>Participants</t>
  </si>
  <si>
    <t>Country Data</t>
  </si>
  <si>
    <t>By the Numbers</t>
  </si>
  <si>
    <t>CountryAll</t>
  </si>
  <si>
    <t>All</t>
  </si>
  <si>
    <t>Rank1</t>
  </si>
  <si>
    <t>Rank ppp</t>
  </si>
  <si>
    <t>Value</t>
  </si>
  <si>
    <t>Count</t>
  </si>
  <si>
    <t>Percentage</t>
  </si>
  <si>
    <t>Type Range</t>
  </si>
  <si>
    <t>Fields2</t>
  </si>
  <si>
    <t>Bubble Chart</t>
  </si>
  <si>
    <t>Field 1</t>
  </si>
  <si>
    <t>Field 2</t>
  </si>
  <si>
    <t>Fields3</t>
  </si>
  <si>
    <t>Country:</t>
  </si>
  <si>
    <t>X-Axis:</t>
  </si>
  <si>
    <t>Y-Axis: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</si>
</sst>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43" formatCode="_(* #,##0.00_);_(* \(#,##0.00\);_(* &quot;-&quot;??_);_(@_)"/>
    <numFmt numFmtId="164" formatCode="d\ mmmm\ yyyy\,\ h:mm\ AM/PM"/>
    <numFmt numFmtId="165" formatCode="_(* #,##0_);_(* \(#,##0\);_(* &quot;-&quot;??_);_(@_)"/>
  </numFmts>
  <fonts count="13">
    <font>
      <sz val="10"/>
      <name val="Calibri"/>
    </font>
    <font>
      <sz val="10"/>
      <name val="Calibri"/>
      <family val="2"/>
    </font>
    <font>
      <b/>
      <sz val="10"/>
      <name val="Calibri"/>
      <family val="2"/>
    </font>
    <font>
      <sz val="8"/>
      <name val="Tahoma"/>
      <family val="2"/>
    </font>
    <font>
      <sz val="10"/>
      <name val="Calibri"/>
      <family val="2"/>
    </font>
    <font>
      <b/>
      <sz val="10"/>
      <name val="Calibri"/>
      <family val="2"/>
    </font>
    <font>
      <b/>
      <i/>
      <sz val="10"/>
      <name val="Calibri"/>
      <family val="2"/>
    </font>
    <font>
      <b/>
      <sz val="8"/>
      <color indexed="81"/>
      <name val="Tahoma"/>
      <family val="2"/>
    </font>
    <font>
      <b/>
      <sz val="16"/>
      <color theme="0"/>
      <name val="Calibri"/>
      <family val="2"/>
    </font>
    <font>
      <b/>
      <sz val="12"/>
      <color theme="0"/>
      <name val="Calibri"/>
      <family val="2"/>
    </font>
    <font>
      <b/>
      <sz val="11"/>
      <name val="Calibri"/>
      <family val="2"/>
    </font>
    <font>
      <sz val="10"/>
      <name val="Calibri"/>
      <family val="2"/>
    </font>
    <font>
      <b/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slantDashDot">
        <color theme="6" tint="-0.499984740745262"/>
      </left>
      <right style="slantDashDot">
        <color theme="6" tint="-0.499984740745262"/>
      </right>
      <top style="slantDashDot">
        <color theme="6" tint="-0.499984740745262"/>
      </top>
      <bottom style="slantDashDot">
        <color theme="6" tint="-0.499984740745262"/>
      </bottom>
      <diagonal/>
    </border>
    <border>
      <left/>
      <right/>
      <top/>
      <bottom style="thin">
        <color theme="9" tint="-0.499984740745262"/>
      </bottom>
      <diagonal/>
    </border>
    <border>
      <left style="slantDashDot">
        <color theme="6" tint="-0.499984740745262"/>
      </left>
      <right/>
      <top style="slantDashDot">
        <color theme="6" tint="-0.499984740745262"/>
      </top>
      <bottom style="slantDashDot">
        <color theme="6" tint="-0.499984740745262"/>
      </bottom>
      <diagonal/>
    </border>
    <border>
      <left/>
      <right style="slantDashDot">
        <color theme="6" tint="-0.499984740745262"/>
      </right>
      <top style="slantDashDot">
        <color theme="6" tint="-0.499984740745262"/>
      </top>
      <bottom style="slantDashDot">
        <color theme="6" tint="-0.49998474074526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45">
    <xf numFmtId="0" fontId="0" fillId="0" borderId="0" xfId="0"/>
    <xf numFmtId="16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/>
    <xf numFmtId="43" fontId="2" fillId="0" borderId="0" xfId="1" applyFont="1"/>
    <xf numFmtId="43" fontId="0" fillId="0" borderId="0" xfId="1" applyFont="1"/>
    <xf numFmtId="0" fontId="8" fillId="2" borderId="0" xfId="0" applyFont="1" applyFill="1" applyAlignment="1">
      <alignment vertical="center"/>
    </xf>
    <xf numFmtId="0" fontId="4" fillId="0" borderId="0" xfId="0" applyFont="1"/>
    <xf numFmtId="0" fontId="9" fillId="2" borderId="0" xfId="0" applyFont="1" applyFill="1"/>
    <xf numFmtId="0" fontId="5" fillId="0" borderId="0" xfId="0" applyFont="1"/>
    <xf numFmtId="0" fontId="6" fillId="0" borderId="0" xfId="0" applyFont="1"/>
    <xf numFmtId="49" fontId="4" fillId="0" borderId="0" xfId="0" applyNumberFormat="1" applyFont="1"/>
    <xf numFmtId="49" fontId="0" fillId="0" borderId="0" xfId="0" applyNumberFormat="1"/>
    <xf numFmtId="43" fontId="5" fillId="0" borderId="0" xfId="1" applyFont="1"/>
    <xf numFmtId="0" fontId="0" fillId="0" borderId="0" xfId="0" applyFont="1"/>
    <xf numFmtId="0" fontId="0" fillId="0" borderId="0" xfId="0" applyNumberFormat="1"/>
    <xf numFmtId="0" fontId="0" fillId="3" borderId="0" xfId="0" applyFill="1"/>
    <xf numFmtId="0" fontId="4" fillId="0" borderId="0" xfId="0" applyNumberFormat="1" applyFont="1"/>
    <xf numFmtId="43" fontId="0" fillId="0" borderId="0" xfId="0" applyNumberFormat="1"/>
    <xf numFmtId="0" fontId="5" fillId="3" borderId="0" xfId="0" applyFont="1" applyFill="1"/>
    <xf numFmtId="0" fontId="4" fillId="3" borderId="0" xfId="0" applyFont="1" applyFill="1"/>
    <xf numFmtId="0" fontId="4" fillId="3" borderId="0" xfId="0" applyFont="1" applyFill="1" applyBorder="1"/>
    <xf numFmtId="37" fontId="0" fillId="0" borderId="0" xfId="1" applyNumberFormat="1" applyFont="1"/>
    <xf numFmtId="41" fontId="0" fillId="0" borderId="0" xfId="1" applyNumberFormat="1" applyFont="1"/>
    <xf numFmtId="43" fontId="0" fillId="3" borderId="0" xfId="1" applyFont="1" applyFill="1"/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43" fontId="0" fillId="3" borderId="0" xfId="1" applyFont="1" applyFill="1" applyAlignment="1">
      <alignment horizontal="right"/>
    </xf>
    <xf numFmtId="165" fontId="0" fillId="3" borderId="0" xfId="1" applyNumberFormat="1" applyFont="1" applyFill="1"/>
    <xf numFmtId="0" fontId="5" fillId="3" borderId="0" xfId="0" applyFont="1" applyFill="1" applyAlignment="1">
      <alignment horizontal="right"/>
    </xf>
    <xf numFmtId="0" fontId="10" fillId="3" borderId="2" xfId="0" applyFont="1" applyFill="1" applyBorder="1"/>
    <xf numFmtId="0" fontId="0" fillId="3" borderId="2" xfId="0" applyFill="1" applyBorder="1"/>
    <xf numFmtId="0" fontId="5" fillId="3" borderId="2" xfId="0" applyFont="1" applyFill="1" applyBorder="1"/>
    <xf numFmtId="0" fontId="0" fillId="3" borderId="2" xfId="0" applyFill="1" applyBorder="1" applyAlignment="1">
      <alignment horizontal="center"/>
    </xf>
    <xf numFmtId="0" fontId="4" fillId="4" borderId="0" xfId="0" applyFont="1" applyFill="1"/>
    <xf numFmtId="0" fontId="0" fillId="4" borderId="0" xfId="0" applyFill="1"/>
    <xf numFmtId="9" fontId="0" fillId="0" borderId="0" xfId="2" applyFont="1"/>
    <xf numFmtId="0" fontId="1" fillId="0" borderId="0" xfId="0" applyFont="1"/>
    <xf numFmtId="0" fontId="1" fillId="4" borderId="0" xfId="0" applyFont="1" applyFill="1"/>
    <xf numFmtId="0" fontId="1" fillId="3" borderId="0" xfId="0" applyFont="1" applyFill="1"/>
    <xf numFmtId="0" fontId="12" fillId="3" borderId="0" xfId="0" applyFont="1" applyFill="1" applyAlignment="1">
      <alignment horizontal="left" vertical="center"/>
    </xf>
    <xf numFmtId="0" fontId="5" fillId="5" borderId="1" xfId="0" applyFont="1" applyFill="1" applyBorder="1"/>
    <xf numFmtId="0" fontId="5" fillId="5" borderId="3" xfId="0" applyFont="1" applyFill="1" applyBorder="1" applyAlignment="1">
      <alignment horizontal="left"/>
    </xf>
    <xf numFmtId="0" fontId="5" fillId="5" borderId="4" xfId="0" applyFont="1" applyFill="1" applyBorder="1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34">
    <dxf>
      <border diagonalUp="0" diagonalDown="0" outline="0">
        <left/>
        <right/>
        <top/>
        <bottom/>
      </border>
    </dxf>
    <dxf>
      <numFmt numFmtId="0" formatCode="General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border diagonalUp="0" diagonalDown="0" outline="0">
        <left/>
        <right/>
        <top/>
        <bottom/>
      </border>
    </dxf>
    <dxf>
      <numFmt numFmtId="0" formatCode="General"/>
    </dxf>
    <dxf>
      <border diagonalUp="0" diagonalDown="0" outline="0">
        <left/>
        <right/>
        <top/>
        <bottom/>
      </border>
    </dxf>
    <dxf>
      <numFmt numFmtId="0" formatCode="General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  <border diagonalUp="0" diagonalDown="0" outline="0">
        <left/>
        <right/>
        <top/>
        <bottom/>
      </border>
    </dxf>
    <dxf>
      <numFmt numFmtId="0" formatCode="General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5" formatCode="_(* #,##0.00_);_(* \(#,##0.00\);_(* &quot;-&quot;??_);_(@_)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lef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left" vertical="bottom" textRotation="0" wrapText="0" indent="1" relativeIndent="255" justifyLastLine="0" shrinkToFit="0" mergeCell="0" readingOrder="0"/>
    </dxf>
    <dxf>
      <numFmt numFmtId="164" formatCode="d\ mmmm\ yyyy\,\ h:mm\ AM/PM"/>
      <alignment horizontal="lef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64" formatCode="d\ mmmm\ yyyy\,\ h:mm\ AM/PM"/>
      <alignment horizontal="left" vertical="bottom" textRotation="0" wrapText="0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</dxf>
    <dxf>
      <font>
        <strike/>
        <color indexed="23"/>
      </font>
    </dxf>
    <dxf>
      <font>
        <strike/>
        <color indexed="23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plotArea>
      <c:layout>
        <c:manualLayout>
          <c:layoutTarget val="inner"/>
          <c:xMode val="edge"/>
          <c:yMode val="edge"/>
          <c:x val="0.14841021584630795"/>
          <c:y val="0.15534332401998141"/>
          <c:w val="0.82838736482140407"/>
          <c:h val="0.59744644822622717"/>
        </c:manualLayout>
      </c:layout>
      <c:bubbleChart>
        <c:varyColors val="1"/>
        <c:ser>
          <c:idx val="1"/>
          <c:order val="0"/>
          <c:spPr>
            <a:solidFill>
              <a:srgbClr val="9BBB59">
                <a:alpha val="25000"/>
              </a:srgbClr>
            </a:solidFill>
          </c:spPr>
          <c:xVal>
            <c:numLit>
              <c:formatCode>General</c:formatCode>
              <c:ptCount val="11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  <c:pt idx="20">
                <c:v>2</c:v>
              </c:pt>
              <c:pt idx="21">
                <c:v>2</c:v>
              </c:pt>
              <c:pt idx="22">
                <c:v>2</c:v>
              </c:pt>
              <c:pt idx="23">
                <c:v>2</c:v>
              </c:pt>
              <c:pt idx="24">
                <c:v>2</c:v>
              </c:pt>
              <c:pt idx="25">
                <c:v>2</c:v>
              </c:pt>
              <c:pt idx="26">
                <c:v>2</c:v>
              </c:pt>
              <c:pt idx="27">
                <c:v>2</c:v>
              </c:pt>
              <c:pt idx="28">
                <c:v>2</c:v>
              </c:pt>
              <c:pt idx="29">
                <c:v>2</c:v>
              </c:pt>
              <c:pt idx="30">
                <c:v>2</c:v>
              </c:pt>
              <c:pt idx="31">
                <c:v>2</c:v>
              </c:pt>
              <c:pt idx="32">
                <c:v>2</c:v>
              </c:pt>
              <c:pt idx="33">
                <c:v>2</c:v>
              </c:pt>
              <c:pt idx="34">
                <c:v>2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  <c:pt idx="38">
                <c:v>2</c:v>
              </c:pt>
              <c:pt idx="39">
                <c:v>2</c:v>
              </c:pt>
              <c:pt idx="40">
                <c:v>2</c:v>
              </c:pt>
              <c:pt idx="41">
                <c:v>2</c:v>
              </c:pt>
              <c:pt idx="42">
                <c:v>2</c:v>
              </c:pt>
              <c:pt idx="43">
                <c:v>2</c:v>
              </c:pt>
              <c:pt idx="44">
                <c:v>2</c:v>
              </c:pt>
              <c:pt idx="45">
                <c:v>2</c:v>
              </c:pt>
              <c:pt idx="46">
                <c:v>2</c:v>
              </c:pt>
              <c:pt idx="47">
                <c:v>2</c:v>
              </c:pt>
              <c:pt idx="48">
                <c:v>2</c:v>
              </c:pt>
              <c:pt idx="49">
                <c:v>3</c:v>
              </c:pt>
              <c:pt idx="50">
                <c:v>3</c:v>
              </c:pt>
              <c:pt idx="51">
                <c:v>3</c:v>
              </c:pt>
              <c:pt idx="52">
                <c:v>3</c:v>
              </c:pt>
              <c:pt idx="53">
                <c:v>3</c:v>
              </c:pt>
              <c:pt idx="54">
                <c:v>3</c:v>
              </c:pt>
              <c:pt idx="55">
                <c:v>3</c:v>
              </c:pt>
              <c:pt idx="56">
                <c:v>3</c:v>
              </c:pt>
              <c:pt idx="57">
                <c:v>3</c:v>
              </c:pt>
              <c:pt idx="58">
                <c:v>3</c:v>
              </c:pt>
              <c:pt idx="59">
                <c:v>3</c:v>
              </c:pt>
              <c:pt idx="60">
                <c:v>4</c:v>
              </c:pt>
              <c:pt idx="61">
                <c:v>4</c:v>
              </c:pt>
              <c:pt idx="62">
                <c:v>4</c:v>
              </c:pt>
              <c:pt idx="63">
                <c:v>4</c:v>
              </c:pt>
              <c:pt idx="64">
                <c:v>4</c:v>
              </c:pt>
              <c:pt idx="65">
                <c:v>4</c:v>
              </c:pt>
              <c:pt idx="66">
                <c:v>5</c:v>
              </c:pt>
              <c:pt idx="67">
                <c:v>5</c:v>
              </c:pt>
              <c:pt idx="68">
                <c:v>5</c:v>
              </c:pt>
              <c:pt idx="69">
                <c:v>5</c:v>
              </c:pt>
              <c:pt idx="70">
                <c:v>5</c:v>
              </c:pt>
              <c:pt idx="71">
                <c:v>5</c:v>
              </c:pt>
              <c:pt idx="72">
                <c:v>6</c:v>
              </c:pt>
              <c:pt idx="73">
                <c:v>6</c:v>
              </c:pt>
              <c:pt idx="74">
                <c:v>6</c:v>
              </c:pt>
              <c:pt idx="75">
                <c:v>6</c:v>
              </c:pt>
              <c:pt idx="76">
                <c:v>6</c:v>
              </c:pt>
              <c:pt idx="77">
                <c:v>7</c:v>
              </c:pt>
              <c:pt idx="78">
                <c:v>7</c:v>
              </c:pt>
              <c:pt idx="79">
                <c:v>7</c:v>
              </c:pt>
              <c:pt idx="80">
                <c:v>7</c:v>
              </c:pt>
              <c:pt idx="81">
                <c:v>7</c:v>
              </c:pt>
              <c:pt idx="82">
                <c:v>7</c:v>
              </c:pt>
              <c:pt idx="83">
                <c:v>7</c:v>
              </c:pt>
              <c:pt idx="84">
                <c:v>7</c:v>
              </c:pt>
              <c:pt idx="85">
                <c:v>7</c:v>
              </c:pt>
              <c:pt idx="86">
                <c:v>7</c:v>
              </c:pt>
              <c:pt idx="87">
                <c:v>7</c:v>
              </c:pt>
              <c:pt idx="88">
                <c:v>7</c:v>
              </c:pt>
              <c:pt idx="89">
                <c:v>7</c:v>
              </c:pt>
              <c:pt idx="90">
                <c:v>7</c:v>
              </c:pt>
              <c:pt idx="91">
                <c:v>7</c:v>
              </c:pt>
              <c:pt idx="92">
                <c:v>7</c:v>
              </c:pt>
              <c:pt idx="93">
                <c:v>7</c:v>
              </c:pt>
              <c:pt idx="94">
                <c:v>7</c:v>
              </c:pt>
              <c:pt idx="95">
                <c:v>7</c:v>
              </c:pt>
              <c:pt idx="96">
                <c:v>7</c:v>
              </c:pt>
              <c:pt idx="97">
                <c:v>7</c:v>
              </c:pt>
              <c:pt idx="98">
                <c:v>7</c:v>
              </c:pt>
              <c:pt idx="99">
                <c:v>7</c:v>
              </c:pt>
              <c:pt idx="100">
                <c:v>7</c:v>
              </c:pt>
              <c:pt idx="101">
                <c:v>7</c:v>
              </c:pt>
              <c:pt idx="102">
                <c:v>7</c:v>
              </c:pt>
              <c:pt idx="103">
                <c:v>7</c:v>
              </c:pt>
              <c:pt idx="104">
                <c:v>7</c:v>
              </c:pt>
              <c:pt idx="105">
                <c:v>7</c:v>
              </c:pt>
              <c:pt idx="106">
                <c:v>7</c:v>
              </c:pt>
              <c:pt idx="107">
                <c:v>7</c:v>
              </c:pt>
              <c:pt idx="108">
                <c:v>7</c:v>
              </c:pt>
              <c:pt idx="109">
                <c:v>7</c:v>
              </c:pt>
              <c:pt idx="110">
                <c:v>9</c:v>
              </c:pt>
              <c:pt idx="111">
                <c:v>9</c:v>
              </c:pt>
              <c:pt idx="112">
                <c:v>9</c:v>
              </c:pt>
              <c:pt idx="113">
                <c:v>9</c:v>
              </c:pt>
              <c:pt idx="114">
                <c:v>10</c:v>
              </c:pt>
              <c:pt idx="115">
                <c:v>10</c:v>
              </c:pt>
              <c:pt idx="116">
                <c:v>10</c:v>
              </c:pt>
              <c:pt idx="117">
                <c:v>10</c:v>
              </c:pt>
              <c:pt idx="118">
                <c:v>10</c:v>
              </c:pt>
            </c:numLit>
          </c:xVal>
          <c:yVal>
            <c:numLit>
              <c:formatCode>General</c:formatCode>
              <c:ptCount val="119"/>
              <c:pt idx="0">
                <c:v>55638</c:v>
              </c:pt>
              <c:pt idx="1">
                <c:v>44510</c:v>
              </c:pt>
              <c:pt idx="2">
                <c:v>63798</c:v>
              </c:pt>
              <c:pt idx="3">
                <c:v>19000</c:v>
              </c:pt>
              <c:pt idx="4">
                <c:v>37092</c:v>
              </c:pt>
              <c:pt idx="5">
                <c:v>50445</c:v>
              </c:pt>
              <c:pt idx="6">
                <c:v>43027</c:v>
              </c:pt>
              <c:pt idx="7">
                <c:v>74184</c:v>
              </c:pt>
              <c:pt idx="8">
                <c:v>29674</c:v>
              </c:pt>
              <c:pt idx="9">
                <c:v>52671</c:v>
              </c:pt>
              <c:pt idx="10">
                <c:v>118694</c:v>
              </c:pt>
              <c:pt idx="11">
                <c:v>59347</c:v>
              </c:pt>
              <c:pt idx="12">
                <c:v>56380</c:v>
              </c:pt>
              <c:pt idx="13">
                <c:v>51929</c:v>
              </c:pt>
              <c:pt idx="14">
                <c:v>23145</c:v>
              </c:pt>
              <c:pt idx="15">
                <c:v>47478</c:v>
              </c:pt>
              <c:pt idx="16">
                <c:v>31899</c:v>
              </c:pt>
              <c:pt idx="17">
                <c:v>32341</c:v>
              </c:pt>
              <c:pt idx="18">
                <c:v>65151</c:v>
              </c:pt>
              <c:pt idx="19">
                <c:v>29674</c:v>
              </c:pt>
              <c:pt idx="20">
                <c:v>33086</c:v>
              </c:pt>
              <c:pt idx="21">
                <c:v>66766</c:v>
              </c:pt>
              <c:pt idx="22">
                <c:v>34125</c:v>
              </c:pt>
              <c:pt idx="23">
                <c:v>74184</c:v>
              </c:pt>
              <c:pt idx="24">
                <c:v>47126</c:v>
              </c:pt>
              <c:pt idx="25">
                <c:v>25223</c:v>
              </c:pt>
              <c:pt idx="26">
                <c:v>38205</c:v>
              </c:pt>
              <c:pt idx="27">
                <c:v>40059</c:v>
              </c:pt>
              <c:pt idx="28">
                <c:v>38576</c:v>
              </c:pt>
              <c:pt idx="29">
                <c:v>51929</c:v>
              </c:pt>
              <c:pt idx="30">
                <c:v>37092</c:v>
              </c:pt>
              <c:pt idx="31">
                <c:v>81600</c:v>
              </c:pt>
              <c:pt idx="32">
                <c:v>44510</c:v>
              </c:pt>
              <c:pt idx="33">
                <c:v>89021</c:v>
              </c:pt>
              <c:pt idx="34">
                <c:v>59347</c:v>
              </c:pt>
              <c:pt idx="35">
                <c:v>117211</c:v>
              </c:pt>
              <c:pt idx="36">
                <c:v>41543</c:v>
              </c:pt>
              <c:pt idx="37">
                <c:v>43027</c:v>
              </c:pt>
              <c:pt idx="38">
                <c:v>30415</c:v>
              </c:pt>
              <c:pt idx="39">
                <c:v>86053</c:v>
              </c:pt>
              <c:pt idx="40">
                <c:v>31157</c:v>
              </c:pt>
              <c:pt idx="41">
                <c:v>14837</c:v>
              </c:pt>
              <c:pt idx="42">
                <c:v>54896</c:v>
              </c:pt>
              <c:pt idx="43">
                <c:v>41779</c:v>
              </c:pt>
              <c:pt idx="44">
                <c:v>115727</c:v>
              </c:pt>
              <c:pt idx="45">
                <c:v>148368</c:v>
              </c:pt>
              <c:pt idx="46">
                <c:v>100000</c:v>
              </c:pt>
              <c:pt idx="47">
                <c:v>24332</c:v>
              </c:pt>
              <c:pt idx="48">
                <c:v>170000</c:v>
              </c:pt>
              <c:pt idx="49">
                <c:v>66766</c:v>
              </c:pt>
              <c:pt idx="50">
                <c:v>118694</c:v>
              </c:pt>
              <c:pt idx="51">
                <c:v>45252</c:v>
              </c:pt>
              <c:pt idx="52">
                <c:v>103858</c:v>
              </c:pt>
              <c:pt idx="53">
                <c:v>95267</c:v>
              </c:pt>
              <c:pt idx="54">
                <c:v>38576</c:v>
              </c:pt>
              <c:pt idx="55">
                <c:v>78160</c:v>
              </c:pt>
              <c:pt idx="56">
                <c:v>87537</c:v>
              </c:pt>
              <c:pt idx="57">
                <c:v>89021</c:v>
              </c:pt>
              <c:pt idx="58">
                <c:v>81000</c:v>
              </c:pt>
              <c:pt idx="59">
                <c:v>29674</c:v>
              </c:pt>
              <c:pt idx="60">
                <c:v>148368</c:v>
              </c:pt>
              <c:pt idx="61">
                <c:v>81602</c:v>
              </c:pt>
              <c:pt idx="62">
                <c:v>118694</c:v>
              </c:pt>
              <c:pt idx="63">
                <c:v>63798</c:v>
              </c:pt>
              <c:pt idx="64">
                <c:v>108309</c:v>
              </c:pt>
              <c:pt idx="65">
                <c:v>96439</c:v>
              </c:pt>
              <c:pt idx="66">
                <c:v>81602</c:v>
              </c:pt>
              <c:pt idx="67">
                <c:v>51929</c:v>
              </c:pt>
              <c:pt idx="68">
                <c:v>66766</c:v>
              </c:pt>
              <c:pt idx="69">
                <c:v>74184</c:v>
              </c:pt>
              <c:pt idx="70">
                <c:v>89021</c:v>
              </c:pt>
              <c:pt idx="71">
                <c:v>281899</c:v>
              </c:pt>
              <c:pt idx="72">
                <c:v>40059</c:v>
              </c:pt>
              <c:pt idx="73">
                <c:v>49703</c:v>
              </c:pt>
              <c:pt idx="74">
                <c:v>217556</c:v>
              </c:pt>
              <c:pt idx="75">
                <c:v>29674</c:v>
              </c:pt>
              <c:pt idx="76">
                <c:v>45994</c:v>
              </c:pt>
              <c:pt idx="77">
                <c:v>67062</c:v>
              </c:pt>
              <c:pt idx="78">
                <c:v>40059</c:v>
              </c:pt>
              <c:pt idx="79">
                <c:v>109792</c:v>
              </c:pt>
              <c:pt idx="80">
                <c:v>54896</c:v>
              </c:pt>
              <c:pt idx="81">
                <c:v>96439</c:v>
              </c:pt>
              <c:pt idx="82">
                <c:v>42285</c:v>
              </c:pt>
              <c:pt idx="83">
                <c:v>59347</c:v>
              </c:pt>
              <c:pt idx="84">
                <c:v>74184</c:v>
              </c:pt>
              <c:pt idx="85">
                <c:v>66766</c:v>
              </c:pt>
              <c:pt idx="86">
                <c:v>39318</c:v>
              </c:pt>
              <c:pt idx="87">
                <c:v>32641</c:v>
              </c:pt>
              <c:pt idx="88">
                <c:v>111276</c:v>
              </c:pt>
              <c:pt idx="89">
                <c:v>53412</c:v>
              </c:pt>
              <c:pt idx="90">
                <c:v>60089</c:v>
              </c:pt>
              <c:pt idx="91">
                <c:v>62315</c:v>
              </c:pt>
              <c:pt idx="92">
                <c:v>42730</c:v>
              </c:pt>
              <c:pt idx="93">
                <c:v>71751</c:v>
              </c:pt>
              <c:pt idx="94">
                <c:v>71217</c:v>
              </c:pt>
              <c:pt idx="95">
                <c:v>46269</c:v>
              </c:pt>
              <c:pt idx="96">
                <c:v>34125</c:v>
              </c:pt>
              <c:pt idx="97">
                <c:v>86053</c:v>
              </c:pt>
              <c:pt idx="98">
                <c:v>27448</c:v>
              </c:pt>
              <c:pt idx="99">
                <c:v>97923</c:v>
              </c:pt>
              <c:pt idx="100">
                <c:v>26706</c:v>
              </c:pt>
              <c:pt idx="101">
                <c:v>103858</c:v>
              </c:pt>
              <c:pt idx="102">
                <c:v>63798</c:v>
              </c:pt>
              <c:pt idx="103">
                <c:v>54154</c:v>
              </c:pt>
              <c:pt idx="104">
                <c:v>41543</c:v>
              </c:pt>
              <c:pt idx="105">
                <c:v>108309</c:v>
              </c:pt>
              <c:pt idx="106">
                <c:v>48961</c:v>
              </c:pt>
              <c:pt idx="107">
                <c:v>47849</c:v>
              </c:pt>
              <c:pt idx="108">
                <c:v>44510</c:v>
              </c:pt>
              <c:pt idx="109">
                <c:v>41786</c:v>
              </c:pt>
              <c:pt idx="110">
                <c:v>22255</c:v>
              </c:pt>
              <c:pt idx="111">
                <c:v>37092</c:v>
              </c:pt>
              <c:pt idx="112">
                <c:v>43027</c:v>
              </c:pt>
              <c:pt idx="113">
                <c:v>19000</c:v>
              </c:pt>
              <c:pt idx="114">
                <c:v>93472</c:v>
              </c:pt>
              <c:pt idx="115">
                <c:v>44510</c:v>
              </c:pt>
              <c:pt idx="116">
                <c:v>59347</c:v>
              </c:pt>
              <c:pt idx="117">
                <c:v>35608</c:v>
              </c:pt>
              <c:pt idx="118">
                <c:v>207715</c:v>
              </c:pt>
            </c:numLit>
          </c:yVal>
          <c:bubbleSize>
            <c:numLit>
              <c:formatCode>General</c:formatCode>
              <c:ptCount val="119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2</c:v>
              </c:pt>
              <c:pt idx="5">
                <c:v>3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4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3</c:v>
              </c:pt>
              <c:pt idx="20">
                <c:v>1</c:v>
              </c:pt>
              <c:pt idx="21">
                <c:v>2</c:v>
              </c:pt>
              <c:pt idx="22">
                <c:v>1</c:v>
              </c:pt>
              <c:pt idx="23">
                <c:v>2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2</c:v>
              </c:pt>
              <c:pt idx="29">
                <c:v>5</c:v>
              </c:pt>
              <c:pt idx="30">
                <c:v>3</c:v>
              </c:pt>
              <c:pt idx="31">
                <c:v>1</c:v>
              </c:pt>
              <c:pt idx="32">
                <c:v>6</c:v>
              </c:pt>
              <c:pt idx="33">
                <c:v>3</c:v>
              </c:pt>
              <c:pt idx="34">
                <c:v>1</c:v>
              </c:pt>
              <c:pt idx="35">
                <c:v>1</c:v>
              </c:pt>
              <c:pt idx="36">
                <c:v>2</c:v>
              </c:pt>
              <c:pt idx="37">
                <c:v>2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2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  <c:pt idx="58">
                <c:v>1</c:v>
              </c:pt>
              <c:pt idx="59">
                <c:v>1</c:v>
              </c:pt>
              <c:pt idx="60">
                <c:v>1</c:v>
              </c:pt>
              <c:pt idx="61">
                <c:v>1</c:v>
              </c:pt>
              <c:pt idx="62">
                <c:v>1</c:v>
              </c:pt>
              <c:pt idx="63">
                <c:v>1</c:v>
              </c:pt>
              <c:pt idx="64">
                <c:v>1</c:v>
              </c:pt>
              <c:pt idx="65">
                <c:v>1</c:v>
              </c:pt>
              <c:pt idx="66">
                <c:v>1</c:v>
              </c:pt>
              <c:pt idx="67">
                <c:v>1</c:v>
              </c:pt>
              <c:pt idx="68">
                <c:v>1</c:v>
              </c:pt>
              <c:pt idx="69">
                <c:v>1</c:v>
              </c:pt>
              <c:pt idx="70">
                <c:v>1</c:v>
              </c:pt>
              <c:pt idx="71">
                <c:v>1</c:v>
              </c:pt>
              <c:pt idx="72">
                <c:v>1</c:v>
              </c:pt>
              <c:pt idx="73">
                <c:v>1</c:v>
              </c:pt>
              <c:pt idx="74">
                <c:v>1</c:v>
              </c:pt>
              <c:pt idx="75">
                <c:v>1</c:v>
              </c:pt>
              <c:pt idx="76">
                <c:v>1</c:v>
              </c:pt>
              <c:pt idx="77">
                <c:v>1</c:v>
              </c:pt>
              <c:pt idx="78">
                <c:v>2</c:v>
              </c:pt>
              <c:pt idx="79">
                <c:v>1</c:v>
              </c:pt>
              <c:pt idx="80">
                <c:v>1</c:v>
              </c:pt>
              <c:pt idx="81">
                <c:v>2</c:v>
              </c:pt>
              <c:pt idx="82">
                <c:v>2</c:v>
              </c:pt>
              <c:pt idx="83">
                <c:v>2</c:v>
              </c:pt>
              <c:pt idx="84">
                <c:v>1</c:v>
              </c:pt>
              <c:pt idx="85">
                <c:v>2</c:v>
              </c:pt>
              <c:pt idx="86">
                <c:v>1</c:v>
              </c:pt>
              <c:pt idx="87">
                <c:v>1</c:v>
              </c:pt>
              <c:pt idx="88">
                <c:v>2</c:v>
              </c:pt>
              <c:pt idx="89">
                <c:v>2</c:v>
              </c:pt>
              <c:pt idx="90">
                <c:v>1</c:v>
              </c:pt>
              <c:pt idx="91">
                <c:v>1</c:v>
              </c:pt>
              <c:pt idx="92">
                <c:v>1</c:v>
              </c:pt>
              <c:pt idx="93">
                <c:v>1</c:v>
              </c:pt>
              <c:pt idx="94">
                <c:v>1</c:v>
              </c:pt>
              <c:pt idx="95">
                <c:v>1</c:v>
              </c:pt>
              <c:pt idx="96">
                <c:v>1</c:v>
              </c:pt>
              <c:pt idx="97">
                <c:v>1</c:v>
              </c:pt>
              <c:pt idx="98">
                <c:v>1</c:v>
              </c:pt>
              <c:pt idx="99">
                <c:v>1</c:v>
              </c:pt>
              <c:pt idx="100">
                <c:v>1</c:v>
              </c:pt>
              <c:pt idx="101">
                <c:v>1</c:v>
              </c:pt>
              <c:pt idx="102">
                <c:v>2</c:v>
              </c:pt>
              <c:pt idx="103">
                <c:v>1</c:v>
              </c:pt>
              <c:pt idx="104">
                <c:v>1</c:v>
              </c:pt>
              <c:pt idx="105">
                <c:v>1</c:v>
              </c:pt>
              <c:pt idx="106">
                <c:v>1</c:v>
              </c:pt>
              <c:pt idx="107">
                <c:v>1</c:v>
              </c:pt>
              <c:pt idx="108">
                <c:v>1</c:v>
              </c:pt>
              <c:pt idx="109">
                <c:v>1</c:v>
              </c:pt>
              <c:pt idx="110">
                <c:v>1</c:v>
              </c:pt>
              <c:pt idx="111">
                <c:v>1</c:v>
              </c:pt>
              <c:pt idx="112">
                <c:v>1</c:v>
              </c:pt>
              <c:pt idx="113">
                <c:v>1</c:v>
              </c:pt>
              <c:pt idx="114">
                <c:v>1</c:v>
              </c:pt>
              <c:pt idx="115">
                <c:v>1</c:v>
              </c:pt>
              <c:pt idx="116">
                <c:v>1</c:v>
              </c:pt>
              <c:pt idx="117">
                <c:v>1</c:v>
              </c:pt>
              <c:pt idx="118">
                <c:v>1</c:v>
              </c:pt>
            </c:numLit>
          </c:bubbleSize>
        </c:ser>
        <c:bubbleScale val="75"/>
        <c:axId val="89479040"/>
        <c:axId val="151851008"/>
      </c:bubbleChart>
      <c:valAx>
        <c:axId val="89479040"/>
        <c:scaling>
          <c:orientation val="minMax"/>
          <c:min val="0"/>
        </c:scaling>
        <c:axPos val="b"/>
        <c:title>
          <c:tx>
            <c:strRef>
              <c:f>Brains!$C$23</c:f>
              <c:strCache>
                <c:ptCount val="1"/>
                <c:pt idx="0">
                  <c:v>JobType</c:v>
                </c:pt>
              </c:strCache>
            </c:strRef>
          </c:tx>
          <c:layout>
            <c:manualLayout>
              <c:xMode val="edge"/>
              <c:yMode val="edge"/>
              <c:x val="0.51034104755170462"/>
              <c:y val="0.90388383710100761"/>
            </c:manualLayout>
          </c:layout>
        </c:title>
        <c:numFmt formatCode="General" sourceLinked="0"/>
        <c:tickLblPos val="none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1851008"/>
        <c:crosses val="autoZero"/>
        <c:crossBetween val="midCat"/>
        <c:majorUnit val="1"/>
      </c:valAx>
      <c:valAx>
        <c:axId val="151851008"/>
        <c:scaling>
          <c:orientation val="minMax"/>
          <c:min val="0"/>
        </c:scaling>
        <c:axPos val="l"/>
        <c:title>
          <c:tx>
            <c:strRef>
              <c:f>Brains!$C$24</c:f>
              <c:strCache>
                <c:ptCount val="1"/>
                <c:pt idx="0">
                  <c:v>Salary</c:v>
                </c:pt>
              </c:strCache>
            </c:strRef>
          </c:tx>
          <c:layout>
            <c:manualLayout>
              <c:xMode val="edge"/>
              <c:yMode val="edge"/>
              <c:x val="2.2230310833787292E-2"/>
              <c:y val="0.34166579177602796"/>
            </c:manualLayout>
          </c:layout>
          <c:txPr>
            <a:bodyPr rot="-5400000" vert="horz"/>
            <a:lstStyle/>
            <a:p>
              <a:pPr>
                <a:defRPr sz="1000"/>
              </a:pPr>
              <a:endParaRPr lang="en-US"/>
            </a:p>
          </c:txPr>
        </c:title>
        <c:numFmt formatCode="General" sourceLinked="1"/>
        <c:tickLblPos val="nextTo"/>
        <c:spPr>
          <a:noFill/>
        </c:spPr>
        <c:crossAx val="89479040"/>
        <c:crosses val="autoZero"/>
        <c:crossBetween val="midCat"/>
      </c:valAx>
      <c:spPr>
        <a:solidFill>
          <a:schemeClr val="bg1"/>
        </a:solidFill>
        <a:ln w="25400">
          <a:noFill/>
        </a:ln>
      </c:spPr>
    </c:plotArea>
    <c:plotVisOnly val="1"/>
    <c:dispBlanksAs val="gap"/>
  </c:chart>
  <c:spPr>
    <a:noFill/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plotArea>
      <c:layout>
        <c:manualLayout>
          <c:layoutTarget val="inner"/>
          <c:xMode val="edge"/>
          <c:yMode val="edge"/>
          <c:x val="8.0509785976151785E-2"/>
          <c:y val="0.19926078640800821"/>
          <c:w val="0.89001748062435226"/>
          <c:h val="0.6032933628394489"/>
        </c:manualLayout>
      </c:layout>
      <c:barChart>
        <c:barDir val="col"/>
        <c:grouping val="clustered"/>
        <c:ser>
          <c:idx val="0"/>
          <c:order val="0"/>
          <c:tx>
            <c:v>Series1</c:v>
          </c:tx>
          <c:cat>
            <c:strRef>
              <c:f>[1]!labels1</c:f>
              <c:strCache>
                <c:ptCount val="8"/>
                <c:pt idx="0">
                  <c:v>0-14.9K</c:v>
                </c:pt>
                <c:pt idx="1">
                  <c:v>15-29.9K</c:v>
                </c:pt>
                <c:pt idx="2">
                  <c:v>30-49.9K</c:v>
                </c:pt>
                <c:pt idx="3">
                  <c:v>50-74.9K</c:v>
                </c:pt>
                <c:pt idx="4">
                  <c:v>75-99.9K</c:v>
                </c:pt>
                <c:pt idx="5">
                  <c:v>100-149.9K</c:v>
                </c:pt>
                <c:pt idx="6">
                  <c:v>150-249.9K</c:v>
                </c:pt>
                <c:pt idx="7">
                  <c:v>250K+</c:v>
                </c:pt>
              </c:strCache>
            </c:strRef>
          </c:cat>
          <c:val>
            <c:numRef>
              <c:f>[0]!sers1</c:f>
              <c:numCache>
                <c:formatCode>0%</c:formatCode>
                <c:ptCount val="8"/>
                <c:pt idx="0">
                  <c:v>0.36814159292035398</c:v>
                </c:pt>
                <c:pt idx="1">
                  <c:v>0.35575221238938054</c:v>
                </c:pt>
                <c:pt idx="2">
                  <c:v>0.16106194690265488</c:v>
                </c:pt>
                <c:pt idx="3">
                  <c:v>6.5486725663716813E-2</c:v>
                </c:pt>
                <c:pt idx="4">
                  <c:v>1.5929203539823009E-2</c:v>
                </c:pt>
                <c:pt idx="5">
                  <c:v>1.7699115044247787E-2</c:v>
                </c:pt>
                <c:pt idx="6">
                  <c:v>1.0619469026548672E-2</c:v>
                </c:pt>
                <c:pt idx="7">
                  <c:v>5.3097345132743362E-3</c:v>
                </c:pt>
              </c:numCache>
            </c:numRef>
          </c:val>
        </c:ser>
        <c:ser>
          <c:idx val="1"/>
          <c:order val="1"/>
          <c:tx>
            <c:v>Series2</c:v>
          </c:tx>
          <c:cat>
            <c:strRef>
              <c:f>[1]!labels1</c:f>
              <c:strCache>
                <c:ptCount val="8"/>
                <c:pt idx="0">
                  <c:v>0-14.9K</c:v>
                </c:pt>
                <c:pt idx="1">
                  <c:v>15-29.9K</c:v>
                </c:pt>
                <c:pt idx="2">
                  <c:v>30-49.9K</c:v>
                </c:pt>
                <c:pt idx="3">
                  <c:v>50-74.9K</c:v>
                </c:pt>
                <c:pt idx="4">
                  <c:v>75-99.9K</c:v>
                </c:pt>
                <c:pt idx="5">
                  <c:v>100-149.9K</c:v>
                </c:pt>
                <c:pt idx="6">
                  <c:v>150-249.9K</c:v>
                </c:pt>
                <c:pt idx="7">
                  <c:v>250K+</c:v>
                </c:pt>
              </c:strCache>
            </c:strRef>
          </c:cat>
          <c:val>
            <c:numRef>
              <c:f>[0]!sers2</c:f>
              <c:numCache>
                <c:formatCode>0%</c:formatCode>
                <c:ptCount val="8"/>
                <c:pt idx="0">
                  <c:v>0.15825809877854488</c:v>
                </c:pt>
                <c:pt idx="1">
                  <c:v>0.17153478491768454</c:v>
                </c:pt>
                <c:pt idx="2">
                  <c:v>0.22623473181093998</c:v>
                </c:pt>
                <c:pt idx="3">
                  <c:v>0.2299522039298991</c:v>
                </c:pt>
                <c:pt idx="4">
                  <c:v>0.11789697291556028</c:v>
                </c:pt>
                <c:pt idx="5">
                  <c:v>6.9038767923526284E-2</c:v>
                </c:pt>
                <c:pt idx="6">
                  <c:v>2.0711630377057887E-2</c:v>
                </c:pt>
                <c:pt idx="7">
                  <c:v>6.3728093467870419E-3</c:v>
                </c:pt>
              </c:numCache>
            </c:numRef>
          </c:val>
        </c:ser>
        <c:gapWidth val="129"/>
        <c:axId val="153316736"/>
        <c:axId val="153846912"/>
      </c:barChart>
      <c:catAx>
        <c:axId val="153316736"/>
        <c:scaling>
          <c:orientation val="minMax"/>
        </c:scaling>
        <c:axPos val="b"/>
        <c:numFmt formatCode="General" sourceLinked="1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53846912"/>
        <c:crosses val="autoZero"/>
        <c:auto val="1"/>
        <c:lblAlgn val="ctr"/>
        <c:lblOffset val="100"/>
      </c:catAx>
      <c:valAx>
        <c:axId val="153846912"/>
        <c:scaling>
          <c:orientation val="minMax"/>
        </c:scaling>
        <c:axPos val="l"/>
        <c:majorGridlines/>
        <c:numFmt formatCode="0%" sourceLinked="1"/>
        <c:tickLblPos val="nextTo"/>
        <c:crossAx val="153316736"/>
        <c:crosses val="autoZero"/>
        <c:crossBetween val="between"/>
      </c:valAx>
    </c:plotArea>
    <c:plotVisOnly val="1"/>
    <c:dispBlanksAs val="gap"/>
  </c:chart>
  <c:spPr>
    <a:noFill/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21</xdr:row>
      <xdr:rowOff>0</xdr:rowOff>
    </xdr:from>
    <xdr:to>
      <xdr:col>18</xdr:col>
      <xdr:colOff>9526</xdr:colOff>
      <xdr:row>42</xdr:row>
      <xdr:rowOff>66675</xdr:rowOff>
    </xdr:to>
    <xdr:graphicFrame macro="">
      <xdr:nvGraphicFramePr>
        <xdr:cNvPr id="313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</xdr:colOff>
      <xdr:row>2</xdr:row>
      <xdr:rowOff>133350</xdr:rowOff>
    </xdr:from>
    <xdr:to>
      <xdr:col>9</xdr:col>
      <xdr:colOff>400050</xdr:colOff>
      <xdr:row>21</xdr:row>
      <xdr:rowOff>66675</xdr:rowOff>
    </xdr:to>
    <xdr:graphicFrame macro="">
      <xdr:nvGraphicFramePr>
        <xdr:cNvPr id="314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57150</xdr:colOff>
      <xdr:row>12</xdr:row>
      <xdr:rowOff>50800</xdr:rowOff>
    </xdr:from>
    <xdr:to>
      <xdr:col>10</xdr:col>
      <xdr:colOff>142875</xdr:colOff>
      <xdr:row>12</xdr:row>
      <xdr:rowOff>136525</xdr:rowOff>
    </xdr:to>
    <xdr:sp macro="" textlink="">
      <xdr:nvSpPr>
        <xdr:cNvPr id="4" name="Rectangle 3"/>
        <xdr:cNvSpPr/>
      </xdr:nvSpPr>
      <xdr:spPr>
        <a:xfrm>
          <a:off x="4981575" y="2032000"/>
          <a:ext cx="85725" cy="8572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10</xdr:col>
      <xdr:colOff>57150</xdr:colOff>
      <xdr:row>14</xdr:row>
      <xdr:rowOff>41275</xdr:rowOff>
    </xdr:from>
    <xdr:to>
      <xdr:col>10</xdr:col>
      <xdr:colOff>142875</xdr:colOff>
      <xdr:row>14</xdr:row>
      <xdr:rowOff>127000</xdr:rowOff>
    </xdr:to>
    <xdr:sp macro="" textlink="">
      <xdr:nvSpPr>
        <xdr:cNvPr id="6" name="Rectangle 5"/>
        <xdr:cNvSpPr/>
      </xdr:nvSpPr>
      <xdr:spPr>
        <a:xfrm>
          <a:off x="4981575" y="2346325"/>
          <a:ext cx="85725" cy="857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oneCellAnchor>
    <xdr:from>
      <xdr:col>8</xdr:col>
      <xdr:colOff>19048</xdr:colOff>
      <xdr:row>38</xdr:row>
      <xdr:rowOff>2</xdr:rowOff>
    </xdr:from>
    <xdr:ext cx="582275" cy="248851"/>
    <xdr:sp macro="" textlink="">
      <xdr:nvSpPr>
        <xdr:cNvPr id="7" name="lxJobType2"/>
        <xdr:cNvSpPr txBox="1"/>
      </xdr:nvSpPr>
      <xdr:spPr>
        <a:xfrm rot="20091101">
          <a:off x="4000498" y="6353177"/>
          <a:ext cx="582275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Analyst</a:t>
          </a:r>
        </a:p>
      </xdr:txBody>
    </xdr:sp>
    <xdr:clientData/>
  </xdr:oneCellAnchor>
  <xdr:oneCellAnchor>
    <xdr:from>
      <xdr:col>6</xdr:col>
      <xdr:colOff>670410</xdr:colOff>
      <xdr:row>38</xdr:row>
      <xdr:rowOff>28575</xdr:rowOff>
    </xdr:from>
    <xdr:ext cx="784510" cy="248851"/>
    <xdr:sp macro="" textlink="">
      <xdr:nvSpPr>
        <xdr:cNvPr id="8" name="lxJobType1"/>
        <xdr:cNvSpPr txBox="1"/>
      </xdr:nvSpPr>
      <xdr:spPr>
        <a:xfrm rot="20091101">
          <a:off x="3375510" y="6381750"/>
          <a:ext cx="78451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Accountant</a:t>
          </a:r>
        </a:p>
      </xdr:txBody>
    </xdr:sp>
    <xdr:clientData/>
  </xdr:oneCellAnchor>
  <xdr:oneCellAnchor>
    <xdr:from>
      <xdr:col>8</xdr:col>
      <xdr:colOff>287734</xdr:colOff>
      <xdr:row>38</xdr:row>
      <xdr:rowOff>28573</xdr:rowOff>
    </xdr:from>
    <xdr:ext cx="749757" cy="248851"/>
    <xdr:sp macro="" textlink="">
      <xdr:nvSpPr>
        <xdr:cNvPr id="9" name="lxJobType3"/>
        <xdr:cNvSpPr txBox="1"/>
      </xdr:nvSpPr>
      <xdr:spPr>
        <a:xfrm rot="20091101">
          <a:off x="4269184" y="6381748"/>
          <a:ext cx="74975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Consultant</a:t>
          </a:r>
        </a:p>
      </xdr:txBody>
    </xdr:sp>
    <xdr:clientData/>
  </xdr:oneCellAnchor>
  <xdr:oneCellAnchor>
    <xdr:from>
      <xdr:col>9</xdr:col>
      <xdr:colOff>335835</xdr:colOff>
      <xdr:row>38</xdr:row>
      <xdr:rowOff>28575</xdr:rowOff>
    </xdr:from>
    <xdr:ext cx="710707" cy="248851"/>
    <xdr:sp macro="" textlink="">
      <xdr:nvSpPr>
        <xdr:cNvPr id="10" name="lxJobType4"/>
        <xdr:cNvSpPr txBox="1"/>
      </xdr:nvSpPr>
      <xdr:spPr>
        <a:xfrm rot="20091101">
          <a:off x="4736385" y="6381750"/>
          <a:ext cx="71070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Controller</a:t>
          </a:r>
        </a:p>
      </xdr:txBody>
    </xdr:sp>
    <xdr:clientData/>
  </xdr:oneCellAnchor>
  <xdr:oneCellAnchor>
    <xdr:from>
      <xdr:col>9</xdr:col>
      <xdr:colOff>354771</xdr:colOff>
      <xdr:row>38</xdr:row>
      <xdr:rowOff>114301</xdr:rowOff>
    </xdr:from>
    <xdr:ext cx="1149097" cy="248851"/>
    <xdr:sp macro="" textlink="">
      <xdr:nvSpPr>
        <xdr:cNvPr id="11" name="lxJobType5"/>
        <xdr:cNvSpPr txBox="1"/>
      </xdr:nvSpPr>
      <xdr:spPr>
        <a:xfrm rot="20091101">
          <a:off x="4755321" y="6467476"/>
          <a:ext cx="1149097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CXO</a:t>
          </a:r>
          <a:r>
            <a:rPr lang="en-US" sz="1000" b="0" baseline="0"/>
            <a:t> or Top Mgmt.</a:t>
          </a:r>
          <a:endParaRPr lang="en-US" sz="1000" b="0"/>
        </a:p>
      </xdr:txBody>
    </xdr:sp>
    <xdr:clientData/>
  </xdr:oneCellAnchor>
  <xdr:oneCellAnchor>
    <xdr:from>
      <xdr:col>11</xdr:col>
      <xdr:colOff>683438</xdr:colOff>
      <xdr:row>38</xdr:row>
      <xdr:rowOff>0</xdr:rowOff>
    </xdr:from>
    <xdr:ext cx="644151" cy="248851"/>
    <xdr:sp macro="" textlink="">
      <xdr:nvSpPr>
        <xdr:cNvPr id="12" name="lxJobType6"/>
        <xdr:cNvSpPr txBox="1"/>
      </xdr:nvSpPr>
      <xdr:spPr>
        <a:xfrm rot="20091101">
          <a:off x="5665013" y="6353175"/>
          <a:ext cx="64415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Engineer</a:t>
          </a:r>
        </a:p>
      </xdr:txBody>
    </xdr:sp>
    <xdr:clientData/>
  </xdr:oneCellAnchor>
  <xdr:oneCellAnchor>
    <xdr:from>
      <xdr:col>12</xdr:col>
      <xdr:colOff>12073</xdr:colOff>
      <xdr:row>38</xdr:row>
      <xdr:rowOff>0</xdr:rowOff>
    </xdr:from>
    <xdr:ext cx="653384" cy="248851"/>
    <xdr:sp macro="" textlink="">
      <xdr:nvSpPr>
        <xdr:cNvPr id="13" name="lxJobType7"/>
        <xdr:cNvSpPr txBox="1"/>
      </xdr:nvSpPr>
      <xdr:spPr>
        <a:xfrm rot="20091101">
          <a:off x="6089023" y="6353175"/>
          <a:ext cx="653384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Manager</a:t>
          </a:r>
        </a:p>
      </xdr:txBody>
    </xdr:sp>
    <xdr:clientData/>
  </xdr:oneCellAnchor>
  <xdr:oneCellAnchor>
    <xdr:from>
      <xdr:col>15</xdr:col>
      <xdr:colOff>60882</xdr:colOff>
      <xdr:row>37</xdr:row>
      <xdr:rowOff>104776</xdr:rowOff>
    </xdr:from>
    <xdr:ext cx="460511" cy="248851"/>
    <xdr:sp macro="" textlink="">
      <xdr:nvSpPr>
        <xdr:cNvPr id="14" name="lxJobType8"/>
        <xdr:cNvSpPr txBox="1"/>
      </xdr:nvSpPr>
      <xdr:spPr>
        <a:xfrm rot="20091101">
          <a:off x="6709332" y="6296026"/>
          <a:ext cx="46051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Misc.</a:t>
          </a:r>
        </a:p>
      </xdr:txBody>
    </xdr:sp>
    <xdr:clientData/>
  </xdr:oneCellAnchor>
  <xdr:oneCellAnchor>
    <xdr:from>
      <xdr:col>15</xdr:col>
      <xdr:colOff>256489</xdr:colOff>
      <xdr:row>37</xdr:row>
      <xdr:rowOff>142875</xdr:rowOff>
    </xdr:from>
    <xdr:ext cx="697948" cy="248851"/>
    <xdr:sp macro="" textlink="">
      <xdr:nvSpPr>
        <xdr:cNvPr id="15" name="lxJobType9"/>
        <xdr:cNvSpPr txBox="1"/>
      </xdr:nvSpPr>
      <xdr:spPr>
        <a:xfrm rot="20091101">
          <a:off x="6904939" y="6334125"/>
          <a:ext cx="697948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Reporting</a:t>
          </a:r>
        </a:p>
      </xdr:txBody>
    </xdr:sp>
    <xdr:clientData/>
  </xdr:oneCellAnchor>
  <xdr:oneCellAnchor>
    <xdr:from>
      <xdr:col>15</xdr:col>
      <xdr:colOff>736265</xdr:colOff>
      <xdr:row>37</xdr:row>
      <xdr:rowOff>133350</xdr:rowOff>
    </xdr:from>
    <xdr:ext cx="671851" cy="248851"/>
    <xdr:sp macro="" textlink="">
      <xdr:nvSpPr>
        <xdr:cNvPr id="16" name="lxJobType10"/>
        <xdr:cNvSpPr txBox="1"/>
      </xdr:nvSpPr>
      <xdr:spPr>
        <a:xfrm rot="20091101">
          <a:off x="7384715" y="6324600"/>
          <a:ext cx="671851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000" b="0"/>
            <a:t>Specialist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List1" displayName="List1" ref="A1:V1884" totalsRowShown="0" headerRowDxfId="31">
  <autoFilter ref="A1:V1884"/>
  <sortState ref="A2:R1884">
    <sortCondition ref="J1:J1884"/>
  </sortState>
  <tableColumns count="22">
    <tableColumn id="1" name="Unique ID" totalsRowDxfId="30"/>
    <tableColumn id="2" name="Timestamp" dataDxfId="29" totalsRowDxfId="28"/>
    <tableColumn id="3" name="Your Salary" dataDxfId="27" totalsRowDxfId="26"/>
    <tableColumn id="4" name="clean Salary (in local currency)" totalsRowDxfId="25"/>
    <tableColumn id="5" name="Currency" totalsRowDxfId="24"/>
    <tableColumn id="13" name="Salary in USD" totalsRowDxfId="23" dataCellStyle="Comma"/>
    <tableColumn id="11" name="Salary in USD (PPP)" dataDxfId="22" totalsRowDxfId="21" dataCellStyle="Comma"/>
    <tableColumn id="14" name="Selected Salary" dataDxfId="20" totalsRowDxfId="19" dataCellStyle="Comma">
      <calculatedColumnFormula>OFFSET(F2,0,Brains!$D$1,1,1)</calculatedColumnFormula>
    </tableColumn>
    <tableColumn id="7" name="Your Job Title" totalsRowDxfId="18"/>
    <tableColumn id="6" name="Job Type" totalsRowDxfId="17"/>
    <tableColumn id="8" name="Where do you work" totalsRowDxfId="16"/>
    <tableColumn id="10" name="clean Country" dataDxfId="15" totalsRowDxfId="14"/>
    <tableColumn id="15" name="refHours" totalsRowDxfId="13"/>
    <tableColumn id="9" name="How many hours of a day you work on Excel" totalsRowDxfId="12"/>
    <tableColumn id="16" name="refYears" totalsRowDxfId="11"/>
    <tableColumn id="21" name="refSalary" dataDxfId="10" totalsRowDxfId="9">
      <calculatedColumnFormula>IF(H2&lt;15000,"0-14.9K",IF(H2&lt;30000,"15-29.9K",IF(H2&lt;50000,"30-49.9K",IF(H2&lt;75000,"50-74.9K",IF(H2&lt;100000,"75-99.9K",IF(H2&lt;150000,"100-149.9K",IF(H2&lt;250000,"150-249.9K","250K+")))))))</calculatedColumnFormula>
    </tableColumn>
    <tableColumn id="22" name="avgHours" dataDxfId="8" totalsRowDxfId="7"/>
    <tableColumn id="12" name="Years of Experience" dataDxfId="6" totalsRowDxfId="5"/>
    <tableColumn id="17" name="chartHours" totalsRowDxfId="4"/>
    <tableColumn id="18" name="chartYears" totalsRowDxfId="3"/>
    <tableColumn id="19" name="chartJob" totalsRowDxfId="2"/>
    <tableColumn id="20" name="chartSalary" dataDxfId="1" totalsRowDxfId="0">
      <calculatedColumnFormula>IF(H2&lt;15000,1,IF(H2&lt;30000,2,IF(H2&lt;50000,3,IF(H2&lt;75000,4,IF(H2&lt;100000,5,IF(H2&lt;150000,6,IF(H2&lt;250000,7,8)))))))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V1884"/>
  <sheetViews>
    <sheetView workbookViewId="0">
      <selection activeCell="F2" sqref="F2"/>
    </sheetView>
  </sheetViews>
  <sheetFormatPr defaultRowHeight="12.75"/>
  <cols>
    <col min="1" max="1" width="10.85546875" bestFit="1" customWidth="1"/>
    <col min="2" max="2" width="19.85546875" bestFit="1" customWidth="1"/>
    <col min="3" max="3" width="38.28515625" bestFit="1" customWidth="1"/>
    <col min="4" max="4" width="28.28515625" bestFit="1" customWidth="1"/>
    <col min="5" max="5" width="10.85546875" bestFit="1" customWidth="1"/>
    <col min="6" max="6" width="14.28515625" style="5" bestFit="1" customWidth="1"/>
    <col min="7" max="7" width="19" style="5" bestFit="1" customWidth="1"/>
    <col min="8" max="8" width="19" style="5" customWidth="1"/>
    <col min="9" max="9" width="53.42578125" customWidth="1"/>
    <col min="10" max="10" width="15.140625" customWidth="1"/>
    <col min="11" max="11" width="24" customWidth="1"/>
    <col min="12" max="12" width="19.140625" customWidth="1"/>
    <col min="13" max="13" width="10" customWidth="1"/>
    <col min="14" max="14" width="38.28515625" customWidth="1"/>
    <col min="15" max="17" width="9.7109375" customWidth="1"/>
    <col min="18" max="18" width="18.5703125" customWidth="1"/>
    <col min="19" max="21" width="9.140625" customWidth="1"/>
  </cols>
  <sheetData>
    <row r="1" spans="1:22">
      <c r="A1" s="3" t="s">
        <v>1843</v>
      </c>
      <c r="B1" s="3" t="s">
        <v>1844</v>
      </c>
      <c r="C1" s="3" t="s">
        <v>1845</v>
      </c>
      <c r="D1" s="3" t="s">
        <v>1846</v>
      </c>
      <c r="E1" s="3" t="s">
        <v>1847</v>
      </c>
      <c r="F1" s="4" t="s">
        <v>1848</v>
      </c>
      <c r="G1" s="4" t="s">
        <v>3907</v>
      </c>
      <c r="H1" s="13" t="s">
        <v>3935</v>
      </c>
      <c r="I1" s="3" t="s">
        <v>1849</v>
      </c>
      <c r="J1" s="3" t="s">
        <v>1850</v>
      </c>
      <c r="K1" s="3" t="s">
        <v>1851</v>
      </c>
      <c r="L1" s="3" t="s">
        <v>1852</v>
      </c>
      <c r="M1" s="9" t="s">
        <v>3937</v>
      </c>
      <c r="N1" s="3" t="s">
        <v>1853</v>
      </c>
      <c r="O1" s="9" t="s">
        <v>3938</v>
      </c>
      <c r="P1" s="9" t="s">
        <v>3950</v>
      </c>
      <c r="Q1" s="9" t="s">
        <v>3951</v>
      </c>
      <c r="R1" s="3" t="s">
        <v>1854</v>
      </c>
      <c r="S1" s="9" t="s">
        <v>3942</v>
      </c>
      <c r="T1" s="9" t="s">
        <v>3943</v>
      </c>
      <c r="U1" s="3" t="s">
        <v>3944</v>
      </c>
      <c r="V1" s="3" t="s">
        <v>3945</v>
      </c>
    </row>
    <row r="2" spans="1:22">
      <c r="A2" t="s">
        <v>3865</v>
      </c>
      <c r="B2" s="1">
        <v>41057.033599537041</v>
      </c>
      <c r="C2" s="2">
        <v>20000</v>
      </c>
      <c r="D2">
        <v>20000</v>
      </c>
      <c r="E2" t="s">
        <v>1856</v>
      </c>
      <c r="F2" s="5">
        <v>20000</v>
      </c>
      <c r="G2" s="5">
        <v>20000</v>
      </c>
      <c r="H2" s="5">
        <f ca="1">OFFSET(F2,0,Brains!$D$1,1,1)</f>
        <v>20000</v>
      </c>
      <c r="I2" t="s">
        <v>3789</v>
      </c>
      <c r="J2" t="s">
        <v>1897</v>
      </c>
      <c r="K2" t="s">
        <v>3866</v>
      </c>
      <c r="L2" t="s">
        <v>3866</v>
      </c>
      <c r="M2" s="7" t="s">
        <v>3941</v>
      </c>
      <c r="N2" t="s">
        <v>1866</v>
      </c>
      <c r="O2" s="7" t="s">
        <v>3920</v>
      </c>
      <c r="P2" s="17" t="str">
        <f t="shared" ref="P2:P65" ca="1" si="0">IF(H2&lt;15000,"0-14.9K",IF(H2&lt;30000,"15-29.9K",IF(H2&lt;50000,"30-49.9K",IF(H2&lt;75000,"50-74.9K",IF(H2&lt;100000,"75-99.9K",IF(H2&lt;150000,"100-149.9K",IF(H2&lt;250000,"150-249.9K","250K+")))))))</f>
        <v>15-29.9K</v>
      </c>
      <c r="Q2" s="17">
        <v>8</v>
      </c>
      <c r="R2">
        <v>2</v>
      </c>
      <c r="S2">
        <v>5</v>
      </c>
      <c r="T2">
        <v>1</v>
      </c>
      <c r="U2">
        <v>1</v>
      </c>
      <c r="V2" s="15">
        <f ca="1">IF(H2&lt;15000,1,IF(H2&lt;30000,2,IF(H2&lt;50000,3,IF(H2&lt;75000,4,IF(H2&lt;100000,5,IF(H2&lt;150000,6,IF(H2&lt;250000,7,8)))))))</f>
        <v>2</v>
      </c>
    </row>
    <row r="3" spans="1:22">
      <c r="A3" t="s">
        <v>1768</v>
      </c>
      <c r="B3" s="1">
        <v>41077.560162037036</v>
      </c>
      <c r="C3" s="2" t="s">
        <v>1769</v>
      </c>
      <c r="D3">
        <v>63000</v>
      </c>
      <c r="E3" t="s">
        <v>1973</v>
      </c>
      <c r="F3" s="5">
        <v>64254.308353366054</v>
      </c>
      <c r="G3" s="5">
        <v>40076.335877862599</v>
      </c>
      <c r="H3" s="5">
        <f ca="1">OFFSET(F3,0,Brains!$D$1,1,1)</f>
        <v>40076.335877862599</v>
      </c>
      <c r="I3" t="s">
        <v>1770</v>
      </c>
      <c r="J3" t="s">
        <v>1897</v>
      </c>
      <c r="K3" t="s">
        <v>1975</v>
      </c>
      <c r="L3" t="s">
        <v>1975</v>
      </c>
      <c r="M3" s="7" t="s">
        <v>3941</v>
      </c>
      <c r="N3" t="s">
        <v>1866</v>
      </c>
      <c r="O3" s="7" t="s">
        <v>3920</v>
      </c>
      <c r="P3" s="17" t="str">
        <f t="shared" ca="1" si="0"/>
        <v>30-49.9K</v>
      </c>
      <c r="Q3" s="17">
        <v>8</v>
      </c>
      <c r="R3">
        <v>3</v>
      </c>
      <c r="S3">
        <v>5</v>
      </c>
      <c r="T3">
        <v>1</v>
      </c>
      <c r="U3">
        <v>1</v>
      </c>
      <c r="V3" s="15">
        <f t="shared" ref="V3:V65" ca="1" si="1">IF(H3&lt;15000,1,IF(H3&lt;30000,2,IF(H3&lt;50000,3,IF(H3&lt;75000,4,IF(H3&lt;100000,5,IF(H3&lt;150000,6,IF(H3&lt;250000,7,8)))))))</f>
        <v>3</v>
      </c>
    </row>
    <row r="4" spans="1:22">
      <c r="A4" t="s">
        <v>1566</v>
      </c>
      <c r="B4" s="1">
        <v>41069.859756944446</v>
      </c>
      <c r="C4" s="2">
        <v>1500</v>
      </c>
      <c r="D4">
        <v>18000</v>
      </c>
      <c r="E4" t="s">
        <v>1856</v>
      </c>
      <c r="F4" s="5">
        <v>18000</v>
      </c>
      <c r="G4" s="5">
        <v>18000</v>
      </c>
      <c r="H4" s="5">
        <f ca="1">OFFSET(F4,0,Brains!$D$1,1,1)</f>
        <v>18000</v>
      </c>
      <c r="I4" t="s">
        <v>3580</v>
      </c>
      <c r="J4" t="s">
        <v>1897</v>
      </c>
      <c r="K4" t="s">
        <v>3372</v>
      </c>
      <c r="L4" t="s">
        <v>2143</v>
      </c>
      <c r="M4" s="7" t="s">
        <v>3941</v>
      </c>
      <c r="N4" t="s">
        <v>1866</v>
      </c>
      <c r="O4" s="7" t="s">
        <v>3920</v>
      </c>
      <c r="P4" s="17" t="str">
        <f t="shared" ca="1" si="0"/>
        <v>15-29.9K</v>
      </c>
      <c r="Q4" s="17">
        <v>8</v>
      </c>
      <c r="R4">
        <v>3</v>
      </c>
      <c r="S4">
        <v>5</v>
      </c>
      <c r="T4">
        <v>1</v>
      </c>
      <c r="U4">
        <v>1</v>
      </c>
      <c r="V4" s="15">
        <f t="shared" ca="1" si="1"/>
        <v>2</v>
      </c>
    </row>
    <row r="5" spans="1:22">
      <c r="A5" t="s">
        <v>1129</v>
      </c>
      <c r="B5" s="1">
        <v>41060.464328703703</v>
      </c>
      <c r="C5" s="2" t="s">
        <v>1130</v>
      </c>
      <c r="D5">
        <v>200000</v>
      </c>
      <c r="E5" t="s">
        <v>1908</v>
      </c>
      <c r="F5" s="5">
        <v>3561.5833374885137</v>
      </c>
      <c r="G5" s="5">
        <v>9959.167413604222</v>
      </c>
      <c r="H5" s="5">
        <f ca="1">OFFSET(F5,0,Brains!$D$1,1,1)</f>
        <v>9959.167413604222</v>
      </c>
      <c r="I5" t="s">
        <v>1131</v>
      </c>
      <c r="J5" t="s">
        <v>1897</v>
      </c>
      <c r="K5" t="s">
        <v>1859</v>
      </c>
      <c r="L5" t="s">
        <v>1859</v>
      </c>
      <c r="M5" s="7" t="s">
        <v>3941</v>
      </c>
      <c r="N5" t="s">
        <v>1866</v>
      </c>
      <c r="O5" s="7" t="s">
        <v>3920</v>
      </c>
      <c r="P5" s="17" t="str">
        <f t="shared" ca="1" si="0"/>
        <v>0-14.9K</v>
      </c>
      <c r="Q5" s="17">
        <v>8</v>
      </c>
      <c r="R5">
        <v>3</v>
      </c>
      <c r="S5">
        <v>5</v>
      </c>
      <c r="T5">
        <v>1</v>
      </c>
      <c r="U5">
        <v>1</v>
      </c>
      <c r="V5" s="15">
        <f t="shared" ca="1" si="1"/>
        <v>1</v>
      </c>
    </row>
    <row r="6" spans="1:22">
      <c r="A6" t="s">
        <v>3204</v>
      </c>
      <c r="B6" s="1">
        <v>41055.480462962965</v>
      </c>
      <c r="C6" s="2">
        <v>78000</v>
      </c>
      <c r="D6">
        <v>78000</v>
      </c>
      <c r="E6" t="s">
        <v>1973</v>
      </c>
      <c r="F6" s="5">
        <v>79552.953199405587</v>
      </c>
      <c r="G6" s="5">
        <v>49618.320610687028</v>
      </c>
      <c r="H6" s="5">
        <f ca="1">OFFSET(F6,0,Brains!$D$1,1,1)</f>
        <v>49618.320610687028</v>
      </c>
      <c r="I6" t="s">
        <v>3205</v>
      </c>
      <c r="J6" t="s">
        <v>1897</v>
      </c>
      <c r="K6" t="s">
        <v>1975</v>
      </c>
      <c r="L6" t="s">
        <v>1975</v>
      </c>
      <c r="M6" s="7" t="s">
        <v>3941</v>
      </c>
      <c r="N6" t="s">
        <v>1866</v>
      </c>
      <c r="O6" s="7" t="s">
        <v>3920</v>
      </c>
      <c r="P6" s="17" t="str">
        <f t="shared" ca="1" si="0"/>
        <v>30-49.9K</v>
      </c>
      <c r="Q6" s="17">
        <v>8</v>
      </c>
      <c r="R6">
        <v>4</v>
      </c>
      <c r="S6">
        <v>5</v>
      </c>
      <c r="T6">
        <v>1</v>
      </c>
      <c r="U6">
        <v>1</v>
      </c>
      <c r="V6" s="15">
        <f t="shared" ca="1" si="1"/>
        <v>3</v>
      </c>
    </row>
    <row r="7" spans="1:22">
      <c r="A7" t="s">
        <v>3409</v>
      </c>
      <c r="B7" s="1">
        <v>41055.640057870369</v>
      </c>
      <c r="C7" s="2">
        <v>180000</v>
      </c>
      <c r="D7">
        <v>180000</v>
      </c>
      <c r="E7" t="s">
        <v>1908</v>
      </c>
      <c r="F7" s="5">
        <v>3205.4250037396623</v>
      </c>
      <c r="G7" s="5">
        <v>8963.2506722437993</v>
      </c>
      <c r="H7" s="5">
        <f ca="1">OFFSET(F7,0,Brains!$D$1,1,1)</f>
        <v>8963.2506722437993</v>
      </c>
      <c r="I7" t="s">
        <v>1897</v>
      </c>
      <c r="J7" t="s">
        <v>1897</v>
      </c>
      <c r="K7" t="s">
        <v>1859</v>
      </c>
      <c r="L7" t="s">
        <v>1859</v>
      </c>
      <c r="M7" s="7" t="s">
        <v>3941</v>
      </c>
      <c r="N7" t="s">
        <v>1866</v>
      </c>
      <c r="O7" s="7" t="s">
        <v>3920</v>
      </c>
      <c r="P7" s="17" t="str">
        <f t="shared" ca="1" si="0"/>
        <v>0-14.9K</v>
      </c>
      <c r="Q7" s="17">
        <v>8</v>
      </c>
      <c r="R7">
        <v>4</v>
      </c>
      <c r="S7">
        <v>5</v>
      </c>
      <c r="T7">
        <v>1</v>
      </c>
      <c r="U7">
        <v>1</v>
      </c>
      <c r="V7" s="15">
        <f t="shared" ca="1" si="1"/>
        <v>1</v>
      </c>
    </row>
    <row r="8" spans="1:22">
      <c r="A8" t="s">
        <v>178</v>
      </c>
      <c r="B8" s="1">
        <v>41057.60733796296</v>
      </c>
      <c r="C8" s="2">
        <v>408000</v>
      </c>
      <c r="D8">
        <v>408000</v>
      </c>
      <c r="E8" t="s">
        <v>1908</v>
      </c>
      <c r="F8" s="5">
        <v>7265.630008476568</v>
      </c>
      <c r="G8" s="5">
        <v>20316.701523752614</v>
      </c>
      <c r="H8" s="5">
        <f ca="1">OFFSET(F8,0,Brains!$D$1,1,1)</f>
        <v>20316.701523752614</v>
      </c>
      <c r="I8" t="s">
        <v>179</v>
      </c>
      <c r="J8" t="s">
        <v>1897</v>
      </c>
      <c r="K8" t="s">
        <v>1859</v>
      </c>
      <c r="L8" t="s">
        <v>1859</v>
      </c>
      <c r="M8" s="7" t="s">
        <v>3941</v>
      </c>
      <c r="N8" t="s">
        <v>1866</v>
      </c>
      <c r="O8" s="7" t="s">
        <v>3920</v>
      </c>
      <c r="P8" s="17" t="str">
        <f t="shared" ca="1" si="0"/>
        <v>15-29.9K</v>
      </c>
      <c r="Q8" s="17">
        <v>8</v>
      </c>
      <c r="R8">
        <v>5</v>
      </c>
      <c r="S8">
        <v>5</v>
      </c>
      <c r="T8">
        <v>1</v>
      </c>
      <c r="U8">
        <v>1</v>
      </c>
      <c r="V8" s="15">
        <f t="shared" ca="1" si="1"/>
        <v>2</v>
      </c>
    </row>
    <row r="9" spans="1:22">
      <c r="A9" t="s">
        <v>356</v>
      </c>
      <c r="B9" s="1">
        <v>41057.847187500003</v>
      </c>
      <c r="C9" s="2">
        <v>6000</v>
      </c>
      <c r="D9">
        <v>6000</v>
      </c>
      <c r="E9" t="s">
        <v>1856</v>
      </c>
      <c r="F9" s="5">
        <v>6000</v>
      </c>
      <c r="G9" s="5">
        <v>6000</v>
      </c>
      <c r="H9" s="5">
        <f ca="1">OFFSET(F9,0,Brains!$D$1,1,1)</f>
        <v>6000</v>
      </c>
      <c r="I9" t="s">
        <v>357</v>
      </c>
      <c r="J9" t="s">
        <v>1897</v>
      </c>
      <c r="K9" t="s">
        <v>3866</v>
      </c>
      <c r="L9" t="s">
        <v>3866</v>
      </c>
      <c r="M9" s="7" t="s">
        <v>3941</v>
      </c>
      <c r="N9" t="s">
        <v>1866</v>
      </c>
      <c r="O9" s="7" t="s">
        <v>3920</v>
      </c>
      <c r="P9" s="17" t="str">
        <f t="shared" ca="1" si="0"/>
        <v>0-14.9K</v>
      </c>
      <c r="Q9" s="17">
        <v>8</v>
      </c>
      <c r="R9">
        <v>5</v>
      </c>
      <c r="S9">
        <v>5</v>
      </c>
      <c r="T9">
        <v>1</v>
      </c>
      <c r="U9">
        <v>1</v>
      </c>
      <c r="V9" s="15">
        <f t="shared" ca="1" si="1"/>
        <v>1</v>
      </c>
    </row>
    <row r="10" spans="1:22">
      <c r="A10" t="s">
        <v>3525</v>
      </c>
      <c r="B10" s="1">
        <v>41055.812071759261</v>
      </c>
      <c r="C10" s="2" t="s">
        <v>3526</v>
      </c>
      <c r="D10">
        <v>2250000</v>
      </c>
      <c r="E10" t="s">
        <v>1908</v>
      </c>
      <c r="F10" s="5">
        <v>40067.812546745779</v>
      </c>
      <c r="G10" s="5">
        <v>112040.6334030475</v>
      </c>
      <c r="H10" s="5">
        <f ca="1">OFFSET(F10,0,Brains!$D$1,1,1)</f>
        <v>112040.6334030475</v>
      </c>
      <c r="I10" t="s">
        <v>3527</v>
      </c>
      <c r="J10" t="s">
        <v>1897</v>
      </c>
      <c r="K10" t="s">
        <v>1859</v>
      </c>
      <c r="L10" t="s">
        <v>1859</v>
      </c>
      <c r="M10" s="11" t="s">
        <v>3916</v>
      </c>
      <c r="N10" t="s">
        <v>1884</v>
      </c>
      <c r="O10" s="7" t="s">
        <v>3920</v>
      </c>
      <c r="P10" s="17" t="str">
        <f t="shared" ca="1" si="0"/>
        <v>100-149.9K</v>
      </c>
      <c r="Q10" s="17">
        <v>1.5</v>
      </c>
      <c r="R10">
        <v>5</v>
      </c>
      <c r="S10">
        <v>2</v>
      </c>
      <c r="T10">
        <v>1</v>
      </c>
      <c r="U10">
        <v>1</v>
      </c>
      <c r="V10" s="15">
        <f t="shared" ca="1" si="1"/>
        <v>6</v>
      </c>
    </row>
    <row r="11" spans="1:22">
      <c r="A11" t="s">
        <v>153</v>
      </c>
      <c r="B11" s="1">
        <v>41057.573807870373</v>
      </c>
      <c r="C11" s="2">
        <v>252000</v>
      </c>
      <c r="D11">
        <v>252000</v>
      </c>
      <c r="E11" t="s">
        <v>1908</v>
      </c>
      <c r="F11" s="5">
        <v>4487.5950052355274</v>
      </c>
      <c r="G11" s="5">
        <v>12548.55094114132</v>
      </c>
      <c r="H11" s="5">
        <f ca="1">OFFSET(F11,0,Brains!$D$1,1,1)</f>
        <v>12548.55094114132</v>
      </c>
      <c r="I11" t="s">
        <v>154</v>
      </c>
      <c r="J11" t="s">
        <v>1897</v>
      </c>
      <c r="K11" t="s">
        <v>1859</v>
      </c>
      <c r="L11" t="s">
        <v>1859</v>
      </c>
      <c r="M11" s="11" t="s">
        <v>3916</v>
      </c>
      <c r="N11" t="s">
        <v>1884</v>
      </c>
      <c r="O11" s="7" t="s">
        <v>3920</v>
      </c>
      <c r="P11" s="17" t="str">
        <f t="shared" ca="1" si="0"/>
        <v>0-14.9K</v>
      </c>
      <c r="Q11" s="17">
        <v>1.5</v>
      </c>
      <c r="R11">
        <v>5</v>
      </c>
      <c r="S11">
        <v>2</v>
      </c>
      <c r="T11">
        <v>1</v>
      </c>
      <c r="U11">
        <v>1</v>
      </c>
      <c r="V11" s="15">
        <f t="shared" ca="1" si="1"/>
        <v>1</v>
      </c>
    </row>
    <row r="12" spans="1:22">
      <c r="A12" t="s">
        <v>428</v>
      </c>
      <c r="B12" s="1">
        <v>41057.954444444447</v>
      </c>
      <c r="C12" s="2" t="s">
        <v>429</v>
      </c>
      <c r="D12">
        <v>350000</v>
      </c>
      <c r="E12" t="s">
        <v>1908</v>
      </c>
      <c r="F12" s="5">
        <v>6232.7708406048987</v>
      </c>
      <c r="G12" s="5">
        <v>17428.542973807391</v>
      </c>
      <c r="H12" s="5">
        <f ca="1">OFFSET(F12,0,Brains!$D$1,1,1)</f>
        <v>17428.542973807391</v>
      </c>
      <c r="I12" t="s">
        <v>430</v>
      </c>
      <c r="J12" t="s">
        <v>1897</v>
      </c>
      <c r="K12" t="s">
        <v>1859</v>
      </c>
      <c r="L12" t="s">
        <v>1859</v>
      </c>
      <c r="M12" s="11" t="s">
        <v>3917</v>
      </c>
      <c r="N12" t="s">
        <v>1873</v>
      </c>
      <c r="O12" s="7" t="s">
        <v>3920</v>
      </c>
      <c r="P12" s="17" t="str">
        <f t="shared" ca="1" si="0"/>
        <v>15-29.9K</v>
      </c>
      <c r="Q12" s="17">
        <v>2.5</v>
      </c>
      <c r="R12">
        <v>1.5</v>
      </c>
      <c r="S12">
        <v>3</v>
      </c>
      <c r="T12">
        <v>1</v>
      </c>
      <c r="U12">
        <v>1</v>
      </c>
      <c r="V12" s="15">
        <f t="shared" ca="1" si="1"/>
        <v>2</v>
      </c>
    </row>
    <row r="13" spans="1:22">
      <c r="A13" t="s">
        <v>3484</v>
      </c>
      <c r="B13" s="1">
        <v>41055.715509259258</v>
      </c>
      <c r="C13" s="2">
        <v>120000</v>
      </c>
      <c r="D13">
        <v>120000</v>
      </c>
      <c r="E13" t="s">
        <v>1908</v>
      </c>
      <c r="F13" s="5">
        <v>2136.9500024931081</v>
      </c>
      <c r="G13" s="5">
        <v>5975.5004481625338</v>
      </c>
      <c r="H13" s="5">
        <f ca="1">OFFSET(F13,0,Brains!$D$1,1,1)</f>
        <v>5975.5004481625338</v>
      </c>
      <c r="I13" t="s">
        <v>3485</v>
      </c>
      <c r="J13" t="s">
        <v>1897</v>
      </c>
      <c r="K13" t="s">
        <v>1859</v>
      </c>
      <c r="L13" t="s">
        <v>1859</v>
      </c>
      <c r="M13" s="11" t="s">
        <v>3917</v>
      </c>
      <c r="N13" t="s">
        <v>1873</v>
      </c>
      <c r="O13" s="7" t="s">
        <v>3920</v>
      </c>
      <c r="P13" s="17" t="str">
        <f t="shared" ca="1" si="0"/>
        <v>0-14.9K</v>
      </c>
      <c r="Q13" s="17">
        <v>2.5</v>
      </c>
      <c r="R13">
        <v>2</v>
      </c>
      <c r="S13">
        <v>3</v>
      </c>
      <c r="T13">
        <v>1</v>
      </c>
      <c r="U13">
        <v>1</v>
      </c>
      <c r="V13" s="15">
        <f t="shared" ca="1" si="1"/>
        <v>1</v>
      </c>
    </row>
    <row r="14" spans="1:22">
      <c r="A14" t="s">
        <v>3252</v>
      </c>
      <c r="B14" s="1">
        <v>41055.51898148148</v>
      </c>
      <c r="C14" s="2">
        <v>200000</v>
      </c>
      <c r="D14">
        <v>200000</v>
      </c>
      <c r="E14" t="s">
        <v>1895</v>
      </c>
      <c r="F14" s="5">
        <v>2122.8177433598262</v>
      </c>
      <c r="G14" s="5">
        <v>4892.0089034562043</v>
      </c>
      <c r="H14" s="5">
        <f ca="1">OFFSET(F14,0,Brains!$D$1,1,1)</f>
        <v>4892.0089034562043</v>
      </c>
      <c r="I14" t="s">
        <v>3253</v>
      </c>
      <c r="J14" t="s">
        <v>1897</v>
      </c>
      <c r="K14" t="s">
        <v>1872</v>
      </c>
      <c r="L14" t="s">
        <v>1872</v>
      </c>
      <c r="M14" s="11" t="s">
        <v>3917</v>
      </c>
      <c r="N14" t="s">
        <v>1873</v>
      </c>
      <c r="O14" s="7" t="s">
        <v>3920</v>
      </c>
      <c r="P14" s="17" t="str">
        <f t="shared" ca="1" si="0"/>
        <v>0-14.9K</v>
      </c>
      <c r="Q14" s="17">
        <v>2.5</v>
      </c>
      <c r="R14">
        <v>2</v>
      </c>
      <c r="S14">
        <v>3</v>
      </c>
      <c r="T14">
        <v>1</v>
      </c>
      <c r="U14">
        <v>1</v>
      </c>
      <c r="V14" s="15">
        <f t="shared" ca="1" si="1"/>
        <v>1</v>
      </c>
    </row>
    <row r="15" spans="1:22">
      <c r="A15" t="s">
        <v>953</v>
      </c>
      <c r="B15" s="1">
        <v>41059.404178240744</v>
      </c>
      <c r="C15" s="2">
        <v>70000</v>
      </c>
      <c r="D15">
        <v>70000</v>
      </c>
      <c r="E15" t="s">
        <v>1973</v>
      </c>
      <c r="F15" s="5">
        <v>71393.675948184507</v>
      </c>
      <c r="G15" s="5">
        <v>44529.262086513998</v>
      </c>
      <c r="H15" s="5">
        <f ca="1">OFFSET(F15,0,Brains!$D$1,1,1)</f>
        <v>44529.262086513998</v>
      </c>
      <c r="I15" t="s">
        <v>357</v>
      </c>
      <c r="J15" t="s">
        <v>1897</v>
      </c>
      <c r="K15" t="s">
        <v>1975</v>
      </c>
      <c r="L15" t="s">
        <v>1975</v>
      </c>
      <c r="M15" s="11" t="s">
        <v>3917</v>
      </c>
      <c r="N15" t="s">
        <v>1873</v>
      </c>
      <c r="O15" s="7" t="s">
        <v>3920</v>
      </c>
      <c r="P15" s="17" t="str">
        <f t="shared" ca="1" si="0"/>
        <v>30-49.9K</v>
      </c>
      <c r="Q15" s="17">
        <v>2.5</v>
      </c>
      <c r="R15">
        <v>5</v>
      </c>
      <c r="S15">
        <v>3</v>
      </c>
      <c r="T15">
        <v>1</v>
      </c>
      <c r="U15">
        <v>1</v>
      </c>
      <c r="V15" s="15">
        <f t="shared" ca="1" si="1"/>
        <v>3</v>
      </c>
    </row>
    <row r="16" spans="1:22">
      <c r="A16" t="s">
        <v>366</v>
      </c>
      <c r="B16" s="1">
        <v>41057.86917824074</v>
      </c>
      <c r="C16" s="2" t="s">
        <v>367</v>
      </c>
      <c r="D16">
        <v>37500</v>
      </c>
      <c r="E16" t="s">
        <v>1954</v>
      </c>
      <c r="F16" s="5">
        <v>59106.685202523156</v>
      </c>
      <c r="G16" s="5">
        <v>55637.982195845696</v>
      </c>
      <c r="H16" s="5">
        <f ca="1">OFFSET(F16,0,Brains!$D$1,1,1)</f>
        <v>55637.982195845696</v>
      </c>
      <c r="I16" t="s">
        <v>368</v>
      </c>
      <c r="J16" t="s">
        <v>1897</v>
      </c>
      <c r="K16" t="s">
        <v>1956</v>
      </c>
      <c r="L16" t="s">
        <v>1956</v>
      </c>
      <c r="M16" s="11" t="s">
        <v>3917</v>
      </c>
      <c r="N16" t="s">
        <v>1873</v>
      </c>
      <c r="O16" s="7" t="s">
        <v>3920</v>
      </c>
      <c r="P16" s="17" t="str">
        <f t="shared" ca="1" si="0"/>
        <v>50-74.9K</v>
      </c>
      <c r="Q16" s="17">
        <v>2.5</v>
      </c>
      <c r="R16">
        <v>5</v>
      </c>
      <c r="S16">
        <v>3</v>
      </c>
      <c r="T16">
        <v>1</v>
      </c>
      <c r="U16">
        <v>1</v>
      </c>
      <c r="V16" s="15">
        <f t="shared" ca="1" si="1"/>
        <v>4</v>
      </c>
    </row>
    <row r="17" spans="1:22">
      <c r="A17" t="s">
        <v>351</v>
      </c>
      <c r="B17" s="1">
        <v>41057.828634259262</v>
      </c>
      <c r="C17" s="2" t="s">
        <v>2071</v>
      </c>
      <c r="D17">
        <v>30000</v>
      </c>
      <c r="E17" t="s">
        <v>1954</v>
      </c>
      <c r="F17" s="5">
        <v>47285.348162018527</v>
      </c>
      <c r="G17" s="5">
        <v>44510.385756676558</v>
      </c>
      <c r="H17" s="5">
        <f ca="1">OFFSET(F17,0,Brains!$D$1,1,1)</f>
        <v>44510.385756676558</v>
      </c>
      <c r="I17" t="s">
        <v>352</v>
      </c>
      <c r="J17" t="s">
        <v>1897</v>
      </c>
      <c r="K17" t="s">
        <v>1956</v>
      </c>
      <c r="L17" t="s">
        <v>1956</v>
      </c>
      <c r="M17" s="11" t="s">
        <v>3917</v>
      </c>
      <c r="N17" t="s">
        <v>1873</v>
      </c>
      <c r="O17" s="7" t="s">
        <v>3920</v>
      </c>
      <c r="P17" s="17" t="str">
        <f t="shared" ca="1" si="0"/>
        <v>30-49.9K</v>
      </c>
      <c r="Q17" s="17">
        <v>2.5</v>
      </c>
      <c r="R17">
        <v>5</v>
      </c>
      <c r="S17">
        <v>3</v>
      </c>
      <c r="T17">
        <v>1</v>
      </c>
      <c r="U17">
        <v>1</v>
      </c>
      <c r="V17" s="15">
        <f t="shared" ca="1" si="1"/>
        <v>3</v>
      </c>
    </row>
    <row r="18" spans="1:22">
      <c r="A18" t="s">
        <v>1785</v>
      </c>
      <c r="B18" s="1">
        <v>41079.016250000001</v>
      </c>
      <c r="C18" s="2">
        <v>45000</v>
      </c>
      <c r="D18">
        <v>45000</v>
      </c>
      <c r="E18" t="s">
        <v>1856</v>
      </c>
      <c r="F18" s="5">
        <v>45000</v>
      </c>
      <c r="G18" s="5">
        <v>45000</v>
      </c>
      <c r="H18" s="5">
        <f ca="1">OFFSET(F18,0,Brains!$D$1,1,1)</f>
        <v>45000</v>
      </c>
      <c r="I18" t="s">
        <v>1983</v>
      </c>
      <c r="J18" t="s">
        <v>1897</v>
      </c>
      <c r="K18" t="s">
        <v>1869</v>
      </c>
      <c r="L18" t="s">
        <v>1869</v>
      </c>
      <c r="M18" s="11" t="s">
        <v>3917</v>
      </c>
      <c r="N18" t="s">
        <v>1873</v>
      </c>
      <c r="O18" s="7" t="s">
        <v>3920</v>
      </c>
      <c r="P18" s="17" t="str">
        <f t="shared" ca="1" si="0"/>
        <v>30-49.9K</v>
      </c>
      <c r="Q18" s="17">
        <v>2.5</v>
      </c>
      <c r="R18">
        <v>5</v>
      </c>
      <c r="S18">
        <v>3</v>
      </c>
      <c r="T18">
        <v>1</v>
      </c>
      <c r="U18">
        <v>1</v>
      </c>
      <c r="V18" s="15">
        <f t="shared" ca="1" si="1"/>
        <v>3</v>
      </c>
    </row>
    <row r="19" spans="1:22">
      <c r="A19" t="s">
        <v>3486</v>
      </c>
      <c r="B19" s="1">
        <v>41055.725474537037</v>
      </c>
      <c r="C19" s="2">
        <v>30232</v>
      </c>
      <c r="D19">
        <v>30232</v>
      </c>
      <c r="E19" t="s">
        <v>1856</v>
      </c>
      <c r="F19" s="5">
        <v>30232</v>
      </c>
      <c r="G19" s="5">
        <v>30232</v>
      </c>
      <c r="H19" s="5">
        <f ca="1">OFFSET(F19,0,Brains!$D$1,1,1)</f>
        <v>30232</v>
      </c>
      <c r="I19" t="s">
        <v>3487</v>
      </c>
      <c r="J19" t="s">
        <v>1897</v>
      </c>
      <c r="K19" t="s">
        <v>3488</v>
      </c>
      <c r="L19" t="s">
        <v>1869</v>
      </c>
      <c r="M19" s="11" t="s">
        <v>3917</v>
      </c>
      <c r="N19" t="s">
        <v>1873</v>
      </c>
      <c r="O19" s="7" t="s">
        <v>3920</v>
      </c>
      <c r="P19" s="17" t="str">
        <f t="shared" ca="1" si="0"/>
        <v>30-49.9K</v>
      </c>
      <c r="Q19" s="17">
        <v>2.5</v>
      </c>
      <c r="R19">
        <v>5</v>
      </c>
      <c r="S19">
        <v>3</v>
      </c>
      <c r="T19">
        <v>1</v>
      </c>
      <c r="U19">
        <v>1</v>
      </c>
      <c r="V19" s="15">
        <f t="shared" ca="1" si="1"/>
        <v>3</v>
      </c>
    </row>
    <row r="20" spans="1:22">
      <c r="A20" t="s">
        <v>3579</v>
      </c>
      <c r="B20" s="1">
        <v>41055.914456018516</v>
      </c>
      <c r="C20" s="2">
        <v>13100</v>
      </c>
      <c r="D20">
        <v>13100</v>
      </c>
      <c r="E20" t="s">
        <v>1856</v>
      </c>
      <c r="F20" s="5">
        <v>13100</v>
      </c>
      <c r="G20" s="5">
        <v>13100</v>
      </c>
      <c r="H20" s="5">
        <f ca="1">OFFSET(F20,0,Brains!$D$1,1,1)</f>
        <v>13100</v>
      </c>
      <c r="I20" t="s">
        <v>3580</v>
      </c>
      <c r="J20" t="s">
        <v>1897</v>
      </c>
      <c r="K20" t="s">
        <v>1859</v>
      </c>
      <c r="L20" t="s">
        <v>1859</v>
      </c>
      <c r="M20" s="11" t="s">
        <v>3917</v>
      </c>
      <c r="N20" t="s">
        <v>1873</v>
      </c>
      <c r="O20" s="7" t="s">
        <v>3920</v>
      </c>
      <c r="P20" s="17" t="str">
        <f t="shared" ca="1" si="0"/>
        <v>0-14.9K</v>
      </c>
      <c r="Q20" s="17">
        <v>2.5</v>
      </c>
      <c r="R20">
        <v>5</v>
      </c>
      <c r="S20">
        <v>3</v>
      </c>
      <c r="T20">
        <v>1</v>
      </c>
      <c r="U20">
        <v>1</v>
      </c>
      <c r="V20" s="15">
        <f t="shared" ca="1" si="1"/>
        <v>1</v>
      </c>
    </row>
    <row r="21" spans="1:22">
      <c r="A21" t="s">
        <v>120</v>
      </c>
      <c r="B21" s="1">
        <v>41057.54078703704</v>
      </c>
      <c r="C21" s="2" t="s">
        <v>121</v>
      </c>
      <c r="D21">
        <v>300000</v>
      </c>
      <c r="E21" t="s">
        <v>1908</v>
      </c>
      <c r="F21" s="5">
        <v>5342.3750062327708</v>
      </c>
      <c r="G21" s="5">
        <v>14938.751120406334</v>
      </c>
      <c r="H21" s="5">
        <f ca="1">OFFSET(F21,0,Brains!$D$1,1,1)</f>
        <v>14938.751120406334</v>
      </c>
      <c r="I21" t="s">
        <v>122</v>
      </c>
      <c r="J21" t="s">
        <v>1897</v>
      </c>
      <c r="K21" t="s">
        <v>1859</v>
      </c>
      <c r="L21" t="s">
        <v>1859</v>
      </c>
      <c r="M21" s="11" t="s">
        <v>3917</v>
      </c>
      <c r="N21" t="s">
        <v>1873</v>
      </c>
      <c r="O21" s="7" t="s">
        <v>3920</v>
      </c>
      <c r="P21" s="17" t="str">
        <f t="shared" ca="1" si="0"/>
        <v>0-14.9K</v>
      </c>
      <c r="Q21" s="17">
        <v>2.5</v>
      </c>
      <c r="R21">
        <v>5</v>
      </c>
      <c r="S21">
        <v>3</v>
      </c>
      <c r="T21">
        <v>1</v>
      </c>
      <c r="U21">
        <v>1</v>
      </c>
      <c r="V21" s="15">
        <f t="shared" ca="1" si="1"/>
        <v>1</v>
      </c>
    </row>
    <row r="22" spans="1:22">
      <c r="A22" t="s">
        <v>554</v>
      </c>
      <c r="B22" s="1">
        <v>41058.184050925927</v>
      </c>
      <c r="C22" s="2">
        <v>56000</v>
      </c>
      <c r="D22">
        <v>56000</v>
      </c>
      <c r="E22" t="s">
        <v>1856</v>
      </c>
      <c r="F22" s="5">
        <v>56000</v>
      </c>
      <c r="G22" s="5">
        <v>56000</v>
      </c>
      <c r="H22" s="5">
        <f ca="1">OFFSET(F22,0,Brains!$D$1,1,1)</f>
        <v>56000</v>
      </c>
      <c r="I22" t="s">
        <v>1897</v>
      </c>
      <c r="J22" t="s">
        <v>1897</v>
      </c>
      <c r="K22" t="s">
        <v>1869</v>
      </c>
      <c r="L22" t="s">
        <v>1869</v>
      </c>
      <c r="M22" s="11" t="s">
        <v>3918</v>
      </c>
      <c r="N22" t="s">
        <v>1860</v>
      </c>
      <c r="O22" s="7" t="s">
        <v>3920</v>
      </c>
      <c r="P22" s="17" t="str">
        <f t="shared" ca="1" si="0"/>
        <v>50-74.9K</v>
      </c>
      <c r="Q22" s="17">
        <v>5</v>
      </c>
      <c r="R22">
        <v>1</v>
      </c>
      <c r="S22">
        <v>4</v>
      </c>
      <c r="T22">
        <v>1</v>
      </c>
      <c r="U22">
        <v>1</v>
      </c>
      <c r="V22" s="15">
        <f t="shared" ca="1" si="1"/>
        <v>4</v>
      </c>
    </row>
    <row r="23" spans="1:22">
      <c r="A23" t="s">
        <v>1713</v>
      </c>
      <c r="B23" s="1">
        <v>41075.375092592592</v>
      </c>
      <c r="C23" s="2">
        <v>48000</v>
      </c>
      <c r="D23">
        <v>48000</v>
      </c>
      <c r="E23" t="s">
        <v>1856</v>
      </c>
      <c r="F23" s="5">
        <v>48000</v>
      </c>
      <c r="G23" s="5">
        <v>48000</v>
      </c>
      <c r="H23" s="5">
        <f ca="1">OFFSET(F23,0,Brains!$D$1,1,1)</f>
        <v>48000</v>
      </c>
      <c r="I23" t="s">
        <v>1897</v>
      </c>
      <c r="J23" t="s">
        <v>1897</v>
      </c>
      <c r="K23" t="s">
        <v>1869</v>
      </c>
      <c r="L23" t="s">
        <v>1869</v>
      </c>
      <c r="M23" s="11" t="s">
        <v>3918</v>
      </c>
      <c r="N23" t="s">
        <v>1860</v>
      </c>
      <c r="O23" s="7" t="s">
        <v>3920</v>
      </c>
      <c r="P23" s="17" t="str">
        <f t="shared" ca="1" si="0"/>
        <v>30-49.9K</v>
      </c>
      <c r="Q23" s="17">
        <v>5</v>
      </c>
      <c r="R23">
        <v>1</v>
      </c>
      <c r="S23">
        <v>4</v>
      </c>
      <c r="T23">
        <v>1</v>
      </c>
      <c r="U23">
        <v>1</v>
      </c>
      <c r="V23" s="15">
        <f t="shared" ca="1" si="1"/>
        <v>3</v>
      </c>
    </row>
    <row r="24" spans="1:22">
      <c r="A24" t="s">
        <v>1714</v>
      </c>
      <c r="B24" s="1">
        <v>41075.375960648147</v>
      </c>
      <c r="C24" s="2">
        <v>48000</v>
      </c>
      <c r="D24">
        <v>48000</v>
      </c>
      <c r="E24" t="s">
        <v>1856</v>
      </c>
      <c r="F24" s="5">
        <v>48000</v>
      </c>
      <c r="G24" s="5">
        <v>48000</v>
      </c>
      <c r="H24" s="5">
        <f ca="1">OFFSET(F24,0,Brains!$D$1,1,1)</f>
        <v>48000</v>
      </c>
      <c r="I24" t="s">
        <v>1897</v>
      </c>
      <c r="J24" t="s">
        <v>1897</v>
      </c>
      <c r="K24" t="s">
        <v>1869</v>
      </c>
      <c r="L24" t="s">
        <v>1869</v>
      </c>
      <c r="M24" s="11" t="s">
        <v>3918</v>
      </c>
      <c r="N24" t="s">
        <v>1860</v>
      </c>
      <c r="O24" s="7" t="s">
        <v>3920</v>
      </c>
      <c r="P24" s="17" t="str">
        <f t="shared" ca="1" si="0"/>
        <v>30-49.9K</v>
      </c>
      <c r="Q24" s="17">
        <v>5</v>
      </c>
      <c r="R24">
        <v>1</v>
      </c>
      <c r="S24">
        <v>4</v>
      </c>
      <c r="T24">
        <v>1</v>
      </c>
      <c r="U24">
        <v>1</v>
      </c>
      <c r="V24" s="15">
        <f t="shared" ca="1" si="1"/>
        <v>3</v>
      </c>
    </row>
    <row r="25" spans="1:22">
      <c r="A25" t="s">
        <v>1464</v>
      </c>
      <c r="B25" s="1">
        <v>41066.351342592592</v>
      </c>
      <c r="C25" s="2">
        <v>42000</v>
      </c>
      <c r="D25">
        <v>42000</v>
      </c>
      <c r="E25" t="s">
        <v>1856</v>
      </c>
      <c r="F25" s="5">
        <v>42000</v>
      </c>
      <c r="G25" s="5">
        <v>42000</v>
      </c>
      <c r="H25" s="5">
        <f ca="1">OFFSET(F25,0,Brains!$D$1,1,1)</f>
        <v>42000</v>
      </c>
      <c r="I25" t="s">
        <v>508</v>
      </c>
      <c r="J25" t="s">
        <v>1897</v>
      </c>
      <c r="K25" t="s">
        <v>1869</v>
      </c>
      <c r="L25" t="s">
        <v>1869</v>
      </c>
      <c r="M25" s="11" t="s">
        <v>3918</v>
      </c>
      <c r="N25" t="s">
        <v>1860</v>
      </c>
      <c r="O25" s="7" t="s">
        <v>3920</v>
      </c>
      <c r="P25" s="17" t="str">
        <f t="shared" ca="1" si="0"/>
        <v>30-49.9K</v>
      </c>
      <c r="Q25" s="17">
        <v>5</v>
      </c>
      <c r="R25">
        <v>1</v>
      </c>
      <c r="S25">
        <v>4</v>
      </c>
      <c r="T25">
        <v>1</v>
      </c>
      <c r="U25">
        <v>1</v>
      </c>
      <c r="V25" s="15">
        <f t="shared" ca="1" si="1"/>
        <v>3</v>
      </c>
    </row>
    <row r="26" spans="1:22">
      <c r="A26" t="s">
        <v>3366</v>
      </c>
      <c r="B26" s="1">
        <v>41055.597488425927</v>
      </c>
      <c r="C26" s="2" t="s">
        <v>3367</v>
      </c>
      <c r="D26">
        <v>15000</v>
      </c>
      <c r="E26" t="s">
        <v>1856</v>
      </c>
      <c r="F26" s="5">
        <v>15000</v>
      </c>
      <c r="G26" s="5">
        <v>15000</v>
      </c>
      <c r="H26" s="5">
        <f ca="1">OFFSET(F26,0,Brains!$D$1,1,1)</f>
        <v>15000</v>
      </c>
      <c r="I26" t="s">
        <v>3368</v>
      </c>
      <c r="J26" t="s">
        <v>1897</v>
      </c>
      <c r="K26" t="s">
        <v>3369</v>
      </c>
      <c r="L26" t="s">
        <v>3369</v>
      </c>
      <c r="M26" s="11" t="s">
        <v>3918</v>
      </c>
      <c r="N26" t="s">
        <v>1860</v>
      </c>
      <c r="O26" s="7" t="s">
        <v>3920</v>
      </c>
      <c r="P26" s="17" t="str">
        <f t="shared" ca="1" si="0"/>
        <v>15-29.9K</v>
      </c>
      <c r="Q26" s="17">
        <v>5</v>
      </c>
      <c r="R26">
        <v>2</v>
      </c>
      <c r="S26">
        <v>4</v>
      </c>
      <c r="T26">
        <v>1</v>
      </c>
      <c r="U26">
        <v>1</v>
      </c>
      <c r="V26" s="15">
        <f t="shared" ca="1" si="1"/>
        <v>2</v>
      </c>
    </row>
    <row r="27" spans="1:22">
      <c r="A27" t="s">
        <v>708</v>
      </c>
      <c r="B27" s="1">
        <v>41058.638020833336</v>
      </c>
      <c r="C27" s="2">
        <v>250</v>
      </c>
      <c r="D27">
        <v>3000</v>
      </c>
      <c r="E27" t="s">
        <v>1856</v>
      </c>
      <c r="F27" s="5">
        <v>3000</v>
      </c>
      <c r="G27" s="5">
        <v>3000</v>
      </c>
      <c r="H27" s="5">
        <f ca="1">OFFSET(F27,0,Brains!$D$1,1,1)</f>
        <v>3000</v>
      </c>
      <c r="I27" t="s">
        <v>709</v>
      </c>
      <c r="J27" t="s">
        <v>1897</v>
      </c>
      <c r="K27" t="s">
        <v>710</v>
      </c>
      <c r="L27" t="s">
        <v>3169</v>
      </c>
      <c r="M27" s="11" t="s">
        <v>3918</v>
      </c>
      <c r="N27" t="s">
        <v>1860</v>
      </c>
      <c r="O27" s="7" t="s">
        <v>3920</v>
      </c>
      <c r="P27" s="17" t="str">
        <f t="shared" ca="1" si="0"/>
        <v>0-14.9K</v>
      </c>
      <c r="Q27" s="17">
        <v>5</v>
      </c>
      <c r="R27">
        <v>2</v>
      </c>
      <c r="S27">
        <v>4</v>
      </c>
      <c r="T27">
        <v>1</v>
      </c>
      <c r="U27">
        <v>1</v>
      </c>
      <c r="V27" s="15">
        <f t="shared" ca="1" si="1"/>
        <v>1</v>
      </c>
    </row>
    <row r="28" spans="1:22">
      <c r="A28" t="s">
        <v>3736</v>
      </c>
      <c r="B28" s="1">
        <v>41056.540173611109</v>
      </c>
      <c r="C28" s="2" t="s">
        <v>3737</v>
      </c>
      <c r="D28">
        <v>720000</v>
      </c>
      <c r="E28" t="s">
        <v>1908</v>
      </c>
      <c r="F28" s="5">
        <v>12821.700014958649</v>
      </c>
      <c r="G28" s="5">
        <v>35853.002688975197</v>
      </c>
      <c r="H28" s="5">
        <f ca="1">OFFSET(F28,0,Brains!$D$1,1,1)</f>
        <v>35853.002688975197</v>
      </c>
      <c r="I28" t="s">
        <v>3738</v>
      </c>
      <c r="J28" t="s">
        <v>1897</v>
      </c>
      <c r="K28" t="s">
        <v>1859</v>
      </c>
      <c r="L28" t="s">
        <v>1859</v>
      </c>
      <c r="M28" s="11" t="s">
        <v>3918</v>
      </c>
      <c r="N28" t="s">
        <v>1860</v>
      </c>
      <c r="O28" s="7" t="s">
        <v>3920</v>
      </c>
      <c r="P28" s="17" t="str">
        <f t="shared" ca="1" si="0"/>
        <v>30-49.9K</v>
      </c>
      <c r="Q28" s="17">
        <v>5</v>
      </c>
      <c r="R28">
        <v>3</v>
      </c>
      <c r="S28">
        <v>4</v>
      </c>
      <c r="T28">
        <v>1</v>
      </c>
      <c r="U28">
        <v>1</v>
      </c>
      <c r="V28" s="15">
        <f t="shared" ca="1" si="1"/>
        <v>3</v>
      </c>
    </row>
    <row r="29" spans="1:22">
      <c r="A29" t="s">
        <v>3206</v>
      </c>
      <c r="B29" s="1">
        <v>41055.48337962963</v>
      </c>
      <c r="C29" s="2" t="s">
        <v>3207</v>
      </c>
      <c r="D29">
        <v>200000</v>
      </c>
      <c r="E29" t="s">
        <v>1908</v>
      </c>
      <c r="F29" s="5">
        <v>3561.5833374885137</v>
      </c>
      <c r="G29" s="5">
        <v>9959.167413604222</v>
      </c>
      <c r="H29" s="5">
        <f ca="1">OFFSET(F29,0,Brains!$D$1,1,1)</f>
        <v>9959.167413604222</v>
      </c>
      <c r="I29" t="s">
        <v>3208</v>
      </c>
      <c r="J29" t="s">
        <v>1897</v>
      </c>
      <c r="K29" t="s">
        <v>1859</v>
      </c>
      <c r="L29" t="s">
        <v>1859</v>
      </c>
      <c r="M29" s="11" t="s">
        <v>3918</v>
      </c>
      <c r="N29" t="s">
        <v>1860</v>
      </c>
      <c r="O29" s="7" t="s">
        <v>3920</v>
      </c>
      <c r="P29" s="17" t="str">
        <f t="shared" ca="1" si="0"/>
        <v>0-14.9K</v>
      </c>
      <c r="Q29" s="17">
        <v>5</v>
      </c>
      <c r="R29">
        <v>3</v>
      </c>
      <c r="S29">
        <v>4</v>
      </c>
      <c r="T29">
        <v>1</v>
      </c>
      <c r="U29">
        <v>1</v>
      </c>
      <c r="V29" s="15">
        <f t="shared" ca="1" si="1"/>
        <v>1</v>
      </c>
    </row>
    <row r="30" spans="1:22">
      <c r="A30" t="s">
        <v>1765</v>
      </c>
      <c r="B30" s="1">
        <v>41077.485335648147</v>
      </c>
      <c r="C30" s="2">
        <v>75000</v>
      </c>
      <c r="D30">
        <v>75000</v>
      </c>
      <c r="E30" t="s">
        <v>3081</v>
      </c>
      <c r="F30" s="5">
        <v>59819.107020370408</v>
      </c>
      <c r="G30" s="5">
        <v>43478.260869565216</v>
      </c>
      <c r="H30" s="5">
        <f ca="1">OFFSET(F30,0,Brains!$D$1,1,1)</f>
        <v>43478.260869565216</v>
      </c>
      <c r="I30" t="s">
        <v>2860</v>
      </c>
      <c r="J30" t="s">
        <v>1897</v>
      </c>
      <c r="K30" t="s">
        <v>3083</v>
      </c>
      <c r="L30" t="s">
        <v>3083</v>
      </c>
      <c r="M30" s="11" t="s">
        <v>3918</v>
      </c>
      <c r="N30" t="s">
        <v>1860</v>
      </c>
      <c r="O30" s="7" t="s">
        <v>3920</v>
      </c>
      <c r="P30" s="17" t="str">
        <f t="shared" ca="1" si="0"/>
        <v>30-49.9K</v>
      </c>
      <c r="Q30" s="17">
        <v>5</v>
      </c>
      <c r="R30">
        <v>4</v>
      </c>
      <c r="S30">
        <v>4</v>
      </c>
      <c r="T30">
        <v>1</v>
      </c>
      <c r="U30">
        <v>1</v>
      </c>
      <c r="V30" s="15">
        <f t="shared" ca="1" si="1"/>
        <v>3</v>
      </c>
    </row>
    <row r="31" spans="1:22">
      <c r="A31" t="s">
        <v>3349</v>
      </c>
      <c r="B31" s="1">
        <v>41055.581377314818</v>
      </c>
      <c r="C31" s="2">
        <v>720000</v>
      </c>
      <c r="D31">
        <v>720000</v>
      </c>
      <c r="E31" t="s">
        <v>1908</v>
      </c>
      <c r="F31" s="5">
        <v>12821.700014958649</v>
      </c>
      <c r="G31" s="5">
        <v>35853.002688975197</v>
      </c>
      <c r="H31" s="5">
        <f ca="1">OFFSET(F31,0,Brains!$D$1,1,1)</f>
        <v>35853.002688975197</v>
      </c>
      <c r="I31" t="s">
        <v>3350</v>
      </c>
      <c r="J31" t="s">
        <v>1897</v>
      </c>
      <c r="K31" t="s">
        <v>1859</v>
      </c>
      <c r="L31" t="s">
        <v>1859</v>
      </c>
      <c r="M31" s="11" t="s">
        <v>3918</v>
      </c>
      <c r="N31" t="s">
        <v>1860</v>
      </c>
      <c r="O31" s="7" t="s">
        <v>3920</v>
      </c>
      <c r="P31" s="17" t="str">
        <f t="shared" ca="1" si="0"/>
        <v>30-49.9K</v>
      </c>
      <c r="Q31" s="17">
        <v>5</v>
      </c>
      <c r="R31">
        <v>4</v>
      </c>
      <c r="S31">
        <v>4</v>
      </c>
      <c r="T31">
        <v>1</v>
      </c>
      <c r="U31">
        <v>1</v>
      </c>
      <c r="V31" s="15">
        <f t="shared" ca="1" si="1"/>
        <v>3</v>
      </c>
    </row>
    <row r="32" spans="1:22">
      <c r="A32" t="s">
        <v>3750</v>
      </c>
      <c r="B32" s="1">
        <v>41056.570196759261</v>
      </c>
      <c r="C32" s="2">
        <v>10000</v>
      </c>
      <c r="D32">
        <v>10000</v>
      </c>
      <c r="E32" t="s">
        <v>1856</v>
      </c>
      <c r="F32" s="5">
        <v>10000</v>
      </c>
      <c r="G32" s="5">
        <v>10000</v>
      </c>
      <c r="H32" s="5">
        <f ca="1">OFFSET(F32,0,Brains!$D$1,1,1)</f>
        <v>10000</v>
      </c>
      <c r="I32" t="s">
        <v>3751</v>
      </c>
      <c r="J32" t="s">
        <v>1897</v>
      </c>
      <c r="K32" t="s">
        <v>3752</v>
      </c>
      <c r="L32" t="s">
        <v>1123</v>
      </c>
      <c r="M32" s="11" t="s">
        <v>3918</v>
      </c>
      <c r="N32" t="s">
        <v>1860</v>
      </c>
      <c r="O32" s="7" t="s">
        <v>3920</v>
      </c>
      <c r="P32" s="17" t="str">
        <f t="shared" ca="1" si="0"/>
        <v>0-14.9K</v>
      </c>
      <c r="Q32" s="17">
        <v>5</v>
      </c>
      <c r="R32">
        <v>4</v>
      </c>
      <c r="S32">
        <v>4</v>
      </c>
      <c r="T32">
        <v>1</v>
      </c>
      <c r="U32">
        <v>1</v>
      </c>
      <c r="V32" s="15">
        <f t="shared" ca="1" si="1"/>
        <v>1</v>
      </c>
    </row>
    <row r="33" spans="1:22">
      <c r="A33" t="s">
        <v>962</v>
      </c>
      <c r="B33" s="1">
        <v>41059.48877314815</v>
      </c>
      <c r="C33" s="2">
        <v>300000</v>
      </c>
      <c r="D33">
        <v>300000</v>
      </c>
      <c r="E33" t="s">
        <v>1908</v>
      </c>
      <c r="F33" s="5">
        <v>5342.3750062327708</v>
      </c>
      <c r="G33" s="5">
        <v>14938.751120406334</v>
      </c>
      <c r="H33" s="5">
        <f ca="1">OFFSET(F33,0,Brains!$D$1,1,1)</f>
        <v>14938.751120406334</v>
      </c>
      <c r="I33" t="s">
        <v>3580</v>
      </c>
      <c r="J33" t="s">
        <v>1897</v>
      </c>
      <c r="K33" t="s">
        <v>1859</v>
      </c>
      <c r="L33" t="s">
        <v>1859</v>
      </c>
      <c r="M33" s="11" t="s">
        <v>3918</v>
      </c>
      <c r="N33" t="s">
        <v>1860</v>
      </c>
      <c r="O33" s="7" t="s">
        <v>3920</v>
      </c>
      <c r="P33" s="17" t="str">
        <f t="shared" ca="1" si="0"/>
        <v>0-14.9K</v>
      </c>
      <c r="Q33" s="17">
        <v>5</v>
      </c>
      <c r="R33">
        <v>4</v>
      </c>
      <c r="S33">
        <v>4</v>
      </c>
      <c r="T33">
        <v>1</v>
      </c>
      <c r="U33">
        <v>1</v>
      </c>
      <c r="V33" s="15">
        <f t="shared" ca="1" si="1"/>
        <v>1</v>
      </c>
    </row>
    <row r="34" spans="1:22">
      <c r="A34" t="s">
        <v>219</v>
      </c>
      <c r="B34" s="1">
        <v>41057.64875</v>
      </c>
      <c r="C34" s="2">
        <v>140000</v>
      </c>
      <c r="D34">
        <v>140000</v>
      </c>
      <c r="E34" t="s">
        <v>1908</v>
      </c>
      <c r="F34" s="5">
        <v>2493.1083362419595</v>
      </c>
      <c r="G34" s="5">
        <v>6971.4171895229556</v>
      </c>
      <c r="H34" s="5">
        <f ca="1">OFFSET(F34,0,Brains!$D$1,1,1)</f>
        <v>6971.4171895229556</v>
      </c>
      <c r="I34" t="s">
        <v>1897</v>
      </c>
      <c r="J34" t="s">
        <v>1897</v>
      </c>
      <c r="K34" t="s">
        <v>1859</v>
      </c>
      <c r="L34" t="s">
        <v>1859</v>
      </c>
      <c r="M34" s="11" t="s">
        <v>3918</v>
      </c>
      <c r="N34" t="s">
        <v>1860</v>
      </c>
      <c r="O34" s="7" t="s">
        <v>3920</v>
      </c>
      <c r="P34" s="17" t="str">
        <f t="shared" ca="1" si="0"/>
        <v>0-14.9K</v>
      </c>
      <c r="Q34" s="17">
        <v>5</v>
      </c>
      <c r="R34">
        <v>4</v>
      </c>
      <c r="S34">
        <v>4</v>
      </c>
      <c r="T34">
        <v>1</v>
      </c>
      <c r="U34">
        <v>1</v>
      </c>
      <c r="V34" s="15">
        <f t="shared" ca="1" si="1"/>
        <v>1</v>
      </c>
    </row>
    <row r="35" spans="1:22">
      <c r="A35" t="s">
        <v>3869</v>
      </c>
      <c r="B35" s="1">
        <v>41057.062025462961</v>
      </c>
      <c r="C35" s="2">
        <v>3000</v>
      </c>
      <c r="D35">
        <v>36000</v>
      </c>
      <c r="E35" t="s">
        <v>1856</v>
      </c>
      <c r="F35" s="5">
        <v>36000</v>
      </c>
      <c r="G35" s="5">
        <v>36000</v>
      </c>
      <c r="H35" s="5">
        <f ca="1">OFFSET(F35,0,Brains!$D$1,1,1)</f>
        <v>36000</v>
      </c>
      <c r="I35" t="s">
        <v>1897</v>
      </c>
      <c r="J35" t="s">
        <v>1897</v>
      </c>
      <c r="K35" t="s">
        <v>2052</v>
      </c>
      <c r="L35" t="s">
        <v>2143</v>
      </c>
      <c r="M35" s="11" t="s">
        <v>3918</v>
      </c>
      <c r="N35" t="s">
        <v>1860</v>
      </c>
      <c r="O35" s="7" t="s">
        <v>3920</v>
      </c>
      <c r="P35" s="17" t="str">
        <f t="shared" ca="1" si="0"/>
        <v>30-49.9K</v>
      </c>
      <c r="Q35" s="17">
        <v>5</v>
      </c>
      <c r="R35">
        <v>4.5</v>
      </c>
      <c r="S35">
        <v>4</v>
      </c>
      <c r="T35">
        <v>1</v>
      </c>
      <c r="U35">
        <v>1</v>
      </c>
      <c r="V35" s="15">
        <f t="shared" ca="1" si="1"/>
        <v>3</v>
      </c>
    </row>
    <row r="36" spans="1:22">
      <c r="A36" t="s">
        <v>579</v>
      </c>
      <c r="B36" s="1">
        <v>41058.268113425926</v>
      </c>
      <c r="C36" s="2">
        <v>80000</v>
      </c>
      <c r="D36">
        <v>80000</v>
      </c>
      <c r="E36" t="s">
        <v>1973</v>
      </c>
      <c r="F36" s="5">
        <v>81592.772512210868</v>
      </c>
      <c r="G36" s="5">
        <v>50890.585241730281</v>
      </c>
      <c r="H36" s="5">
        <f ca="1">OFFSET(F36,0,Brains!$D$1,1,1)</f>
        <v>50890.585241730281</v>
      </c>
      <c r="I36" t="s">
        <v>580</v>
      </c>
      <c r="J36" t="s">
        <v>1897</v>
      </c>
      <c r="K36" t="s">
        <v>1975</v>
      </c>
      <c r="L36" t="s">
        <v>1975</v>
      </c>
      <c r="M36" s="11" t="s">
        <v>3918</v>
      </c>
      <c r="N36" t="s">
        <v>1860</v>
      </c>
      <c r="O36" s="7" t="s">
        <v>3920</v>
      </c>
      <c r="P36" s="17" t="str">
        <f t="shared" ca="1" si="0"/>
        <v>50-74.9K</v>
      </c>
      <c r="Q36" s="17">
        <v>5</v>
      </c>
      <c r="R36">
        <v>5</v>
      </c>
      <c r="S36">
        <v>4</v>
      </c>
      <c r="T36">
        <v>1</v>
      </c>
      <c r="U36">
        <v>1</v>
      </c>
      <c r="V36" s="15">
        <f t="shared" ca="1" si="1"/>
        <v>4</v>
      </c>
    </row>
    <row r="37" spans="1:22">
      <c r="A37" t="s">
        <v>1693</v>
      </c>
      <c r="B37" s="1">
        <v>41074.768796296295</v>
      </c>
      <c r="C37" s="2">
        <v>560</v>
      </c>
      <c r="D37">
        <v>6720</v>
      </c>
      <c r="E37" t="s">
        <v>1856</v>
      </c>
      <c r="F37" s="5">
        <v>6720</v>
      </c>
      <c r="G37" s="5">
        <v>6720</v>
      </c>
      <c r="H37" s="5">
        <f ca="1">OFFSET(F37,0,Brains!$D$1,1,1)</f>
        <v>6720</v>
      </c>
      <c r="I37" t="s">
        <v>1694</v>
      </c>
      <c r="J37" t="s">
        <v>1897</v>
      </c>
      <c r="K37" t="s">
        <v>1859</v>
      </c>
      <c r="L37" t="s">
        <v>1859</v>
      </c>
      <c r="M37" s="11" t="s">
        <v>3918</v>
      </c>
      <c r="N37" t="s">
        <v>1860</v>
      </c>
      <c r="O37" s="7" t="s">
        <v>3920</v>
      </c>
      <c r="P37" s="17" t="str">
        <f t="shared" ca="1" si="0"/>
        <v>0-14.9K</v>
      </c>
      <c r="Q37" s="17">
        <v>5</v>
      </c>
      <c r="R37">
        <v>5</v>
      </c>
      <c r="S37">
        <v>4</v>
      </c>
      <c r="T37">
        <v>1</v>
      </c>
      <c r="U37">
        <v>1</v>
      </c>
      <c r="V37" s="15">
        <f t="shared" ca="1" si="1"/>
        <v>1</v>
      </c>
    </row>
    <row r="38" spans="1:22">
      <c r="A38" t="s">
        <v>3646</v>
      </c>
      <c r="B38" s="1">
        <v>41056.001909722225</v>
      </c>
      <c r="C38" s="2">
        <v>85000</v>
      </c>
      <c r="D38">
        <v>85000</v>
      </c>
      <c r="E38" t="s">
        <v>1856</v>
      </c>
      <c r="F38" s="5">
        <v>85000</v>
      </c>
      <c r="G38" s="5">
        <v>85000</v>
      </c>
      <c r="H38" s="5">
        <f ca="1">OFFSET(F38,0,Brains!$D$1,1,1)</f>
        <v>85000</v>
      </c>
      <c r="I38" t="s">
        <v>3647</v>
      </c>
      <c r="J38" t="s">
        <v>1897</v>
      </c>
      <c r="K38" t="s">
        <v>1869</v>
      </c>
      <c r="L38" t="s">
        <v>1869</v>
      </c>
      <c r="M38" t="s">
        <v>3941</v>
      </c>
      <c r="N38" t="s">
        <v>1866</v>
      </c>
      <c r="O38" s="7" t="s">
        <v>3920</v>
      </c>
      <c r="P38" s="17" t="str">
        <f t="shared" ca="1" si="0"/>
        <v>75-99.9K</v>
      </c>
      <c r="Q38" s="17">
        <v>8</v>
      </c>
      <c r="R38">
        <v>1</v>
      </c>
      <c r="S38">
        <v>5</v>
      </c>
      <c r="T38">
        <v>1</v>
      </c>
      <c r="U38">
        <v>1</v>
      </c>
      <c r="V38" s="15">
        <f t="shared" ca="1" si="1"/>
        <v>5</v>
      </c>
    </row>
    <row r="39" spans="1:22">
      <c r="A39" t="s">
        <v>1528</v>
      </c>
      <c r="B39" s="1">
        <v>41068.279537037037</v>
      </c>
      <c r="C39" s="2">
        <v>75000</v>
      </c>
      <c r="D39">
        <v>75000</v>
      </c>
      <c r="E39" t="s">
        <v>1856</v>
      </c>
      <c r="F39" s="5">
        <v>75000</v>
      </c>
      <c r="G39" s="5">
        <v>75000</v>
      </c>
      <c r="H39" s="5">
        <f ca="1">OFFSET(F39,0,Brains!$D$1,1,1)</f>
        <v>75000</v>
      </c>
      <c r="I39" t="s">
        <v>3647</v>
      </c>
      <c r="J39" t="s">
        <v>1897</v>
      </c>
      <c r="K39" t="s">
        <v>1869</v>
      </c>
      <c r="L39" t="s">
        <v>1869</v>
      </c>
      <c r="M39" t="s">
        <v>3941</v>
      </c>
      <c r="N39" t="s">
        <v>1866</v>
      </c>
      <c r="O39" s="7" t="s">
        <v>3920</v>
      </c>
      <c r="P39" s="17" t="str">
        <f t="shared" ca="1" si="0"/>
        <v>75-99.9K</v>
      </c>
      <c r="Q39" s="17">
        <v>8</v>
      </c>
      <c r="R39">
        <v>1</v>
      </c>
      <c r="S39">
        <v>5</v>
      </c>
      <c r="T39">
        <v>1</v>
      </c>
      <c r="U39">
        <v>1</v>
      </c>
      <c r="V39" s="15">
        <f t="shared" ca="1" si="1"/>
        <v>5</v>
      </c>
    </row>
    <row r="40" spans="1:22">
      <c r="A40" t="s">
        <v>64</v>
      </c>
      <c r="B40" s="1">
        <v>41057.437280092592</v>
      </c>
      <c r="C40" s="2" t="s">
        <v>65</v>
      </c>
      <c r="D40">
        <v>45000</v>
      </c>
      <c r="E40" t="s">
        <v>1856</v>
      </c>
      <c r="F40" s="5">
        <v>45000</v>
      </c>
      <c r="G40" s="5">
        <v>45000</v>
      </c>
      <c r="H40" s="5">
        <f ca="1">OFFSET(F40,0,Brains!$D$1,1,1)</f>
        <v>45000</v>
      </c>
      <c r="I40" t="s">
        <v>66</v>
      </c>
      <c r="J40" t="s">
        <v>1897</v>
      </c>
      <c r="K40" t="s">
        <v>1869</v>
      </c>
      <c r="L40" t="s">
        <v>1869</v>
      </c>
      <c r="M40" t="s">
        <v>3941</v>
      </c>
      <c r="N40" t="s">
        <v>1866</v>
      </c>
      <c r="O40" s="7" t="s">
        <v>3920</v>
      </c>
      <c r="P40" s="17" t="str">
        <f t="shared" ca="1" si="0"/>
        <v>30-49.9K</v>
      </c>
      <c r="Q40" s="17">
        <v>8</v>
      </c>
      <c r="R40">
        <v>3</v>
      </c>
      <c r="S40">
        <v>5</v>
      </c>
      <c r="T40">
        <v>1</v>
      </c>
      <c r="U40">
        <v>1</v>
      </c>
      <c r="V40" s="15">
        <f t="shared" ca="1" si="1"/>
        <v>3</v>
      </c>
    </row>
    <row r="41" spans="1:22">
      <c r="A41" t="s">
        <v>485</v>
      </c>
      <c r="B41" s="1">
        <v>41058.008599537039</v>
      </c>
      <c r="C41" s="2">
        <v>23000</v>
      </c>
      <c r="D41">
        <v>23000</v>
      </c>
      <c r="E41" t="s">
        <v>1856</v>
      </c>
      <c r="F41" s="5">
        <v>23000</v>
      </c>
      <c r="G41" s="5">
        <v>23000</v>
      </c>
      <c r="H41" s="5">
        <f ca="1">OFFSET(F41,0,Brains!$D$1,1,1)</f>
        <v>23000</v>
      </c>
      <c r="I41" t="s">
        <v>486</v>
      </c>
      <c r="J41" t="s">
        <v>1897</v>
      </c>
      <c r="K41" t="s">
        <v>2064</v>
      </c>
      <c r="L41" t="s">
        <v>2064</v>
      </c>
      <c r="M41" s="7" t="s">
        <v>3941</v>
      </c>
      <c r="N41" t="s">
        <v>1866</v>
      </c>
      <c r="O41" s="7" t="s">
        <v>3922</v>
      </c>
      <c r="P41" s="17" t="str">
        <f t="shared" ca="1" si="0"/>
        <v>15-29.9K</v>
      </c>
      <c r="Q41" s="17">
        <v>8</v>
      </c>
      <c r="R41">
        <v>14</v>
      </c>
      <c r="S41">
        <v>5</v>
      </c>
      <c r="T41">
        <v>3</v>
      </c>
      <c r="U41">
        <v>1</v>
      </c>
      <c r="V41" s="15">
        <f t="shared" ca="1" si="1"/>
        <v>2</v>
      </c>
    </row>
    <row r="42" spans="1:22">
      <c r="A42" t="s">
        <v>410</v>
      </c>
      <c r="B42" s="1">
        <v>41057.948483796295</v>
      </c>
      <c r="C42" s="2" t="s">
        <v>411</v>
      </c>
      <c r="D42">
        <v>43000</v>
      </c>
      <c r="E42" t="s">
        <v>1954</v>
      </c>
      <c r="F42" s="5">
        <v>67775.665698893223</v>
      </c>
      <c r="G42" s="5">
        <v>63798.219584569728</v>
      </c>
      <c r="H42" s="5">
        <f ca="1">OFFSET(F42,0,Brains!$D$1,1,1)</f>
        <v>63798.219584569728</v>
      </c>
      <c r="I42" t="s">
        <v>412</v>
      </c>
      <c r="J42" t="s">
        <v>1897</v>
      </c>
      <c r="K42" t="s">
        <v>1956</v>
      </c>
      <c r="L42" t="s">
        <v>1956</v>
      </c>
      <c r="M42" s="7" t="s">
        <v>3941</v>
      </c>
      <c r="N42" t="s">
        <v>1866</v>
      </c>
      <c r="O42" s="7" t="s">
        <v>3922</v>
      </c>
      <c r="P42" s="17" t="str">
        <f t="shared" ca="1" si="0"/>
        <v>50-74.9K</v>
      </c>
      <c r="Q42" s="17">
        <v>8</v>
      </c>
      <c r="R42">
        <v>15</v>
      </c>
      <c r="S42">
        <v>5</v>
      </c>
      <c r="T42">
        <v>3</v>
      </c>
      <c r="U42">
        <v>1</v>
      </c>
      <c r="V42" s="15">
        <f t="shared" ca="1" si="1"/>
        <v>4</v>
      </c>
    </row>
    <row r="43" spans="1:22">
      <c r="A43" t="s">
        <v>741</v>
      </c>
      <c r="B43" s="1">
        <v>41058.705358796295</v>
      </c>
      <c r="C43" s="2">
        <v>80000</v>
      </c>
      <c r="D43">
        <v>80000</v>
      </c>
      <c r="E43" t="s">
        <v>3081</v>
      </c>
      <c r="F43" s="5">
        <v>63807.047488395103</v>
      </c>
      <c r="G43" s="5">
        <v>46376.811594202904</v>
      </c>
      <c r="H43" s="5">
        <f ca="1">OFFSET(F43,0,Brains!$D$1,1,1)</f>
        <v>46376.811594202904</v>
      </c>
      <c r="I43" t="s">
        <v>3580</v>
      </c>
      <c r="J43" t="s">
        <v>1897</v>
      </c>
      <c r="K43" t="s">
        <v>742</v>
      </c>
      <c r="L43" t="s">
        <v>3083</v>
      </c>
      <c r="M43" s="7" t="s">
        <v>3941</v>
      </c>
      <c r="N43" t="s">
        <v>1866</v>
      </c>
      <c r="O43" s="7" t="s">
        <v>3922</v>
      </c>
      <c r="P43" s="17" t="str">
        <f t="shared" ca="1" si="0"/>
        <v>30-49.9K</v>
      </c>
      <c r="Q43" s="17">
        <v>8</v>
      </c>
      <c r="R43">
        <v>15</v>
      </c>
      <c r="S43">
        <v>5</v>
      </c>
      <c r="T43">
        <v>3</v>
      </c>
      <c r="U43">
        <v>1</v>
      </c>
      <c r="V43" s="15">
        <f t="shared" ca="1" si="1"/>
        <v>3</v>
      </c>
    </row>
    <row r="44" spans="1:22">
      <c r="A44" t="s">
        <v>1084</v>
      </c>
      <c r="B44" s="1">
        <v>41060.025347222225</v>
      </c>
      <c r="C44" s="2">
        <v>50000</v>
      </c>
      <c r="D44">
        <v>50000</v>
      </c>
      <c r="E44" t="s">
        <v>1880</v>
      </c>
      <c r="F44" s="5">
        <v>63519.971949580387</v>
      </c>
      <c r="G44" s="5">
        <v>62809.967188073148</v>
      </c>
      <c r="H44" s="5">
        <f ca="1">OFFSET(F44,0,Brains!$D$1,1,1)</f>
        <v>62809.967188073148</v>
      </c>
      <c r="I44" t="s">
        <v>3580</v>
      </c>
      <c r="J44" t="s">
        <v>1897</v>
      </c>
      <c r="K44" t="s">
        <v>3511</v>
      </c>
      <c r="L44" t="s">
        <v>471</v>
      </c>
      <c r="M44" s="7" t="s">
        <v>3941</v>
      </c>
      <c r="N44" t="s">
        <v>1866</v>
      </c>
      <c r="O44" s="7" t="s">
        <v>3922</v>
      </c>
      <c r="P44" s="17" t="str">
        <f t="shared" ca="1" si="0"/>
        <v>50-74.9K</v>
      </c>
      <c r="Q44" s="17">
        <v>8</v>
      </c>
      <c r="R44">
        <v>15</v>
      </c>
      <c r="S44">
        <v>5</v>
      </c>
      <c r="T44">
        <v>3</v>
      </c>
      <c r="U44">
        <v>1</v>
      </c>
      <c r="V44" s="15">
        <f t="shared" ca="1" si="1"/>
        <v>4</v>
      </c>
    </row>
    <row r="45" spans="1:22">
      <c r="A45" t="s">
        <v>372</v>
      </c>
      <c r="B45" s="1">
        <v>41057.885011574072</v>
      </c>
      <c r="C45" s="2" t="s">
        <v>373</v>
      </c>
      <c r="D45">
        <v>366252</v>
      </c>
      <c r="E45" t="s">
        <v>2912</v>
      </c>
      <c r="F45" s="5">
        <v>44654.095718350931</v>
      </c>
      <c r="G45" s="5">
        <v>64571.932299012697</v>
      </c>
      <c r="H45" s="5">
        <f ca="1">OFFSET(F45,0,Brains!$D$1,1,1)</f>
        <v>64571.932299012697</v>
      </c>
      <c r="I45" t="s">
        <v>1897</v>
      </c>
      <c r="J45" t="s">
        <v>1897</v>
      </c>
      <c r="K45" t="s">
        <v>1922</v>
      </c>
      <c r="L45" t="s">
        <v>1922</v>
      </c>
      <c r="M45" s="7" t="s">
        <v>3941</v>
      </c>
      <c r="N45" t="s">
        <v>1866</v>
      </c>
      <c r="O45" s="7" t="s">
        <v>3922</v>
      </c>
      <c r="P45" s="17" t="str">
        <f t="shared" ca="1" si="0"/>
        <v>50-74.9K</v>
      </c>
      <c r="Q45" s="17">
        <v>8</v>
      </c>
      <c r="R45">
        <v>15</v>
      </c>
      <c r="S45">
        <v>5</v>
      </c>
      <c r="T45">
        <v>3</v>
      </c>
      <c r="U45">
        <v>1</v>
      </c>
      <c r="V45" s="15">
        <f t="shared" ca="1" si="1"/>
        <v>4</v>
      </c>
    </row>
    <row r="46" spans="1:22">
      <c r="A46" t="s">
        <v>1494</v>
      </c>
      <c r="B46" s="1">
        <v>41067.358923611115</v>
      </c>
      <c r="C46" s="2">
        <v>134000</v>
      </c>
      <c r="D46">
        <v>134000</v>
      </c>
      <c r="E46" t="s">
        <v>1979</v>
      </c>
      <c r="F46" s="5">
        <v>131770.4440860638</v>
      </c>
      <c r="G46" s="5">
        <v>107285.82866293033</v>
      </c>
      <c r="H46" s="5">
        <f ca="1">OFFSET(F46,0,Brains!$D$1,1,1)</f>
        <v>107285.82866293033</v>
      </c>
      <c r="I46" t="s">
        <v>1495</v>
      </c>
      <c r="J46" t="s">
        <v>1897</v>
      </c>
      <c r="K46" t="s">
        <v>1981</v>
      </c>
      <c r="L46" t="s">
        <v>1981</v>
      </c>
      <c r="M46" s="7" t="s">
        <v>3941</v>
      </c>
      <c r="N46" t="s">
        <v>1866</v>
      </c>
      <c r="O46" s="7" t="s">
        <v>3922</v>
      </c>
      <c r="P46" s="17" t="str">
        <f t="shared" ca="1" si="0"/>
        <v>100-149.9K</v>
      </c>
      <c r="Q46" s="17">
        <v>8</v>
      </c>
      <c r="R46">
        <v>20</v>
      </c>
      <c r="S46">
        <v>5</v>
      </c>
      <c r="T46">
        <v>3</v>
      </c>
      <c r="U46">
        <v>1</v>
      </c>
      <c r="V46" s="15">
        <f t="shared" ca="1" si="1"/>
        <v>6</v>
      </c>
    </row>
    <row r="47" spans="1:22">
      <c r="A47" t="s">
        <v>3498</v>
      </c>
      <c r="B47" s="1">
        <v>41055.741087962961</v>
      </c>
      <c r="C47" s="2" t="s">
        <v>3499</v>
      </c>
      <c r="D47">
        <v>19068</v>
      </c>
      <c r="E47" t="s">
        <v>1856</v>
      </c>
      <c r="F47" s="5">
        <v>19068</v>
      </c>
      <c r="G47" s="5">
        <v>19068</v>
      </c>
      <c r="H47" s="5">
        <f ca="1">OFFSET(F47,0,Brains!$D$1,1,1)</f>
        <v>19068</v>
      </c>
      <c r="I47" t="s">
        <v>3500</v>
      </c>
      <c r="J47" t="s">
        <v>1897</v>
      </c>
      <c r="K47" t="s">
        <v>2469</v>
      </c>
      <c r="L47" t="s">
        <v>2469</v>
      </c>
      <c r="M47" s="7" t="s">
        <v>3941</v>
      </c>
      <c r="N47" t="s">
        <v>1866</v>
      </c>
      <c r="O47" s="7" t="s">
        <v>3922</v>
      </c>
      <c r="P47" s="17" t="str">
        <f t="shared" ca="1" si="0"/>
        <v>15-29.9K</v>
      </c>
      <c r="Q47" s="17">
        <v>8</v>
      </c>
      <c r="R47">
        <v>20</v>
      </c>
      <c r="S47">
        <v>5</v>
      </c>
      <c r="T47">
        <v>3</v>
      </c>
      <c r="U47">
        <v>1</v>
      </c>
      <c r="V47" s="15">
        <f t="shared" ca="1" si="1"/>
        <v>2</v>
      </c>
    </row>
    <row r="48" spans="1:22">
      <c r="A48" t="s">
        <v>251</v>
      </c>
      <c r="B48" s="1">
        <v>41057.674212962964</v>
      </c>
      <c r="C48" s="2" t="s">
        <v>3145</v>
      </c>
      <c r="D48">
        <v>240000</v>
      </c>
      <c r="E48" t="s">
        <v>1908</v>
      </c>
      <c r="F48" s="5">
        <v>4273.9000049862161</v>
      </c>
      <c r="G48" s="5">
        <v>11951.000896325068</v>
      </c>
      <c r="H48" s="5">
        <f ca="1">OFFSET(F48,0,Brains!$D$1,1,1)</f>
        <v>11951.000896325068</v>
      </c>
      <c r="I48" t="s">
        <v>1897</v>
      </c>
      <c r="J48" t="s">
        <v>1897</v>
      </c>
      <c r="K48" t="s">
        <v>1859</v>
      </c>
      <c r="L48" t="s">
        <v>1859</v>
      </c>
      <c r="M48" s="7" t="s">
        <v>3941</v>
      </c>
      <c r="N48" t="s">
        <v>1866</v>
      </c>
      <c r="O48" s="7" t="s">
        <v>3922</v>
      </c>
      <c r="P48" s="17" t="str">
        <f t="shared" ca="1" si="0"/>
        <v>0-14.9K</v>
      </c>
      <c r="Q48" s="17">
        <v>8</v>
      </c>
      <c r="R48">
        <v>20</v>
      </c>
      <c r="S48">
        <v>5</v>
      </c>
      <c r="T48">
        <v>3</v>
      </c>
      <c r="U48">
        <v>1</v>
      </c>
      <c r="V48" s="15">
        <f t="shared" ca="1" si="1"/>
        <v>1</v>
      </c>
    </row>
    <row r="49" spans="1:22">
      <c r="A49" t="s">
        <v>3340</v>
      </c>
      <c r="B49" s="1">
        <v>41055.571076388886</v>
      </c>
      <c r="C49" s="2">
        <v>180000</v>
      </c>
      <c r="D49">
        <v>180000</v>
      </c>
      <c r="E49" t="s">
        <v>1908</v>
      </c>
      <c r="F49" s="5">
        <v>3205.4250037396623</v>
      </c>
      <c r="G49" s="5">
        <v>8963.2506722437993</v>
      </c>
      <c r="H49" s="5">
        <f ca="1">OFFSET(F49,0,Brains!$D$1,1,1)</f>
        <v>8963.2506722437993</v>
      </c>
      <c r="I49" t="s">
        <v>3341</v>
      </c>
      <c r="J49" t="s">
        <v>1897</v>
      </c>
      <c r="K49" t="s">
        <v>1859</v>
      </c>
      <c r="L49" t="s">
        <v>1859</v>
      </c>
      <c r="M49" s="11" t="s">
        <v>3917</v>
      </c>
      <c r="N49" t="s">
        <v>1873</v>
      </c>
      <c r="O49" s="7" t="s">
        <v>3922</v>
      </c>
      <c r="P49" s="17" t="str">
        <f t="shared" ca="1" si="0"/>
        <v>0-14.9K</v>
      </c>
      <c r="Q49" s="17">
        <v>2.5</v>
      </c>
      <c r="R49">
        <v>14</v>
      </c>
      <c r="S49">
        <v>3</v>
      </c>
      <c r="T49">
        <v>3</v>
      </c>
      <c r="U49">
        <v>1</v>
      </c>
      <c r="V49" s="15">
        <f t="shared" ca="1" si="1"/>
        <v>1</v>
      </c>
    </row>
    <row r="50" spans="1:22">
      <c r="A50" t="s">
        <v>506</v>
      </c>
      <c r="B50" s="1">
        <v>41058.043969907405</v>
      </c>
      <c r="C50" s="2" t="s">
        <v>507</v>
      </c>
      <c r="D50">
        <v>40000</v>
      </c>
      <c r="E50" t="s">
        <v>1856</v>
      </c>
      <c r="F50" s="5">
        <v>40000</v>
      </c>
      <c r="G50" s="5">
        <v>40000</v>
      </c>
      <c r="H50" s="5">
        <f ca="1">OFFSET(F50,0,Brains!$D$1,1,1)</f>
        <v>40000</v>
      </c>
      <c r="I50" t="s">
        <v>508</v>
      </c>
      <c r="J50" t="s">
        <v>1897</v>
      </c>
      <c r="K50" t="s">
        <v>1869</v>
      </c>
      <c r="L50" t="s">
        <v>1869</v>
      </c>
      <c r="M50" s="11" t="s">
        <v>3917</v>
      </c>
      <c r="N50" t="s">
        <v>1873</v>
      </c>
      <c r="O50" s="7" t="s">
        <v>3922</v>
      </c>
      <c r="P50" s="17" t="str">
        <f t="shared" ca="1" si="0"/>
        <v>30-49.9K</v>
      </c>
      <c r="Q50" s="17">
        <v>2.5</v>
      </c>
      <c r="R50">
        <v>15</v>
      </c>
      <c r="S50">
        <v>3</v>
      </c>
      <c r="T50">
        <v>3</v>
      </c>
      <c r="U50">
        <v>1</v>
      </c>
      <c r="V50" s="15">
        <f t="shared" ca="1" si="1"/>
        <v>3</v>
      </c>
    </row>
    <row r="51" spans="1:22">
      <c r="A51" t="s">
        <v>3281</v>
      </c>
      <c r="B51" s="1">
        <v>41055.537303240744</v>
      </c>
      <c r="C51" s="2" t="s">
        <v>3282</v>
      </c>
      <c r="D51">
        <v>24000</v>
      </c>
      <c r="E51" t="s">
        <v>1856</v>
      </c>
      <c r="F51" s="5">
        <v>24000</v>
      </c>
      <c r="G51" s="5">
        <v>24000</v>
      </c>
      <c r="H51" s="5">
        <f ca="1">OFFSET(F51,0,Brains!$D$1,1,1)</f>
        <v>24000</v>
      </c>
      <c r="I51" t="s">
        <v>1897</v>
      </c>
      <c r="J51" t="s">
        <v>1897</v>
      </c>
      <c r="K51" t="s">
        <v>2143</v>
      </c>
      <c r="L51" t="s">
        <v>2143</v>
      </c>
      <c r="M51" s="11" t="s">
        <v>3917</v>
      </c>
      <c r="N51" t="s">
        <v>1873</v>
      </c>
      <c r="O51" s="7" t="s">
        <v>3922</v>
      </c>
      <c r="P51" s="17" t="str">
        <f t="shared" ca="1" si="0"/>
        <v>15-29.9K</v>
      </c>
      <c r="Q51" s="17">
        <v>2.5</v>
      </c>
      <c r="R51">
        <v>15</v>
      </c>
      <c r="S51">
        <v>3</v>
      </c>
      <c r="T51">
        <v>3</v>
      </c>
      <c r="U51">
        <v>1</v>
      </c>
      <c r="V51" s="15">
        <f t="shared" ca="1" si="1"/>
        <v>2</v>
      </c>
    </row>
    <row r="52" spans="1:22">
      <c r="A52" t="s">
        <v>157</v>
      </c>
      <c r="B52" s="1">
        <v>41057.583981481483</v>
      </c>
      <c r="C52" s="2">
        <v>194</v>
      </c>
      <c r="D52">
        <v>2400</v>
      </c>
      <c r="E52" t="s">
        <v>1856</v>
      </c>
      <c r="F52" s="5">
        <v>2400</v>
      </c>
      <c r="G52" s="5">
        <v>2400</v>
      </c>
      <c r="H52" s="5">
        <f ca="1">OFFSET(F52,0,Brains!$D$1,1,1)</f>
        <v>2400</v>
      </c>
      <c r="I52" t="s">
        <v>3253</v>
      </c>
      <c r="J52" t="s">
        <v>1897</v>
      </c>
      <c r="K52" t="s">
        <v>1872</v>
      </c>
      <c r="L52" t="s">
        <v>1872</v>
      </c>
      <c r="M52" s="11" t="s">
        <v>3917</v>
      </c>
      <c r="N52" t="s">
        <v>1873</v>
      </c>
      <c r="O52" s="7" t="s">
        <v>3922</v>
      </c>
      <c r="P52" s="17" t="str">
        <f t="shared" ca="1" si="0"/>
        <v>0-14.9K</v>
      </c>
      <c r="Q52" s="17">
        <v>2.5</v>
      </c>
      <c r="R52">
        <v>15</v>
      </c>
      <c r="S52">
        <v>3</v>
      </c>
      <c r="T52">
        <v>3</v>
      </c>
      <c r="U52">
        <v>1</v>
      </c>
      <c r="V52" s="15">
        <f t="shared" ca="1" si="1"/>
        <v>1</v>
      </c>
    </row>
    <row r="53" spans="1:22">
      <c r="A53" t="s">
        <v>174</v>
      </c>
      <c r="B53" s="1">
        <v>41057.604224537034</v>
      </c>
      <c r="C53" s="2" t="s">
        <v>175</v>
      </c>
      <c r="D53">
        <v>240000</v>
      </c>
      <c r="E53" t="s">
        <v>2912</v>
      </c>
      <c r="F53" s="5">
        <v>29261.227167098674</v>
      </c>
      <c r="G53" s="5">
        <v>42313.11706629055</v>
      </c>
      <c r="H53" s="5">
        <f ca="1">OFFSET(F53,0,Brains!$D$1,1,1)</f>
        <v>42313.11706629055</v>
      </c>
      <c r="I53" t="s">
        <v>176</v>
      </c>
      <c r="J53" t="s">
        <v>1897</v>
      </c>
      <c r="K53" t="s">
        <v>1922</v>
      </c>
      <c r="L53" t="s">
        <v>1922</v>
      </c>
      <c r="M53" s="11" t="s">
        <v>3917</v>
      </c>
      <c r="N53" t="s">
        <v>1873</v>
      </c>
      <c r="O53" s="7" t="s">
        <v>3922</v>
      </c>
      <c r="P53" s="17" t="str">
        <f t="shared" ca="1" si="0"/>
        <v>30-49.9K</v>
      </c>
      <c r="Q53" s="17">
        <v>2.5</v>
      </c>
      <c r="R53">
        <v>20</v>
      </c>
      <c r="S53">
        <v>3</v>
      </c>
      <c r="T53">
        <v>3</v>
      </c>
      <c r="U53">
        <v>1</v>
      </c>
      <c r="V53" s="15">
        <f t="shared" ca="1" si="1"/>
        <v>3</v>
      </c>
    </row>
    <row r="54" spans="1:22">
      <c r="A54" t="s">
        <v>1117</v>
      </c>
      <c r="B54" s="1">
        <v>41060.394502314812</v>
      </c>
      <c r="C54" s="2">
        <v>38000</v>
      </c>
      <c r="D54">
        <v>38000</v>
      </c>
      <c r="E54" t="s">
        <v>1856</v>
      </c>
      <c r="F54" s="5">
        <v>38000</v>
      </c>
      <c r="G54" s="5">
        <v>38000</v>
      </c>
      <c r="H54" s="5">
        <f ca="1">OFFSET(F54,0,Brains!$D$1,1,1)</f>
        <v>38000</v>
      </c>
      <c r="I54" t="s">
        <v>1897</v>
      </c>
      <c r="J54" t="s">
        <v>1897</v>
      </c>
      <c r="K54" t="s">
        <v>1869</v>
      </c>
      <c r="L54" t="s">
        <v>1869</v>
      </c>
      <c r="M54" s="11" t="s">
        <v>3918</v>
      </c>
      <c r="N54" t="s">
        <v>1860</v>
      </c>
      <c r="O54" s="7" t="s">
        <v>3922</v>
      </c>
      <c r="P54" s="17" t="str">
        <f t="shared" ca="1" si="0"/>
        <v>30-49.9K</v>
      </c>
      <c r="Q54" s="17">
        <v>5</v>
      </c>
      <c r="R54">
        <v>11</v>
      </c>
      <c r="S54">
        <v>4</v>
      </c>
      <c r="T54">
        <v>3</v>
      </c>
      <c r="U54">
        <v>1</v>
      </c>
      <c r="V54" s="15">
        <f t="shared" ca="1" si="1"/>
        <v>3</v>
      </c>
    </row>
    <row r="55" spans="1:22">
      <c r="A55" t="s">
        <v>659</v>
      </c>
      <c r="B55" s="1">
        <v>41058.55228009259</v>
      </c>
      <c r="C55" s="2">
        <v>140000</v>
      </c>
      <c r="D55">
        <v>140000</v>
      </c>
      <c r="E55" t="s">
        <v>1856</v>
      </c>
      <c r="F55" s="5">
        <v>140000</v>
      </c>
      <c r="G55" s="5">
        <v>140000</v>
      </c>
      <c r="H55" s="5">
        <f ca="1">OFFSET(F55,0,Brains!$D$1,1,1)</f>
        <v>140000</v>
      </c>
      <c r="I55" t="s">
        <v>1983</v>
      </c>
      <c r="J55" t="s">
        <v>1897</v>
      </c>
      <c r="K55" t="s">
        <v>1869</v>
      </c>
      <c r="L55" t="s">
        <v>1869</v>
      </c>
      <c r="M55" s="11" t="s">
        <v>3918</v>
      </c>
      <c r="N55" t="s">
        <v>1860</v>
      </c>
      <c r="O55" s="7" t="s">
        <v>3922</v>
      </c>
      <c r="P55" s="17" t="str">
        <f t="shared" ca="1" si="0"/>
        <v>100-149.9K</v>
      </c>
      <c r="Q55" s="17">
        <v>5</v>
      </c>
      <c r="R55">
        <v>12</v>
      </c>
      <c r="S55">
        <v>4</v>
      </c>
      <c r="T55">
        <v>3</v>
      </c>
      <c r="U55">
        <v>1</v>
      </c>
      <c r="V55" s="15">
        <f t="shared" ca="1" si="1"/>
        <v>6</v>
      </c>
    </row>
    <row r="56" spans="1:22">
      <c r="A56" t="s">
        <v>602</v>
      </c>
      <c r="B56" s="1">
        <v>41058.374780092592</v>
      </c>
      <c r="C56" s="2">
        <v>107000</v>
      </c>
      <c r="D56">
        <v>107000</v>
      </c>
      <c r="E56" t="s">
        <v>1856</v>
      </c>
      <c r="F56" s="5">
        <v>107000</v>
      </c>
      <c r="G56" s="5">
        <v>107000</v>
      </c>
      <c r="H56" s="5">
        <f ca="1">OFFSET(F56,0,Brains!$D$1,1,1)</f>
        <v>107000</v>
      </c>
      <c r="I56" t="s">
        <v>603</v>
      </c>
      <c r="J56" t="s">
        <v>1897</v>
      </c>
      <c r="K56" t="s">
        <v>1869</v>
      </c>
      <c r="L56" t="s">
        <v>1869</v>
      </c>
      <c r="M56" s="11" t="s">
        <v>3918</v>
      </c>
      <c r="N56" t="s">
        <v>1860</v>
      </c>
      <c r="O56" s="7" t="s">
        <v>3922</v>
      </c>
      <c r="P56" s="17" t="str">
        <f t="shared" ca="1" si="0"/>
        <v>100-149.9K</v>
      </c>
      <c r="Q56" s="17">
        <v>5</v>
      </c>
      <c r="R56">
        <v>12</v>
      </c>
      <c r="S56">
        <v>4</v>
      </c>
      <c r="T56">
        <v>3</v>
      </c>
      <c r="U56">
        <v>1</v>
      </c>
      <c r="V56" s="15">
        <f t="shared" ca="1" si="1"/>
        <v>6</v>
      </c>
    </row>
    <row r="57" spans="1:22">
      <c r="A57" t="s">
        <v>1098</v>
      </c>
      <c r="B57" s="1">
        <v>41060.100428240738</v>
      </c>
      <c r="C57" s="2">
        <v>64300</v>
      </c>
      <c r="D57">
        <v>64300</v>
      </c>
      <c r="E57" t="s">
        <v>1856</v>
      </c>
      <c r="F57" s="5">
        <v>64300</v>
      </c>
      <c r="G57" s="5">
        <v>64300</v>
      </c>
      <c r="H57" s="5">
        <f ca="1">OFFSET(F57,0,Brains!$D$1,1,1)</f>
        <v>64300</v>
      </c>
      <c r="I57" t="s">
        <v>1099</v>
      </c>
      <c r="J57" t="s">
        <v>1897</v>
      </c>
      <c r="K57" t="s">
        <v>1869</v>
      </c>
      <c r="L57" t="s">
        <v>1869</v>
      </c>
      <c r="M57" s="11" t="s">
        <v>3918</v>
      </c>
      <c r="N57" t="s">
        <v>1860</v>
      </c>
      <c r="O57" s="7" t="s">
        <v>3922</v>
      </c>
      <c r="P57" s="17" t="str">
        <f t="shared" ca="1" si="0"/>
        <v>50-74.9K</v>
      </c>
      <c r="Q57" s="17">
        <v>5</v>
      </c>
      <c r="R57">
        <v>15</v>
      </c>
      <c r="S57">
        <v>4</v>
      </c>
      <c r="T57">
        <v>3</v>
      </c>
      <c r="U57">
        <v>1</v>
      </c>
      <c r="V57" s="15">
        <f t="shared" ca="1" si="1"/>
        <v>4</v>
      </c>
    </row>
    <row r="58" spans="1:22">
      <c r="A58" t="s">
        <v>905</v>
      </c>
      <c r="B58" s="1">
        <v>41059.015601851854</v>
      </c>
      <c r="C58" s="2">
        <v>50000</v>
      </c>
      <c r="D58">
        <v>50000</v>
      </c>
      <c r="E58" t="s">
        <v>1856</v>
      </c>
      <c r="F58" s="5">
        <v>50000</v>
      </c>
      <c r="G58" s="5">
        <v>50000</v>
      </c>
      <c r="H58" s="5">
        <f ca="1">OFFSET(F58,0,Brains!$D$1,1,1)</f>
        <v>50000</v>
      </c>
      <c r="I58" t="s">
        <v>906</v>
      </c>
      <c r="J58" t="s">
        <v>1897</v>
      </c>
      <c r="K58" t="s">
        <v>1869</v>
      </c>
      <c r="L58" t="s">
        <v>1869</v>
      </c>
      <c r="M58" s="11" t="s">
        <v>3918</v>
      </c>
      <c r="N58" t="s">
        <v>1860</v>
      </c>
      <c r="O58" s="7" t="s">
        <v>3922</v>
      </c>
      <c r="P58" s="17" t="str">
        <f t="shared" ca="1" si="0"/>
        <v>50-74.9K</v>
      </c>
      <c r="Q58" s="17">
        <v>5</v>
      </c>
      <c r="R58">
        <v>15</v>
      </c>
      <c r="S58">
        <v>4</v>
      </c>
      <c r="T58">
        <v>3</v>
      </c>
      <c r="U58">
        <v>1</v>
      </c>
      <c r="V58" s="15">
        <f t="shared" ca="1" si="1"/>
        <v>4</v>
      </c>
    </row>
    <row r="59" spans="1:22">
      <c r="A59" t="s">
        <v>1224</v>
      </c>
      <c r="B59" s="1">
        <v>41061.262025462966</v>
      </c>
      <c r="C59" s="2">
        <v>50000</v>
      </c>
      <c r="D59">
        <v>50000</v>
      </c>
      <c r="E59" t="s">
        <v>1856</v>
      </c>
      <c r="F59" s="5">
        <v>50000</v>
      </c>
      <c r="G59" s="5">
        <v>50000</v>
      </c>
      <c r="H59" s="5">
        <f ca="1">OFFSET(F59,0,Brains!$D$1,1,1)</f>
        <v>50000</v>
      </c>
      <c r="I59" t="s">
        <v>508</v>
      </c>
      <c r="J59" t="s">
        <v>1897</v>
      </c>
      <c r="K59" t="s">
        <v>1869</v>
      </c>
      <c r="L59" t="s">
        <v>1869</v>
      </c>
      <c r="M59" s="11" t="s">
        <v>3918</v>
      </c>
      <c r="N59" t="s">
        <v>1860</v>
      </c>
      <c r="O59" s="7" t="s">
        <v>3922</v>
      </c>
      <c r="P59" s="17" t="str">
        <f t="shared" ca="1" si="0"/>
        <v>50-74.9K</v>
      </c>
      <c r="Q59" s="17">
        <v>5</v>
      </c>
      <c r="R59">
        <v>15</v>
      </c>
      <c r="S59">
        <v>4</v>
      </c>
      <c r="T59">
        <v>3</v>
      </c>
      <c r="U59">
        <v>1</v>
      </c>
      <c r="V59" s="15">
        <f t="shared" ca="1" si="1"/>
        <v>4</v>
      </c>
    </row>
    <row r="60" spans="1:22">
      <c r="A60" t="s">
        <v>3756</v>
      </c>
      <c r="B60" s="1">
        <v>41056.573460648149</v>
      </c>
      <c r="C60" s="2">
        <v>36500</v>
      </c>
      <c r="D60">
        <v>36500</v>
      </c>
      <c r="E60" t="s">
        <v>1856</v>
      </c>
      <c r="F60" s="5">
        <v>36500</v>
      </c>
      <c r="G60" s="5">
        <v>36500</v>
      </c>
      <c r="H60" s="5">
        <f ca="1">OFFSET(F60,0,Brains!$D$1,1,1)</f>
        <v>36500</v>
      </c>
      <c r="I60" t="s">
        <v>1897</v>
      </c>
      <c r="J60" t="s">
        <v>1897</v>
      </c>
      <c r="K60" t="s">
        <v>2064</v>
      </c>
      <c r="L60" t="s">
        <v>2064</v>
      </c>
      <c r="M60" s="11" t="s">
        <v>3918</v>
      </c>
      <c r="N60" t="s">
        <v>1860</v>
      </c>
      <c r="O60" s="7" t="s">
        <v>3922</v>
      </c>
      <c r="P60" s="17" t="str">
        <f t="shared" ca="1" si="0"/>
        <v>30-49.9K</v>
      </c>
      <c r="Q60" s="17">
        <v>5</v>
      </c>
      <c r="R60">
        <v>15</v>
      </c>
      <c r="S60">
        <v>4</v>
      </c>
      <c r="T60">
        <v>3</v>
      </c>
      <c r="U60">
        <v>1</v>
      </c>
      <c r="V60" s="15">
        <f t="shared" ca="1" si="1"/>
        <v>3</v>
      </c>
    </row>
    <row r="61" spans="1:22">
      <c r="A61" t="s">
        <v>1570</v>
      </c>
      <c r="B61" s="1">
        <v>41070.075509259259</v>
      </c>
      <c r="C61" s="2">
        <v>1400</v>
      </c>
      <c r="D61">
        <v>16800</v>
      </c>
      <c r="E61" t="s">
        <v>1880</v>
      </c>
      <c r="F61" s="5">
        <v>21342.710575059013</v>
      </c>
      <c r="G61" s="5">
        <v>21104.148975192576</v>
      </c>
      <c r="H61" s="5">
        <f ca="1">OFFSET(F61,0,Brains!$D$1,1,1)</f>
        <v>21104.148975192576</v>
      </c>
      <c r="I61" t="s">
        <v>1571</v>
      </c>
      <c r="J61" t="s">
        <v>1897</v>
      </c>
      <c r="K61" t="s">
        <v>3665</v>
      </c>
      <c r="L61" t="s">
        <v>1892</v>
      </c>
      <c r="M61" s="11" t="s">
        <v>3918</v>
      </c>
      <c r="N61" t="s">
        <v>1860</v>
      </c>
      <c r="O61" s="7" t="s">
        <v>3922</v>
      </c>
      <c r="P61" s="17" t="str">
        <f t="shared" ca="1" si="0"/>
        <v>15-29.9K</v>
      </c>
      <c r="Q61" s="17">
        <v>5</v>
      </c>
      <c r="R61">
        <v>15</v>
      </c>
      <c r="S61">
        <v>4</v>
      </c>
      <c r="T61">
        <v>3</v>
      </c>
      <c r="U61">
        <v>1</v>
      </c>
      <c r="V61" s="15">
        <f t="shared" ca="1" si="1"/>
        <v>2</v>
      </c>
    </row>
    <row r="62" spans="1:22">
      <c r="A62" t="s">
        <v>1667</v>
      </c>
      <c r="B62" s="1">
        <v>41073.263472222221</v>
      </c>
      <c r="C62" s="2">
        <v>120000</v>
      </c>
      <c r="D62">
        <v>120000</v>
      </c>
      <c r="E62" t="s">
        <v>1856</v>
      </c>
      <c r="F62" s="5">
        <v>120000</v>
      </c>
      <c r="G62" s="5">
        <v>120000</v>
      </c>
      <c r="H62" s="5">
        <f ca="1">OFFSET(F62,0,Brains!$D$1,1,1)</f>
        <v>120000</v>
      </c>
      <c r="I62" t="s">
        <v>1668</v>
      </c>
      <c r="J62" t="s">
        <v>1897</v>
      </c>
      <c r="K62" t="s">
        <v>1869</v>
      </c>
      <c r="L62" t="s">
        <v>1869</v>
      </c>
      <c r="M62" s="11" t="s">
        <v>3918</v>
      </c>
      <c r="N62" t="s">
        <v>1860</v>
      </c>
      <c r="O62" s="7" t="s">
        <v>3922</v>
      </c>
      <c r="P62" s="17" t="str">
        <f t="shared" ca="1" si="0"/>
        <v>100-149.9K</v>
      </c>
      <c r="Q62" s="17">
        <v>5</v>
      </c>
      <c r="R62">
        <v>20</v>
      </c>
      <c r="S62">
        <v>4</v>
      </c>
      <c r="T62">
        <v>3</v>
      </c>
      <c r="U62">
        <v>1</v>
      </c>
      <c r="V62" s="15">
        <f t="shared" ca="1" si="1"/>
        <v>6</v>
      </c>
    </row>
    <row r="63" spans="1:22">
      <c r="A63" t="s">
        <v>1530</v>
      </c>
      <c r="B63" s="1">
        <v>41068.407627314817</v>
      </c>
      <c r="C63" s="2">
        <v>85000</v>
      </c>
      <c r="D63">
        <v>85000</v>
      </c>
      <c r="E63" t="s">
        <v>1856</v>
      </c>
      <c r="F63" s="5">
        <v>85000</v>
      </c>
      <c r="G63" s="5">
        <v>85000</v>
      </c>
      <c r="H63" s="5">
        <f ca="1">OFFSET(F63,0,Brains!$D$1,1,1)</f>
        <v>85000</v>
      </c>
      <c r="I63" t="s">
        <v>2166</v>
      </c>
      <c r="J63" t="s">
        <v>1897</v>
      </c>
      <c r="K63" t="s">
        <v>1869</v>
      </c>
      <c r="L63" t="s">
        <v>1869</v>
      </c>
      <c r="M63" s="11" t="s">
        <v>3918</v>
      </c>
      <c r="N63" t="s">
        <v>1860</v>
      </c>
      <c r="O63" s="7" t="s">
        <v>3922</v>
      </c>
      <c r="P63" s="17" t="str">
        <f t="shared" ca="1" si="0"/>
        <v>75-99.9K</v>
      </c>
      <c r="Q63" s="17">
        <v>5</v>
      </c>
      <c r="R63">
        <v>20</v>
      </c>
      <c r="S63">
        <v>4</v>
      </c>
      <c r="T63">
        <v>3</v>
      </c>
      <c r="U63">
        <v>1</v>
      </c>
      <c r="V63" s="15">
        <f t="shared" ca="1" si="1"/>
        <v>5</v>
      </c>
    </row>
    <row r="64" spans="1:22">
      <c r="A64" t="s">
        <v>3</v>
      </c>
      <c r="B64" s="1">
        <v>41057.291956018518</v>
      </c>
      <c r="C64" s="2">
        <v>95000</v>
      </c>
      <c r="D64">
        <v>95000</v>
      </c>
      <c r="E64" t="s">
        <v>3081</v>
      </c>
      <c r="F64" s="5">
        <v>75770.868892469181</v>
      </c>
      <c r="G64" s="5">
        <v>55072.463768115944</v>
      </c>
      <c r="H64" s="5">
        <f ca="1">OFFSET(F64,0,Brains!$D$1,1,1)</f>
        <v>55072.463768115944</v>
      </c>
      <c r="I64" t="s">
        <v>3350</v>
      </c>
      <c r="J64" t="s">
        <v>1897</v>
      </c>
      <c r="K64" t="s">
        <v>3083</v>
      </c>
      <c r="L64" t="s">
        <v>3083</v>
      </c>
      <c r="M64" s="11" t="s">
        <v>3918</v>
      </c>
      <c r="N64" t="s">
        <v>1860</v>
      </c>
      <c r="O64" s="7" t="s">
        <v>3922</v>
      </c>
      <c r="P64" s="17" t="str">
        <f t="shared" ca="1" si="0"/>
        <v>50-74.9K</v>
      </c>
      <c r="Q64" s="17">
        <v>5</v>
      </c>
      <c r="R64">
        <v>20</v>
      </c>
      <c r="S64">
        <v>4</v>
      </c>
      <c r="T64">
        <v>3</v>
      </c>
      <c r="U64">
        <v>1</v>
      </c>
      <c r="V64" s="15">
        <f t="shared" ca="1" si="1"/>
        <v>4</v>
      </c>
    </row>
    <row r="65" spans="1:22">
      <c r="A65" t="s">
        <v>467</v>
      </c>
      <c r="B65" s="1">
        <v>41057.991087962961</v>
      </c>
      <c r="C65" s="2">
        <v>19000</v>
      </c>
      <c r="D65">
        <v>19000</v>
      </c>
      <c r="E65" t="s">
        <v>1856</v>
      </c>
      <c r="F65" s="5">
        <v>19000</v>
      </c>
      <c r="G65" s="5">
        <v>19000</v>
      </c>
      <c r="H65" s="5">
        <f ca="1">OFFSET(F65,0,Brains!$D$1,1,1)</f>
        <v>19000</v>
      </c>
      <c r="I65" t="s">
        <v>1897</v>
      </c>
      <c r="J65" t="s">
        <v>1897</v>
      </c>
      <c r="K65" t="s">
        <v>1956</v>
      </c>
      <c r="L65" t="s">
        <v>1956</v>
      </c>
      <c r="M65" s="11" t="s">
        <v>3918</v>
      </c>
      <c r="N65" t="s">
        <v>1860</v>
      </c>
      <c r="O65" s="7" t="s">
        <v>3922</v>
      </c>
      <c r="P65" s="17" t="str">
        <f t="shared" ca="1" si="0"/>
        <v>15-29.9K</v>
      </c>
      <c r="Q65" s="17">
        <v>5</v>
      </c>
      <c r="R65">
        <v>20</v>
      </c>
      <c r="S65">
        <v>4</v>
      </c>
      <c r="T65">
        <v>3</v>
      </c>
      <c r="U65">
        <v>1</v>
      </c>
      <c r="V65" s="15">
        <f t="shared" ca="1" si="1"/>
        <v>2</v>
      </c>
    </row>
    <row r="66" spans="1:22">
      <c r="A66" t="s">
        <v>578</v>
      </c>
      <c r="B66" s="1">
        <v>41058.267083333332</v>
      </c>
      <c r="C66" s="2">
        <v>63000</v>
      </c>
      <c r="D66">
        <v>63000</v>
      </c>
      <c r="E66" t="s">
        <v>1856</v>
      </c>
      <c r="F66" s="5">
        <v>63000</v>
      </c>
      <c r="G66" s="5">
        <v>63000</v>
      </c>
      <c r="H66" s="5">
        <f ca="1">OFFSET(F66,0,Brains!$D$1,1,1)</f>
        <v>63000</v>
      </c>
      <c r="I66" t="s">
        <v>2292</v>
      </c>
      <c r="J66" t="s">
        <v>1897</v>
      </c>
      <c r="K66" t="s">
        <v>1869</v>
      </c>
      <c r="L66" t="s">
        <v>1869</v>
      </c>
      <c r="M66" t="s">
        <v>3941</v>
      </c>
      <c r="N66" t="s">
        <v>1866</v>
      </c>
      <c r="O66" s="7" t="s">
        <v>3922</v>
      </c>
      <c r="P66" s="17" t="str">
        <f t="shared" ref="P66:P129" ca="1" si="2">IF(H66&lt;15000,"0-14.9K",IF(H66&lt;30000,"15-29.9K",IF(H66&lt;50000,"30-49.9K",IF(H66&lt;75000,"50-74.9K",IF(H66&lt;100000,"75-99.9K",IF(H66&lt;150000,"100-149.9K",IF(H66&lt;250000,"150-249.9K","250K+")))))))</f>
        <v>50-74.9K</v>
      </c>
      <c r="Q66" s="17">
        <v>8</v>
      </c>
      <c r="R66">
        <v>16</v>
      </c>
      <c r="S66">
        <v>5</v>
      </c>
      <c r="T66">
        <v>3</v>
      </c>
      <c r="U66">
        <v>1</v>
      </c>
      <c r="V66" s="15">
        <f t="shared" ref="V66:V129" ca="1" si="3">IF(H66&lt;15000,1,IF(H66&lt;30000,2,IF(H66&lt;50000,3,IF(H66&lt;75000,4,IF(H66&lt;100000,5,IF(H66&lt;150000,6,IF(H66&lt;250000,7,8)))))))</f>
        <v>4</v>
      </c>
    </row>
    <row r="67" spans="1:22">
      <c r="A67" t="s">
        <v>523</v>
      </c>
      <c r="B67" s="1">
        <v>41058.073067129626</v>
      </c>
      <c r="C67" s="2">
        <v>4100</v>
      </c>
      <c r="D67">
        <v>49200</v>
      </c>
      <c r="E67" t="s">
        <v>1856</v>
      </c>
      <c r="F67" s="5">
        <v>49200</v>
      </c>
      <c r="G67" s="5">
        <v>49200</v>
      </c>
      <c r="H67" s="5">
        <f ca="1">OFFSET(F67,0,Brains!$D$1,1,1)</f>
        <v>49200</v>
      </c>
      <c r="I67" t="s">
        <v>486</v>
      </c>
      <c r="J67" t="s">
        <v>1897</v>
      </c>
      <c r="K67" t="s">
        <v>524</v>
      </c>
      <c r="L67" t="s">
        <v>3726</v>
      </c>
      <c r="M67" s="11" t="s">
        <v>3917</v>
      </c>
      <c r="N67" t="s">
        <v>1873</v>
      </c>
      <c r="O67" s="7" t="s">
        <v>3923</v>
      </c>
      <c r="P67" s="17" t="str">
        <f t="shared" ca="1" si="2"/>
        <v>30-49.9K</v>
      </c>
      <c r="Q67" s="17">
        <v>2.5</v>
      </c>
      <c r="R67">
        <v>25</v>
      </c>
      <c r="S67">
        <v>3</v>
      </c>
      <c r="T67">
        <v>4</v>
      </c>
      <c r="U67">
        <v>1</v>
      </c>
      <c r="V67" s="15">
        <f t="shared" ca="1" si="3"/>
        <v>3</v>
      </c>
    </row>
    <row r="68" spans="1:22">
      <c r="A68" t="s">
        <v>3102</v>
      </c>
      <c r="B68" s="1">
        <v>41055.314108796294</v>
      </c>
      <c r="C68" s="2">
        <v>130000</v>
      </c>
      <c r="D68">
        <v>130000</v>
      </c>
      <c r="E68" t="s">
        <v>1973</v>
      </c>
      <c r="F68" s="5">
        <v>132588.25533234264</v>
      </c>
      <c r="G68" s="5">
        <v>82697.201017811705</v>
      </c>
      <c r="H68" s="5">
        <f ca="1">OFFSET(F68,0,Brains!$D$1,1,1)</f>
        <v>82697.201017811705</v>
      </c>
      <c r="I68" t="s">
        <v>1897</v>
      </c>
      <c r="J68" t="s">
        <v>1897</v>
      </c>
      <c r="K68" t="s">
        <v>1975</v>
      </c>
      <c r="L68" t="s">
        <v>1975</v>
      </c>
      <c r="M68" s="11" t="s">
        <v>3917</v>
      </c>
      <c r="N68" t="s">
        <v>1873</v>
      </c>
      <c r="O68" s="7" t="s">
        <v>3923</v>
      </c>
      <c r="P68" s="17" t="str">
        <f t="shared" ca="1" si="2"/>
        <v>75-99.9K</v>
      </c>
      <c r="Q68" s="17">
        <v>2.5</v>
      </c>
      <c r="R68">
        <v>27</v>
      </c>
      <c r="S68">
        <v>3</v>
      </c>
      <c r="T68">
        <v>4</v>
      </c>
      <c r="U68">
        <v>1</v>
      </c>
      <c r="V68" s="15">
        <f t="shared" ca="1" si="3"/>
        <v>5</v>
      </c>
    </row>
    <row r="69" spans="1:22">
      <c r="A69" t="s">
        <v>3850</v>
      </c>
      <c r="B69" s="1">
        <v>41056.991261574076</v>
      </c>
      <c r="C69" s="2" t="s">
        <v>2793</v>
      </c>
      <c r="D69">
        <v>30000</v>
      </c>
      <c r="E69" t="s">
        <v>1856</v>
      </c>
      <c r="F69" s="5">
        <v>30000</v>
      </c>
      <c r="G69" s="5">
        <v>30000</v>
      </c>
      <c r="H69" s="5">
        <f ca="1">OFFSET(F69,0,Brains!$D$1,1,1)</f>
        <v>30000</v>
      </c>
      <c r="I69" t="s">
        <v>3851</v>
      </c>
      <c r="J69" t="s">
        <v>1897</v>
      </c>
      <c r="K69" t="s">
        <v>3852</v>
      </c>
      <c r="L69" t="s">
        <v>3852</v>
      </c>
      <c r="M69" s="11" t="s">
        <v>3917</v>
      </c>
      <c r="N69" t="s">
        <v>1873</v>
      </c>
      <c r="O69" s="7" t="s">
        <v>3923</v>
      </c>
      <c r="P69" s="17" t="str">
        <f t="shared" ca="1" si="2"/>
        <v>30-49.9K</v>
      </c>
      <c r="Q69" s="17">
        <v>2.5</v>
      </c>
      <c r="R69">
        <v>30</v>
      </c>
      <c r="S69">
        <v>3</v>
      </c>
      <c r="T69">
        <v>4</v>
      </c>
      <c r="U69">
        <v>1</v>
      </c>
      <c r="V69" s="15">
        <f t="shared" ca="1" si="3"/>
        <v>3</v>
      </c>
    </row>
    <row r="70" spans="1:22">
      <c r="A70" t="s">
        <v>1008</v>
      </c>
      <c r="B70" s="1">
        <v>41059.700868055559</v>
      </c>
      <c r="C70" s="2" t="s">
        <v>288</v>
      </c>
      <c r="D70">
        <v>25000</v>
      </c>
      <c r="E70" t="s">
        <v>1954</v>
      </c>
      <c r="F70" s="5">
        <v>39404.456801682099</v>
      </c>
      <c r="G70" s="5">
        <v>37091.988130563797</v>
      </c>
      <c r="H70" s="5">
        <f ca="1">OFFSET(F70,0,Brains!$D$1,1,1)</f>
        <v>37091.988130563797</v>
      </c>
      <c r="I70" t="s">
        <v>1009</v>
      </c>
      <c r="J70" t="s">
        <v>1897</v>
      </c>
      <c r="K70" t="s">
        <v>1956</v>
      </c>
      <c r="L70" t="s">
        <v>1956</v>
      </c>
      <c r="M70" s="11" t="s">
        <v>3918</v>
      </c>
      <c r="N70" t="s">
        <v>1860</v>
      </c>
      <c r="O70" s="7" t="s">
        <v>3924</v>
      </c>
      <c r="P70" s="17" t="str">
        <f t="shared" ca="1" si="2"/>
        <v>30-49.9K</v>
      </c>
      <c r="Q70" s="17">
        <v>5</v>
      </c>
      <c r="R70">
        <v>35</v>
      </c>
      <c r="S70">
        <v>4</v>
      </c>
      <c r="T70">
        <v>5</v>
      </c>
      <c r="U70">
        <v>1</v>
      </c>
      <c r="V70" s="15">
        <f t="shared" ca="1" si="3"/>
        <v>3</v>
      </c>
    </row>
    <row r="71" spans="1:22">
      <c r="A71" t="s">
        <v>3401</v>
      </c>
      <c r="B71" s="1">
        <v>41055.628958333335</v>
      </c>
      <c r="C71" s="2">
        <v>600000</v>
      </c>
      <c r="D71">
        <v>600000</v>
      </c>
      <c r="E71" t="s">
        <v>1908</v>
      </c>
      <c r="F71" s="5">
        <v>10684.750012465542</v>
      </c>
      <c r="G71" s="5">
        <v>29877.502240812668</v>
      </c>
      <c r="H71" s="5">
        <f ca="1">OFFSET(F71,0,Brains!$D$1,1,1)</f>
        <v>29877.502240812668</v>
      </c>
      <c r="I71" t="s">
        <v>3402</v>
      </c>
      <c r="J71" t="s">
        <v>1897</v>
      </c>
      <c r="K71" t="s">
        <v>1859</v>
      </c>
      <c r="L71" t="s">
        <v>1859</v>
      </c>
      <c r="M71" s="7" t="s">
        <v>3941</v>
      </c>
      <c r="N71" t="s">
        <v>1866</v>
      </c>
      <c r="O71" s="7" t="s">
        <v>3921</v>
      </c>
      <c r="P71" s="17" t="str">
        <f t="shared" ca="1" si="2"/>
        <v>15-29.9K</v>
      </c>
      <c r="Q71" s="17">
        <v>8</v>
      </c>
      <c r="R71">
        <v>7</v>
      </c>
      <c r="S71">
        <v>5</v>
      </c>
      <c r="T71">
        <v>2</v>
      </c>
      <c r="U71">
        <v>1</v>
      </c>
      <c r="V71" s="15">
        <f t="shared" ca="1" si="3"/>
        <v>2</v>
      </c>
    </row>
    <row r="72" spans="1:22">
      <c r="A72" t="s">
        <v>3662</v>
      </c>
      <c r="B72" s="1">
        <v>41056.063136574077</v>
      </c>
      <c r="C72" s="2" t="s">
        <v>3663</v>
      </c>
      <c r="D72">
        <v>30000</v>
      </c>
      <c r="E72" t="s">
        <v>1880</v>
      </c>
      <c r="F72" s="5">
        <v>38111.983169748237</v>
      </c>
      <c r="G72" s="5">
        <v>37685.980312843887</v>
      </c>
      <c r="H72" s="5">
        <f ca="1">OFFSET(F72,0,Brains!$D$1,1,1)</f>
        <v>37685.980312843887</v>
      </c>
      <c r="I72" t="s">
        <v>3664</v>
      </c>
      <c r="J72" t="s">
        <v>1897</v>
      </c>
      <c r="K72" t="s">
        <v>3665</v>
      </c>
      <c r="L72" t="s">
        <v>1892</v>
      </c>
      <c r="M72" s="7" t="s">
        <v>3941</v>
      </c>
      <c r="N72" t="s">
        <v>1866</v>
      </c>
      <c r="O72" s="7" t="s">
        <v>3921</v>
      </c>
      <c r="P72" s="17" t="str">
        <f t="shared" ca="1" si="2"/>
        <v>30-49.9K</v>
      </c>
      <c r="Q72" s="17">
        <v>8</v>
      </c>
      <c r="R72">
        <v>8</v>
      </c>
      <c r="S72">
        <v>5</v>
      </c>
      <c r="T72">
        <v>2</v>
      </c>
      <c r="U72">
        <v>1</v>
      </c>
      <c r="V72" s="15">
        <f t="shared" ca="1" si="3"/>
        <v>3</v>
      </c>
    </row>
    <row r="73" spans="1:22">
      <c r="A73" t="s">
        <v>3790</v>
      </c>
      <c r="B73" s="1">
        <v>41056.67392361111</v>
      </c>
      <c r="C73" s="2">
        <v>60000</v>
      </c>
      <c r="D73">
        <v>60000</v>
      </c>
      <c r="E73" t="s">
        <v>1856</v>
      </c>
      <c r="F73" s="5">
        <v>60000</v>
      </c>
      <c r="G73" s="5">
        <v>60000</v>
      </c>
      <c r="H73" s="5">
        <f ca="1">OFFSET(F73,0,Brains!$D$1,1,1)</f>
        <v>60000</v>
      </c>
      <c r="I73" t="s">
        <v>3791</v>
      </c>
      <c r="J73" t="s">
        <v>1897</v>
      </c>
      <c r="K73" t="s">
        <v>2344</v>
      </c>
      <c r="L73" t="s">
        <v>2344</v>
      </c>
      <c r="M73" s="7" t="s">
        <v>3941</v>
      </c>
      <c r="N73" t="s">
        <v>1866</v>
      </c>
      <c r="O73" s="7" t="s">
        <v>3921</v>
      </c>
      <c r="P73" s="17" t="str">
        <f t="shared" ca="1" si="2"/>
        <v>50-74.9K</v>
      </c>
      <c r="Q73" s="17">
        <v>8</v>
      </c>
      <c r="R73">
        <v>10</v>
      </c>
      <c r="S73">
        <v>5</v>
      </c>
      <c r="T73">
        <v>2</v>
      </c>
      <c r="U73">
        <v>1</v>
      </c>
      <c r="V73" s="15">
        <f t="shared" ca="1" si="3"/>
        <v>4</v>
      </c>
    </row>
    <row r="74" spans="1:22">
      <c r="A74" t="s">
        <v>477</v>
      </c>
      <c r="B74" s="1">
        <v>41058.002581018518</v>
      </c>
      <c r="C74" s="2">
        <v>34000</v>
      </c>
      <c r="D74">
        <v>34000</v>
      </c>
      <c r="E74" t="s">
        <v>1954</v>
      </c>
      <c r="F74" s="5">
        <v>53590.061250287661</v>
      </c>
      <c r="G74" s="5">
        <v>50445.103857566763</v>
      </c>
      <c r="H74" s="5">
        <f ca="1">OFFSET(F74,0,Brains!$D$1,1,1)</f>
        <v>50445.103857566763</v>
      </c>
      <c r="I74" t="s">
        <v>478</v>
      </c>
      <c r="J74" t="s">
        <v>1897</v>
      </c>
      <c r="K74" t="s">
        <v>1956</v>
      </c>
      <c r="L74" t="s">
        <v>1956</v>
      </c>
      <c r="M74" s="7" t="s">
        <v>3941</v>
      </c>
      <c r="N74" t="s">
        <v>1866</v>
      </c>
      <c r="O74" s="7" t="s">
        <v>3921</v>
      </c>
      <c r="P74" s="17" t="str">
        <f t="shared" ca="1" si="2"/>
        <v>50-74.9K</v>
      </c>
      <c r="Q74" s="17">
        <v>8</v>
      </c>
      <c r="R74">
        <v>10</v>
      </c>
      <c r="S74">
        <v>5</v>
      </c>
      <c r="T74">
        <v>2</v>
      </c>
      <c r="U74">
        <v>1</v>
      </c>
      <c r="V74" s="15">
        <f t="shared" ca="1" si="3"/>
        <v>4</v>
      </c>
    </row>
    <row r="75" spans="1:22">
      <c r="A75" t="s">
        <v>479</v>
      </c>
      <c r="B75" s="1">
        <v>41058.002638888887</v>
      </c>
      <c r="C75" s="2">
        <v>34000</v>
      </c>
      <c r="D75">
        <v>34000</v>
      </c>
      <c r="E75" t="s">
        <v>1954</v>
      </c>
      <c r="F75" s="5">
        <v>53590.061250287661</v>
      </c>
      <c r="G75" s="5">
        <v>50445.103857566763</v>
      </c>
      <c r="H75" s="5">
        <f ca="1">OFFSET(F75,0,Brains!$D$1,1,1)</f>
        <v>50445.103857566763</v>
      </c>
      <c r="I75" t="s">
        <v>478</v>
      </c>
      <c r="J75" t="s">
        <v>1897</v>
      </c>
      <c r="K75" t="s">
        <v>1956</v>
      </c>
      <c r="L75" t="s">
        <v>1956</v>
      </c>
      <c r="M75" s="7" t="s">
        <v>3941</v>
      </c>
      <c r="N75" t="s">
        <v>1866</v>
      </c>
      <c r="O75" s="7" t="s">
        <v>3921</v>
      </c>
      <c r="P75" s="17" t="str">
        <f t="shared" ca="1" si="2"/>
        <v>50-74.9K</v>
      </c>
      <c r="Q75" s="17">
        <v>8</v>
      </c>
      <c r="R75">
        <v>10</v>
      </c>
      <c r="S75">
        <v>5</v>
      </c>
      <c r="T75">
        <v>2</v>
      </c>
      <c r="U75">
        <v>1</v>
      </c>
      <c r="V75" s="15">
        <f t="shared" ca="1" si="3"/>
        <v>4</v>
      </c>
    </row>
    <row r="76" spans="1:22">
      <c r="A76" t="s">
        <v>559</v>
      </c>
      <c r="B76" s="1">
        <v>41058.190011574072</v>
      </c>
      <c r="C76" s="2" t="s">
        <v>560</v>
      </c>
      <c r="D76">
        <v>34000</v>
      </c>
      <c r="E76" t="s">
        <v>1954</v>
      </c>
      <c r="F76" s="5">
        <v>53590.061250287661</v>
      </c>
      <c r="G76" s="5">
        <v>50445.103857566763</v>
      </c>
      <c r="H76" s="5">
        <f ca="1">OFFSET(F76,0,Brains!$D$1,1,1)</f>
        <v>50445.103857566763</v>
      </c>
      <c r="I76" t="s">
        <v>561</v>
      </c>
      <c r="J76" t="s">
        <v>1897</v>
      </c>
      <c r="K76" t="s">
        <v>1956</v>
      </c>
      <c r="L76" t="s">
        <v>1956</v>
      </c>
      <c r="M76" s="7" t="s">
        <v>3941</v>
      </c>
      <c r="N76" t="s">
        <v>1866</v>
      </c>
      <c r="O76" s="7" t="s">
        <v>3921</v>
      </c>
      <c r="P76" s="17" t="str">
        <f t="shared" ca="1" si="2"/>
        <v>50-74.9K</v>
      </c>
      <c r="Q76" s="17">
        <v>8</v>
      </c>
      <c r="R76">
        <v>10</v>
      </c>
      <c r="S76">
        <v>5</v>
      </c>
      <c r="T76">
        <v>2</v>
      </c>
      <c r="U76">
        <v>1</v>
      </c>
      <c r="V76" s="15">
        <f t="shared" ca="1" si="3"/>
        <v>4</v>
      </c>
    </row>
    <row r="77" spans="1:22">
      <c r="A77" t="s">
        <v>3496</v>
      </c>
      <c r="B77" s="1">
        <v>41055.740972222222</v>
      </c>
      <c r="C77" s="2">
        <v>205000</v>
      </c>
      <c r="D77">
        <v>205000</v>
      </c>
      <c r="E77" t="s">
        <v>1908</v>
      </c>
      <c r="F77" s="5">
        <v>3650.6229209257262</v>
      </c>
      <c r="G77" s="5">
        <v>10208.146598944328</v>
      </c>
      <c r="H77" s="5">
        <f ca="1">OFFSET(F77,0,Brains!$D$1,1,1)</f>
        <v>10208.146598944328</v>
      </c>
      <c r="I77" t="s">
        <v>3497</v>
      </c>
      <c r="J77" t="s">
        <v>1897</v>
      </c>
      <c r="K77" t="s">
        <v>1859</v>
      </c>
      <c r="L77" t="s">
        <v>1859</v>
      </c>
      <c r="M77" s="7" t="s">
        <v>3941</v>
      </c>
      <c r="N77" t="s">
        <v>1866</v>
      </c>
      <c r="O77" s="7" t="s">
        <v>3921</v>
      </c>
      <c r="P77" s="17" t="str">
        <f t="shared" ca="1" si="2"/>
        <v>0-14.9K</v>
      </c>
      <c r="Q77" s="17">
        <v>8</v>
      </c>
      <c r="R77">
        <v>10</v>
      </c>
      <c r="S77">
        <v>5</v>
      </c>
      <c r="T77">
        <v>2</v>
      </c>
      <c r="U77">
        <v>1</v>
      </c>
      <c r="V77" s="15">
        <f t="shared" ca="1" si="3"/>
        <v>1</v>
      </c>
    </row>
    <row r="78" spans="1:22">
      <c r="A78" t="s">
        <v>3515</v>
      </c>
      <c r="B78" s="1">
        <v>41055.780555555553</v>
      </c>
      <c r="C78" s="2" t="s">
        <v>3516</v>
      </c>
      <c r="D78">
        <v>33600</v>
      </c>
      <c r="E78" t="s">
        <v>2490</v>
      </c>
      <c r="F78" s="5">
        <v>9146.5655463031271</v>
      </c>
      <c r="G78" s="5">
        <v>6349.2063492063498</v>
      </c>
      <c r="H78" s="5">
        <f ca="1">OFFSET(F78,0,Brains!$D$1,1,1)</f>
        <v>6349.2063492063498</v>
      </c>
      <c r="I78" t="s">
        <v>1897</v>
      </c>
      <c r="J78" t="s">
        <v>1897</v>
      </c>
      <c r="K78" t="s">
        <v>2491</v>
      </c>
      <c r="L78" t="s">
        <v>2491</v>
      </c>
      <c r="M78" s="11" t="s">
        <v>3916</v>
      </c>
      <c r="N78" t="s">
        <v>1884</v>
      </c>
      <c r="O78" s="7" t="s">
        <v>3921</v>
      </c>
      <c r="P78" s="17" t="str">
        <f t="shared" ca="1" si="2"/>
        <v>0-14.9K</v>
      </c>
      <c r="Q78" s="17">
        <v>1.5</v>
      </c>
      <c r="R78">
        <v>7</v>
      </c>
      <c r="S78">
        <v>2</v>
      </c>
      <c r="T78">
        <v>2</v>
      </c>
      <c r="U78">
        <v>1</v>
      </c>
      <c r="V78" s="15">
        <f t="shared" ca="1" si="3"/>
        <v>1</v>
      </c>
    </row>
    <row r="79" spans="1:22">
      <c r="A79" t="s">
        <v>3314</v>
      </c>
      <c r="B79" s="1">
        <v>41055.554537037038</v>
      </c>
      <c r="C79" s="2" t="s">
        <v>3315</v>
      </c>
      <c r="D79">
        <v>33500</v>
      </c>
      <c r="E79" t="s">
        <v>1856</v>
      </c>
      <c r="F79" s="5">
        <v>33500</v>
      </c>
      <c r="G79" s="5">
        <v>33500</v>
      </c>
      <c r="H79" s="5">
        <f ca="1">OFFSET(F79,0,Brains!$D$1,1,1)</f>
        <v>33500</v>
      </c>
      <c r="I79" t="s">
        <v>3316</v>
      </c>
      <c r="J79" t="s">
        <v>1897</v>
      </c>
      <c r="K79" t="s">
        <v>2491</v>
      </c>
      <c r="L79" t="s">
        <v>2491</v>
      </c>
      <c r="M79" s="11" t="s">
        <v>3916</v>
      </c>
      <c r="N79" t="s">
        <v>1884</v>
      </c>
      <c r="O79" s="7" t="s">
        <v>3921</v>
      </c>
      <c r="P79" s="17" t="str">
        <f t="shared" ca="1" si="2"/>
        <v>30-49.9K</v>
      </c>
      <c r="Q79" s="17">
        <v>1.5</v>
      </c>
      <c r="R79">
        <v>10</v>
      </c>
      <c r="S79">
        <v>2</v>
      </c>
      <c r="T79">
        <v>2</v>
      </c>
      <c r="U79">
        <v>1</v>
      </c>
      <c r="V79" s="15">
        <f t="shared" ca="1" si="3"/>
        <v>3</v>
      </c>
    </row>
    <row r="80" spans="1:22">
      <c r="A80" t="s">
        <v>1683</v>
      </c>
      <c r="B80" s="1">
        <v>41073.860625000001</v>
      </c>
      <c r="C80" s="2">
        <v>425000</v>
      </c>
      <c r="D80">
        <v>425000</v>
      </c>
      <c r="E80" t="s">
        <v>1908</v>
      </c>
      <c r="F80" s="5">
        <v>7568.3645921630914</v>
      </c>
      <c r="G80" s="5">
        <v>21163.230753908974</v>
      </c>
      <c r="H80" s="5">
        <f ca="1">OFFSET(F80,0,Brains!$D$1,1,1)</f>
        <v>21163.230753908974</v>
      </c>
      <c r="I80" t="s">
        <v>3580</v>
      </c>
      <c r="J80" t="s">
        <v>1897</v>
      </c>
      <c r="K80" t="s">
        <v>1859</v>
      </c>
      <c r="L80" t="s">
        <v>1859</v>
      </c>
      <c r="M80" s="11" t="s">
        <v>3917</v>
      </c>
      <c r="N80" t="s">
        <v>1873</v>
      </c>
      <c r="O80" s="7" t="s">
        <v>3921</v>
      </c>
      <c r="P80" s="17" t="str">
        <f t="shared" ca="1" si="2"/>
        <v>15-29.9K</v>
      </c>
      <c r="Q80" s="17">
        <v>2.5</v>
      </c>
      <c r="R80">
        <v>6</v>
      </c>
      <c r="S80">
        <v>3</v>
      </c>
      <c r="T80">
        <v>2</v>
      </c>
      <c r="U80">
        <v>1</v>
      </c>
      <c r="V80" s="15">
        <f t="shared" ca="1" si="3"/>
        <v>2</v>
      </c>
    </row>
    <row r="81" spans="1:22">
      <c r="A81" t="s">
        <v>1288</v>
      </c>
      <c r="B81" s="1">
        <v>41062.320856481485</v>
      </c>
      <c r="C81" s="2">
        <v>85000</v>
      </c>
      <c r="D81">
        <v>85000</v>
      </c>
      <c r="E81" t="s">
        <v>1856</v>
      </c>
      <c r="F81" s="5">
        <v>85000</v>
      </c>
      <c r="G81" s="5">
        <v>85000</v>
      </c>
      <c r="H81" s="5">
        <f ca="1">OFFSET(F81,0,Brains!$D$1,1,1)</f>
        <v>85000</v>
      </c>
      <c r="I81" t="s">
        <v>1983</v>
      </c>
      <c r="J81" t="s">
        <v>1897</v>
      </c>
      <c r="K81" t="s">
        <v>1869</v>
      </c>
      <c r="L81" t="s">
        <v>1869</v>
      </c>
      <c r="M81" s="11" t="s">
        <v>3917</v>
      </c>
      <c r="N81" t="s">
        <v>1873</v>
      </c>
      <c r="O81" s="7" t="s">
        <v>3921</v>
      </c>
      <c r="P81" s="17" t="str">
        <f t="shared" ca="1" si="2"/>
        <v>75-99.9K</v>
      </c>
      <c r="Q81" s="17">
        <v>2.5</v>
      </c>
      <c r="R81">
        <v>8</v>
      </c>
      <c r="S81">
        <v>3</v>
      </c>
      <c r="T81">
        <v>2</v>
      </c>
      <c r="U81">
        <v>1</v>
      </c>
      <c r="V81" s="15">
        <f t="shared" ca="1" si="3"/>
        <v>5</v>
      </c>
    </row>
    <row r="82" spans="1:22">
      <c r="A82" t="s">
        <v>534</v>
      </c>
      <c r="B82" s="1">
        <v>41058.09684027778</v>
      </c>
      <c r="C82" s="2" t="s">
        <v>2571</v>
      </c>
      <c r="D82">
        <v>29000</v>
      </c>
      <c r="E82" t="s">
        <v>1954</v>
      </c>
      <c r="F82" s="5">
        <v>45709.169889951241</v>
      </c>
      <c r="G82" s="5">
        <v>43026.706231454002</v>
      </c>
      <c r="H82" s="5">
        <f ca="1">OFFSET(F82,0,Brains!$D$1,1,1)</f>
        <v>43026.706231454002</v>
      </c>
      <c r="I82" t="s">
        <v>535</v>
      </c>
      <c r="J82" t="s">
        <v>1897</v>
      </c>
      <c r="K82" t="s">
        <v>1956</v>
      </c>
      <c r="L82" t="s">
        <v>1956</v>
      </c>
      <c r="M82" s="11" t="s">
        <v>3917</v>
      </c>
      <c r="N82" t="s">
        <v>1873</v>
      </c>
      <c r="O82" s="7" t="s">
        <v>3921</v>
      </c>
      <c r="P82" s="17" t="str">
        <f t="shared" ca="1" si="2"/>
        <v>30-49.9K</v>
      </c>
      <c r="Q82" s="17">
        <v>2.5</v>
      </c>
      <c r="R82">
        <v>8</v>
      </c>
      <c r="S82">
        <v>3</v>
      </c>
      <c r="T82">
        <v>2</v>
      </c>
      <c r="U82">
        <v>1</v>
      </c>
      <c r="V82" s="15">
        <f t="shared" ca="1" si="3"/>
        <v>3</v>
      </c>
    </row>
    <row r="83" spans="1:22">
      <c r="A83" t="s">
        <v>944</v>
      </c>
      <c r="B83" s="1">
        <v>41059.110995370371</v>
      </c>
      <c r="C83" s="2">
        <v>25000</v>
      </c>
      <c r="D83">
        <v>25000</v>
      </c>
      <c r="E83" t="s">
        <v>1856</v>
      </c>
      <c r="F83" s="5">
        <v>25000</v>
      </c>
      <c r="G83" s="5">
        <v>25000</v>
      </c>
      <c r="H83" s="5">
        <f ca="1">OFFSET(F83,0,Brains!$D$1,1,1)</f>
        <v>25000</v>
      </c>
      <c r="I83" t="s">
        <v>1897</v>
      </c>
      <c r="J83" t="s">
        <v>1897</v>
      </c>
      <c r="K83" t="s">
        <v>1859</v>
      </c>
      <c r="L83" t="s">
        <v>1859</v>
      </c>
      <c r="M83" s="11" t="s">
        <v>3917</v>
      </c>
      <c r="N83" t="s">
        <v>1873</v>
      </c>
      <c r="O83" s="7" t="s">
        <v>3921</v>
      </c>
      <c r="P83" s="17" t="str">
        <f t="shared" ca="1" si="2"/>
        <v>15-29.9K</v>
      </c>
      <c r="Q83" s="17">
        <v>2.5</v>
      </c>
      <c r="R83">
        <v>8</v>
      </c>
      <c r="S83">
        <v>3</v>
      </c>
      <c r="T83">
        <v>2</v>
      </c>
      <c r="U83">
        <v>1</v>
      </c>
      <c r="V83" s="15">
        <f t="shared" ca="1" si="3"/>
        <v>2</v>
      </c>
    </row>
    <row r="84" spans="1:22">
      <c r="A84" t="s">
        <v>275</v>
      </c>
      <c r="B84" s="1">
        <v>41057.706979166665</v>
      </c>
      <c r="C84" s="2" t="s">
        <v>276</v>
      </c>
      <c r="D84">
        <v>600000</v>
      </c>
      <c r="E84" t="s">
        <v>1908</v>
      </c>
      <c r="F84" s="5">
        <v>10684.750012465542</v>
      </c>
      <c r="G84" s="5">
        <v>29877.502240812668</v>
      </c>
      <c r="H84" s="5">
        <f ca="1">OFFSET(F84,0,Brains!$D$1,1,1)</f>
        <v>29877.502240812668</v>
      </c>
      <c r="I84" t="s">
        <v>277</v>
      </c>
      <c r="J84" t="s">
        <v>1897</v>
      </c>
      <c r="K84" t="s">
        <v>1859</v>
      </c>
      <c r="L84" t="s">
        <v>1859</v>
      </c>
      <c r="M84" s="11" t="s">
        <v>3917</v>
      </c>
      <c r="N84" t="s">
        <v>1873</v>
      </c>
      <c r="O84" s="7" t="s">
        <v>3921</v>
      </c>
      <c r="P84" s="17" t="str">
        <f t="shared" ca="1" si="2"/>
        <v>15-29.9K</v>
      </c>
      <c r="Q84" s="17">
        <v>2.5</v>
      </c>
      <c r="R84">
        <v>8</v>
      </c>
      <c r="S84">
        <v>3</v>
      </c>
      <c r="T84">
        <v>2</v>
      </c>
      <c r="U84">
        <v>1</v>
      </c>
      <c r="V84" s="15">
        <f t="shared" ca="1" si="3"/>
        <v>2</v>
      </c>
    </row>
    <row r="85" spans="1:22">
      <c r="A85" t="s">
        <v>3760</v>
      </c>
      <c r="B85" s="1">
        <v>41056.586469907408</v>
      </c>
      <c r="C85" s="2" t="s">
        <v>1970</v>
      </c>
      <c r="D85">
        <v>400000</v>
      </c>
      <c r="E85" t="s">
        <v>1908</v>
      </c>
      <c r="F85" s="5">
        <v>7123.1666749770275</v>
      </c>
      <c r="G85" s="5">
        <v>19918.334827208444</v>
      </c>
      <c r="H85" s="5">
        <f ca="1">OFFSET(F85,0,Brains!$D$1,1,1)</f>
        <v>19918.334827208444</v>
      </c>
      <c r="I85" t="s">
        <v>3761</v>
      </c>
      <c r="J85" t="s">
        <v>1897</v>
      </c>
      <c r="K85" t="s">
        <v>1859</v>
      </c>
      <c r="L85" t="s">
        <v>1859</v>
      </c>
      <c r="M85" s="11" t="s">
        <v>3917</v>
      </c>
      <c r="N85" t="s">
        <v>1873</v>
      </c>
      <c r="O85" s="7" t="s">
        <v>3921</v>
      </c>
      <c r="P85" s="17" t="str">
        <f t="shared" ca="1" si="2"/>
        <v>15-29.9K</v>
      </c>
      <c r="Q85" s="17">
        <v>2.5</v>
      </c>
      <c r="R85">
        <v>8</v>
      </c>
      <c r="S85">
        <v>3</v>
      </c>
      <c r="T85">
        <v>2</v>
      </c>
      <c r="U85">
        <v>1</v>
      </c>
      <c r="V85" s="15">
        <f t="shared" ca="1" si="3"/>
        <v>2</v>
      </c>
    </row>
    <row r="86" spans="1:22">
      <c r="A86" t="s">
        <v>1684</v>
      </c>
      <c r="B86" s="1">
        <v>41073.98097222222</v>
      </c>
      <c r="C86" s="2">
        <v>50000</v>
      </c>
      <c r="D86">
        <v>50000</v>
      </c>
      <c r="E86" t="s">
        <v>1954</v>
      </c>
      <c r="F86" s="5">
        <v>78808.913603364199</v>
      </c>
      <c r="G86" s="5">
        <v>74183.976261127595</v>
      </c>
      <c r="H86" s="5">
        <f ca="1">OFFSET(F86,0,Brains!$D$1,1,1)</f>
        <v>74183.976261127595</v>
      </c>
      <c r="I86" t="s">
        <v>1009</v>
      </c>
      <c r="J86" t="s">
        <v>1897</v>
      </c>
      <c r="K86" t="s">
        <v>1956</v>
      </c>
      <c r="L86" t="s">
        <v>1956</v>
      </c>
      <c r="M86" s="11" t="s">
        <v>3917</v>
      </c>
      <c r="N86" t="s">
        <v>1873</v>
      </c>
      <c r="O86" s="7" t="s">
        <v>3921</v>
      </c>
      <c r="P86" s="17" t="str">
        <f t="shared" ca="1" si="2"/>
        <v>50-74.9K</v>
      </c>
      <c r="Q86" s="17">
        <v>2.5</v>
      </c>
      <c r="R86">
        <v>10</v>
      </c>
      <c r="S86">
        <v>3</v>
      </c>
      <c r="T86">
        <v>2</v>
      </c>
      <c r="U86">
        <v>1</v>
      </c>
      <c r="V86" s="15">
        <f t="shared" ca="1" si="3"/>
        <v>4</v>
      </c>
    </row>
    <row r="87" spans="1:22">
      <c r="A87" t="s">
        <v>267</v>
      </c>
      <c r="B87" s="1">
        <v>41057.695451388892</v>
      </c>
      <c r="C87" s="2">
        <v>40000</v>
      </c>
      <c r="D87">
        <v>40000</v>
      </c>
      <c r="E87" t="s">
        <v>1880</v>
      </c>
      <c r="F87" s="5">
        <v>50815.977559664309</v>
      </c>
      <c r="G87" s="5">
        <v>50247.973750458514</v>
      </c>
      <c r="H87" s="5">
        <f ca="1">OFFSET(F87,0,Brains!$D$1,1,1)</f>
        <v>50247.973750458514</v>
      </c>
      <c r="I87" t="s">
        <v>2166</v>
      </c>
      <c r="J87" t="s">
        <v>1897</v>
      </c>
      <c r="K87" t="s">
        <v>1892</v>
      </c>
      <c r="L87" t="s">
        <v>1892</v>
      </c>
      <c r="M87" s="11" t="s">
        <v>3917</v>
      </c>
      <c r="N87" t="s">
        <v>1873</v>
      </c>
      <c r="O87" s="7" t="s">
        <v>3921</v>
      </c>
      <c r="P87" s="17" t="str">
        <f t="shared" ca="1" si="2"/>
        <v>50-74.9K</v>
      </c>
      <c r="Q87" s="17">
        <v>2.5</v>
      </c>
      <c r="R87">
        <v>10</v>
      </c>
      <c r="S87">
        <v>3</v>
      </c>
      <c r="T87">
        <v>2</v>
      </c>
      <c r="U87">
        <v>1</v>
      </c>
      <c r="V87" s="15">
        <f t="shared" ca="1" si="3"/>
        <v>4</v>
      </c>
    </row>
    <row r="88" spans="1:22">
      <c r="A88" t="s">
        <v>549</v>
      </c>
      <c r="B88" s="1">
        <v>41058.16883101852</v>
      </c>
      <c r="C88" s="2">
        <v>25000</v>
      </c>
      <c r="D88">
        <v>25000</v>
      </c>
      <c r="E88" t="s">
        <v>1954</v>
      </c>
      <c r="F88" s="5">
        <v>39404.456801682099</v>
      </c>
      <c r="G88" s="5">
        <v>37091.988130563797</v>
      </c>
      <c r="H88" s="5">
        <f ca="1">OFFSET(F88,0,Brains!$D$1,1,1)</f>
        <v>37091.988130563797</v>
      </c>
      <c r="I88" t="s">
        <v>550</v>
      </c>
      <c r="J88" t="s">
        <v>1897</v>
      </c>
      <c r="K88" t="s">
        <v>1956</v>
      </c>
      <c r="L88" t="s">
        <v>1956</v>
      </c>
      <c r="M88" s="11" t="s">
        <v>3917</v>
      </c>
      <c r="N88" t="s">
        <v>1873</v>
      </c>
      <c r="O88" s="7" t="s">
        <v>3921</v>
      </c>
      <c r="P88" s="17" t="str">
        <f t="shared" ca="1" si="2"/>
        <v>30-49.9K</v>
      </c>
      <c r="Q88" s="17">
        <v>2.5</v>
      </c>
      <c r="R88">
        <v>10</v>
      </c>
      <c r="S88">
        <v>3</v>
      </c>
      <c r="T88">
        <v>2</v>
      </c>
      <c r="U88">
        <v>1</v>
      </c>
      <c r="V88" s="15">
        <f t="shared" ca="1" si="3"/>
        <v>3</v>
      </c>
    </row>
    <row r="89" spans="1:22">
      <c r="A89" t="s">
        <v>1722</v>
      </c>
      <c r="B89" s="1">
        <v>41075.73300925926</v>
      </c>
      <c r="C89" s="2">
        <v>20000</v>
      </c>
      <c r="D89">
        <v>20000</v>
      </c>
      <c r="E89" t="s">
        <v>1954</v>
      </c>
      <c r="F89" s="5">
        <v>31523.565441345683</v>
      </c>
      <c r="G89" s="5">
        <v>29673.590504451036</v>
      </c>
      <c r="H89" s="5">
        <f ca="1">OFFSET(F89,0,Brains!$D$1,1,1)</f>
        <v>29673.590504451036</v>
      </c>
      <c r="I89" t="s">
        <v>1897</v>
      </c>
      <c r="J89" t="s">
        <v>1897</v>
      </c>
      <c r="K89" t="s">
        <v>1956</v>
      </c>
      <c r="L89" t="s">
        <v>1956</v>
      </c>
      <c r="M89" s="11" t="s">
        <v>3917</v>
      </c>
      <c r="N89" t="s">
        <v>1873</v>
      </c>
      <c r="O89" s="7" t="s">
        <v>3921</v>
      </c>
      <c r="P89" s="17" t="str">
        <f t="shared" ca="1" si="2"/>
        <v>15-29.9K</v>
      </c>
      <c r="Q89" s="17">
        <v>2.5</v>
      </c>
      <c r="R89">
        <v>10</v>
      </c>
      <c r="S89">
        <v>3</v>
      </c>
      <c r="T89">
        <v>2</v>
      </c>
      <c r="U89">
        <v>1</v>
      </c>
      <c r="V89" s="15">
        <f t="shared" ca="1" si="3"/>
        <v>2</v>
      </c>
    </row>
    <row r="90" spans="1:22">
      <c r="A90" t="s">
        <v>1252</v>
      </c>
      <c r="B90" s="1">
        <v>41061.790763888886</v>
      </c>
      <c r="C90" s="2">
        <v>177600</v>
      </c>
      <c r="D90">
        <v>177600</v>
      </c>
      <c r="E90" t="s">
        <v>1856</v>
      </c>
      <c r="F90" s="5">
        <v>177600</v>
      </c>
      <c r="G90" s="5">
        <v>177600</v>
      </c>
      <c r="H90" s="5">
        <f ca="1">OFFSET(F90,0,Brains!$D$1,1,1)</f>
        <v>177600</v>
      </c>
      <c r="I90" t="s">
        <v>1897</v>
      </c>
      <c r="J90" t="s">
        <v>1897</v>
      </c>
      <c r="K90" t="s">
        <v>1253</v>
      </c>
      <c r="L90" t="s">
        <v>1253</v>
      </c>
      <c r="M90" s="11" t="s">
        <v>3918</v>
      </c>
      <c r="N90" t="s">
        <v>1860</v>
      </c>
      <c r="O90" s="7" t="s">
        <v>3921</v>
      </c>
      <c r="P90" s="17" t="str">
        <f t="shared" ca="1" si="2"/>
        <v>150-249.9K</v>
      </c>
      <c r="Q90" s="17">
        <v>5</v>
      </c>
      <c r="R90">
        <v>6</v>
      </c>
      <c r="S90">
        <v>4</v>
      </c>
      <c r="T90">
        <v>2</v>
      </c>
      <c r="U90">
        <v>1</v>
      </c>
      <c r="V90" s="15">
        <f t="shared" ca="1" si="3"/>
        <v>7</v>
      </c>
    </row>
    <row r="91" spans="1:22">
      <c r="A91" t="s">
        <v>3549</v>
      </c>
      <c r="B91" s="1">
        <v>41055.873067129629</v>
      </c>
      <c r="C91" s="2" t="s">
        <v>3550</v>
      </c>
      <c r="D91">
        <v>1152000</v>
      </c>
      <c r="E91" t="s">
        <v>1908</v>
      </c>
      <c r="F91" s="5">
        <v>20514.720023933838</v>
      </c>
      <c r="G91" s="5">
        <v>57364.804302360324</v>
      </c>
      <c r="H91" s="5">
        <f ca="1">OFFSET(F91,0,Brains!$D$1,1,1)</f>
        <v>57364.804302360324</v>
      </c>
      <c r="I91" t="s">
        <v>3551</v>
      </c>
      <c r="J91" t="s">
        <v>1897</v>
      </c>
      <c r="K91" t="s">
        <v>1859</v>
      </c>
      <c r="L91" t="s">
        <v>1859</v>
      </c>
      <c r="M91" s="11" t="s">
        <v>3918</v>
      </c>
      <c r="N91" t="s">
        <v>1860</v>
      </c>
      <c r="O91" s="7" t="s">
        <v>3921</v>
      </c>
      <c r="P91" s="17" t="str">
        <f t="shared" ca="1" si="2"/>
        <v>50-74.9K</v>
      </c>
      <c r="Q91" s="17">
        <v>5</v>
      </c>
      <c r="R91">
        <v>6</v>
      </c>
      <c r="S91">
        <v>4</v>
      </c>
      <c r="T91">
        <v>2</v>
      </c>
      <c r="U91">
        <v>1</v>
      </c>
      <c r="V91" s="15">
        <f t="shared" ca="1" si="3"/>
        <v>4</v>
      </c>
    </row>
    <row r="92" spans="1:22">
      <c r="A92" t="s">
        <v>1015</v>
      </c>
      <c r="B92" s="1">
        <v>41059.711724537039</v>
      </c>
      <c r="C92" s="2" t="s">
        <v>1016</v>
      </c>
      <c r="D92">
        <v>125000</v>
      </c>
      <c r="E92" t="s">
        <v>1973</v>
      </c>
      <c r="F92" s="5">
        <v>127488.70705032947</v>
      </c>
      <c r="G92" s="5">
        <v>79516.53944020356</v>
      </c>
      <c r="H92" s="5">
        <f ca="1">OFFSET(F92,0,Brains!$D$1,1,1)</f>
        <v>79516.53944020356</v>
      </c>
      <c r="I92" t="s">
        <v>1017</v>
      </c>
      <c r="J92" t="s">
        <v>1897</v>
      </c>
      <c r="K92" t="s">
        <v>1975</v>
      </c>
      <c r="L92" t="s">
        <v>1975</v>
      </c>
      <c r="M92" s="11" t="s">
        <v>3918</v>
      </c>
      <c r="N92" t="s">
        <v>1860</v>
      </c>
      <c r="O92" s="7" t="s">
        <v>3921</v>
      </c>
      <c r="P92" s="17" t="str">
        <f t="shared" ca="1" si="2"/>
        <v>75-99.9K</v>
      </c>
      <c r="Q92" s="17">
        <v>5</v>
      </c>
      <c r="R92">
        <v>7</v>
      </c>
      <c r="S92">
        <v>4</v>
      </c>
      <c r="T92">
        <v>2</v>
      </c>
      <c r="U92">
        <v>1</v>
      </c>
      <c r="V92" s="15">
        <f t="shared" ca="1" si="3"/>
        <v>5</v>
      </c>
    </row>
    <row r="93" spans="1:22">
      <c r="A93" t="s">
        <v>3139</v>
      </c>
      <c r="B93" s="1">
        <v>41055.371724537035</v>
      </c>
      <c r="C93" s="2">
        <v>45000</v>
      </c>
      <c r="D93">
        <v>45000</v>
      </c>
      <c r="E93" t="s">
        <v>1856</v>
      </c>
      <c r="F93" s="5">
        <v>45000</v>
      </c>
      <c r="G93" s="5">
        <v>45000</v>
      </c>
      <c r="H93" s="5">
        <f ca="1">OFFSET(F93,0,Brains!$D$1,1,1)</f>
        <v>45000</v>
      </c>
      <c r="I93" t="s">
        <v>3140</v>
      </c>
      <c r="J93" t="s">
        <v>1897</v>
      </c>
      <c r="K93" t="s">
        <v>1869</v>
      </c>
      <c r="L93" t="s">
        <v>1869</v>
      </c>
      <c r="M93" s="11" t="s">
        <v>3918</v>
      </c>
      <c r="N93" t="s">
        <v>1860</v>
      </c>
      <c r="O93" s="7" t="s">
        <v>3921</v>
      </c>
      <c r="P93" s="17" t="str">
        <f t="shared" ca="1" si="2"/>
        <v>30-49.9K</v>
      </c>
      <c r="Q93" s="17">
        <v>5</v>
      </c>
      <c r="R93">
        <v>7</v>
      </c>
      <c r="S93">
        <v>4</v>
      </c>
      <c r="T93">
        <v>2</v>
      </c>
      <c r="U93">
        <v>1</v>
      </c>
      <c r="V93" s="15">
        <f t="shared" ca="1" si="3"/>
        <v>3</v>
      </c>
    </row>
    <row r="94" spans="1:22">
      <c r="A94" t="s">
        <v>300</v>
      </c>
      <c r="B94" s="1">
        <v>41057.732129629629</v>
      </c>
      <c r="C94" s="2">
        <v>242304</v>
      </c>
      <c r="D94">
        <v>242304</v>
      </c>
      <c r="E94" t="s">
        <v>1908</v>
      </c>
      <c r="F94" s="5">
        <v>4314.929445034084</v>
      </c>
      <c r="G94" s="5">
        <v>12065.730504929788</v>
      </c>
      <c r="H94" s="5">
        <f ca="1">OFFSET(F94,0,Brains!$D$1,1,1)</f>
        <v>12065.730504929788</v>
      </c>
      <c r="I94" t="s">
        <v>3580</v>
      </c>
      <c r="J94" t="s">
        <v>1897</v>
      </c>
      <c r="K94" t="s">
        <v>1859</v>
      </c>
      <c r="L94" t="s">
        <v>1859</v>
      </c>
      <c r="M94" s="11" t="s">
        <v>3918</v>
      </c>
      <c r="N94" t="s">
        <v>1860</v>
      </c>
      <c r="O94" s="7" t="s">
        <v>3921</v>
      </c>
      <c r="P94" s="17" t="str">
        <f t="shared" ca="1" si="2"/>
        <v>0-14.9K</v>
      </c>
      <c r="Q94" s="17">
        <v>5</v>
      </c>
      <c r="R94">
        <v>7</v>
      </c>
      <c r="S94">
        <v>4</v>
      </c>
      <c r="T94">
        <v>2</v>
      </c>
      <c r="U94">
        <v>1</v>
      </c>
      <c r="V94" s="15">
        <f t="shared" ca="1" si="3"/>
        <v>1</v>
      </c>
    </row>
    <row r="95" spans="1:22">
      <c r="A95" t="s">
        <v>1442</v>
      </c>
      <c r="B95" s="1">
        <v>41065.965092592596</v>
      </c>
      <c r="C95" s="2" t="s">
        <v>1443</v>
      </c>
      <c r="D95">
        <v>35500</v>
      </c>
      <c r="E95" t="s">
        <v>1954</v>
      </c>
      <c r="F95" s="5">
        <v>55954.328658388586</v>
      </c>
      <c r="G95" s="5">
        <v>52670.62314540059</v>
      </c>
      <c r="H95" s="5">
        <f ca="1">OFFSET(F95,0,Brains!$D$1,1,1)</f>
        <v>52670.62314540059</v>
      </c>
      <c r="I95" t="s">
        <v>357</v>
      </c>
      <c r="J95" t="s">
        <v>1897</v>
      </c>
      <c r="K95" t="s">
        <v>1956</v>
      </c>
      <c r="L95" t="s">
        <v>1956</v>
      </c>
      <c r="M95" s="11" t="s">
        <v>3918</v>
      </c>
      <c r="N95" t="s">
        <v>1860</v>
      </c>
      <c r="O95" s="7" t="s">
        <v>3921</v>
      </c>
      <c r="P95" s="17" t="str">
        <f t="shared" ca="1" si="2"/>
        <v>50-74.9K</v>
      </c>
      <c r="Q95" s="17">
        <v>5</v>
      </c>
      <c r="R95">
        <v>8</v>
      </c>
      <c r="S95">
        <v>4</v>
      </c>
      <c r="T95">
        <v>2</v>
      </c>
      <c r="U95">
        <v>1</v>
      </c>
      <c r="V95" s="15">
        <f t="shared" ca="1" si="3"/>
        <v>4</v>
      </c>
    </row>
    <row r="96" spans="1:22">
      <c r="A96" t="s">
        <v>970</v>
      </c>
      <c r="B96" s="1">
        <v>41059.545972222222</v>
      </c>
      <c r="C96" s="2">
        <v>30000</v>
      </c>
      <c r="D96">
        <v>30000</v>
      </c>
      <c r="E96" t="s">
        <v>1856</v>
      </c>
      <c r="F96" s="5">
        <v>30000</v>
      </c>
      <c r="G96" s="5">
        <v>30000</v>
      </c>
      <c r="H96" s="5">
        <f ca="1">OFFSET(F96,0,Brains!$D$1,1,1)</f>
        <v>30000</v>
      </c>
      <c r="I96" t="s">
        <v>971</v>
      </c>
      <c r="J96" t="s">
        <v>1897</v>
      </c>
      <c r="K96" t="s">
        <v>2143</v>
      </c>
      <c r="L96" t="s">
        <v>2143</v>
      </c>
      <c r="M96" s="11" t="s">
        <v>3918</v>
      </c>
      <c r="N96" t="s">
        <v>1860</v>
      </c>
      <c r="O96" s="7" t="s">
        <v>3921</v>
      </c>
      <c r="P96" s="17" t="str">
        <f t="shared" ca="1" si="2"/>
        <v>30-49.9K</v>
      </c>
      <c r="Q96" s="17">
        <v>5</v>
      </c>
      <c r="R96">
        <v>8</v>
      </c>
      <c r="S96">
        <v>4</v>
      </c>
      <c r="T96">
        <v>2</v>
      </c>
      <c r="U96">
        <v>1</v>
      </c>
      <c r="V96" s="15">
        <f t="shared" ca="1" si="3"/>
        <v>3</v>
      </c>
    </row>
    <row r="97" spans="1:22">
      <c r="A97" t="s">
        <v>3452</v>
      </c>
      <c r="B97" s="1">
        <v>41055.690486111111</v>
      </c>
      <c r="C97" s="2" t="s">
        <v>3453</v>
      </c>
      <c r="D97">
        <v>240000</v>
      </c>
      <c r="E97" t="s">
        <v>1908</v>
      </c>
      <c r="F97" s="5">
        <v>4273.9000049862161</v>
      </c>
      <c r="G97" s="5">
        <v>11951.000896325068</v>
      </c>
      <c r="H97" s="5">
        <f ca="1">OFFSET(F97,0,Brains!$D$1,1,1)</f>
        <v>11951.000896325068</v>
      </c>
      <c r="I97" t="s">
        <v>3454</v>
      </c>
      <c r="J97" t="s">
        <v>1897</v>
      </c>
      <c r="K97" t="s">
        <v>1859</v>
      </c>
      <c r="L97" t="s">
        <v>1859</v>
      </c>
      <c r="M97" s="11" t="s">
        <v>3918</v>
      </c>
      <c r="N97" t="s">
        <v>1860</v>
      </c>
      <c r="O97" s="7" t="s">
        <v>3921</v>
      </c>
      <c r="P97" s="17" t="str">
        <f t="shared" ca="1" si="2"/>
        <v>0-14.9K</v>
      </c>
      <c r="Q97" s="17">
        <v>5</v>
      </c>
      <c r="R97">
        <v>8</v>
      </c>
      <c r="S97">
        <v>4</v>
      </c>
      <c r="T97">
        <v>2</v>
      </c>
      <c r="U97">
        <v>1</v>
      </c>
      <c r="V97" s="15">
        <f t="shared" ca="1" si="3"/>
        <v>1</v>
      </c>
    </row>
    <row r="98" spans="1:22">
      <c r="A98" t="s">
        <v>1686</v>
      </c>
      <c r="B98" s="1">
        <v>41074.114386574074</v>
      </c>
      <c r="C98" s="2">
        <v>57000</v>
      </c>
      <c r="D98">
        <v>57000</v>
      </c>
      <c r="E98" t="s">
        <v>1856</v>
      </c>
      <c r="F98" s="5">
        <v>57000</v>
      </c>
      <c r="G98" s="5">
        <v>57000</v>
      </c>
      <c r="H98" s="5">
        <f ca="1">OFFSET(F98,0,Brains!$D$1,1,1)</f>
        <v>57000</v>
      </c>
      <c r="I98" t="s">
        <v>508</v>
      </c>
      <c r="J98" t="s">
        <v>1897</v>
      </c>
      <c r="K98" t="s">
        <v>1869</v>
      </c>
      <c r="L98" t="s">
        <v>1869</v>
      </c>
      <c r="M98" s="11" t="s">
        <v>3918</v>
      </c>
      <c r="N98" t="s">
        <v>1860</v>
      </c>
      <c r="O98" s="7" t="s">
        <v>3921</v>
      </c>
      <c r="P98" s="17" t="str">
        <f t="shared" ca="1" si="2"/>
        <v>50-74.9K</v>
      </c>
      <c r="Q98" s="17">
        <v>5</v>
      </c>
      <c r="R98">
        <v>9</v>
      </c>
      <c r="S98">
        <v>4</v>
      </c>
      <c r="T98">
        <v>2</v>
      </c>
      <c r="U98">
        <v>1</v>
      </c>
      <c r="V98" s="15">
        <f t="shared" ca="1" si="3"/>
        <v>4</v>
      </c>
    </row>
    <row r="99" spans="1:22">
      <c r="A99" t="s">
        <v>3788</v>
      </c>
      <c r="B99" s="1">
        <v>41056.673657407409</v>
      </c>
      <c r="C99" s="2">
        <v>80000</v>
      </c>
      <c r="D99">
        <v>80000</v>
      </c>
      <c r="E99" t="s">
        <v>1954</v>
      </c>
      <c r="F99" s="5">
        <v>126094.26176538273</v>
      </c>
      <c r="G99" s="5">
        <v>118694.36201780415</v>
      </c>
      <c r="H99" s="5">
        <f ca="1">OFFSET(F99,0,Brains!$D$1,1,1)</f>
        <v>118694.36201780415</v>
      </c>
      <c r="I99" t="s">
        <v>3789</v>
      </c>
      <c r="J99" t="s">
        <v>1897</v>
      </c>
      <c r="K99" t="s">
        <v>1956</v>
      </c>
      <c r="L99" t="s">
        <v>1956</v>
      </c>
      <c r="M99" s="11" t="s">
        <v>3918</v>
      </c>
      <c r="N99" t="s">
        <v>1860</v>
      </c>
      <c r="O99" s="7" t="s">
        <v>3921</v>
      </c>
      <c r="P99" s="17" t="str">
        <f t="shared" ca="1" si="2"/>
        <v>100-149.9K</v>
      </c>
      <c r="Q99" s="17">
        <v>5</v>
      </c>
      <c r="R99">
        <v>10</v>
      </c>
      <c r="S99">
        <v>4</v>
      </c>
      <c r="T99">
        <v>2</v>
      </c>
      <c r="U99">
        <v>1</v>
      </c>
      <c r="V99" s="15">
        <f t="shared" ca="1" si="3"/>
        <v>6</v>
      </c>
    </row>
    <row r="100" spans="1:22">
      <c r="A100" t="s">
        <v>1400</v>
      </c>
      <c r="B100" s="1">
        <v>41065.097928240742</v>
      </c>
      <c r="C100" s="2">
        <v>75000</v>
      </c>
      <c r="D100">
        <v>75000</v>
      </c>
      <c r="E100" t="s">
        <v>1856</v>
      </c>
      <c r="F100" s="5">
        <v>75000</v>
      </c>
      <c r="G100" s="5">
        <v>75000</v>
      </c>
      <c r="H100" s="5">
        <f ca="1">OFFSET(F100,0,Brains!$D$1,1,1)</f>
        <v>75000</v>
      </c>
      <c r="I100" t="s">
        <v>1897</v>
      </c>
      <c r="J100" t="s">
        <v>1897</v>
      </c>
      <c r="K100" t="s">
        <v>1869</v>
      </c>
      <c r="L100" t="s">
        <v>1869</v>
      </c>
      <c r="M100" s="11" t="s">
        <v>3918</v>
      </c>
      <c r="N100" t="s">
        <v>1860</v>
      </c>
      <c r="O100" s="7" t="s">
        <v>3921</v>
      </c>
      <c r="P100" s="17" t="str">
        <f t="shared" ca="1" si="2"/>
        <v>75-99.9K</v>
      </c>
      <c r="Q100" s="17">
        <v>5</v>
      </c>
      <c r="R100">
        <v>10</v>
      </c>
      <c r="S100">
        <v>4</v>
      </c>
      <c r="T100">
        <v>2</v>
      </c>
      <c r="U100">
        <v>1</v>
      </c>
      <c r="V100" s="15">
        <f t="shared" ca="1" si="3"/>
        <v>5</v>
      </c>
    </row>
    <row r="101" spans="1:22">
      <c r="A101" t="s">
        <v>3121</v>
      </c>
      <c r="B101" s="1">
        <v>41055.340775462966</v>
      </c>
      <c r="C101" s="2">
        <v>8000</v>
      </c>
      <c r="D101">
        <v>96000</v>
      </c>
      <c r="E101" t="s">
        <v>3122</v>
      </c>
      <c r="F101" s="5">
        <v>15092.18020692008</v>
      </c>
      <c r="G101" s="5">
        <v>22652.194431335531</v>
      </c>
      <c r="H101" s="5">
        <f ca="1">OFFSET(F101,0,Brains!$D$1,1,1)</f>
        <v>22652.194431335531</v>
      </c>
      <c r="I101" t="s">
        <v>3123</v>
      </c>
      <c r="J101" t="s">
        <v>1897</v>
      </c>
      <c r="K101" t="s">
        <v>3124</v>
      </c>
      <c r="L101" t="s">
        <v>35</v>
      </c>
      <c r="M101" s="11" t="s">
        <v>3918</v>
      </c>
      <c r="N101" t="s">
        <v>1860</v>
      </c>
      <c r="O101" s="7" t="s">
        <v>3921</v>
      </c>
      <c r="P101" s="17" t="str">
        <f t="shared" ca="1" si="2"/>
        <v>15-29.9K</v>
      </c>
      <c r="Q101" s="17">
        <v>5</v>
      </c>
      <c r="R101">
        <v>10</v>
      </c>
      <c r="S101">
        <v>4</v>
      </c>
      <c r="T101">
        <v>2</v>
      </c>
      <c r="U101">
        <v>1</v>
      </c>
      <c r="V101" s="15">
        <f t="shared" ca="1" si="3"/>
        <v>2</v>
      </c>
    </row>
    <row r="102" spans="1:22">
      <c r="A102" t="s">
        <v>362</v>
      </c>
      <c r="B102" s="1">
        <v>41057.863553240742</v>
      </c>
      <c r="C102" s="2">
        <v>168000</v>
      </c>
      <c r="D102">
        <v>168000</v>
      </c>
      <c r="E102" t="s">
        <v>1895</v>
      </c>
      <c r="F102" s="5">
        <v>1783.166904422254</v>
      </c>
      <c r="G102" s="5">
        <v>4109.2874789032112</v>
      </c>
      <c r="H102" s="5">
        <f ca="1">OFFSET(F102,0,Brains!$D$1,1,1)</f>
        <v>4109.2874789032112</v>
      </c>
      <c r="I102" t="s">
        <v>363</v>
      </c>
      <c r="J102" t="s">
        <v>1897</v>
      </c>
      <c r="K102" t="s">
        <v>1872</v>
      </c>
      <c r="L102" t="s">
        <v>1872</v>
      </c>
      <c r="M102" s="11" t="s">
        <v>3918</v>
      </c>
      <c r="N102" t="s">
        <v>1860</v>
      </c>
      <c r="O102" s="7" t="s">
        <v>3921</v>
      </c>
      <c r="P102" s="17" t="str">
        <f t="shared" ca="1" si="2"/>
        <v>0-14.9K</v>
      </c>
      <c r="Q102" s="17">
        <v>5</v>
      </c>
      <c r="R102">
        <v>10</v>
      </c>
      <c r="S102">
        <v>4</v>
      </c>
      <c r="T102">
        <v>2</v>
      </c>
      <c r="U102">
        <v>1</v>
      </c>
      <c r="V102" s="15">
        <f t="shared" ca="1" si="3"/>
        <v>1</v>
      </c>
    </row>
    <row r="103" spans="1:22">
      <c r="A103" t="s">
        <v>2816</v>
      </c>
      <c r="B103" s="1">
        <v>41055.111562500002</v>
      </c>
      <c r="C103" s="2" t="s">
        <v>2817</v>
      </c>
      <c r="D103">
        <v>4000000</v>
      </c>
      <c r="E103" t="s">
        <v>1908</v>
      </c>
      <c r="F103" s="5">
        <v>71231.666749770273</v>
      </c>
      <c r="G103" s="5">
        <v>199183.34827208446</v>
      </c>
      <c r="H103" s="5">
        <f ca="1">OFFSET(F103,0,Brains!$D$1,1,1)</f>
        <v>199183.34827208446</v>
      </c>
      <c r="I103" t="s">
        <v>2818</v>
      </c>
      <c r="J103" t="s">
        <v>1897</v>
      </c>
      <c r="K103" t="s">
        <v>1859</v>
      </c>
      <c r="L103" t="s">
        <v>1859</v>
      </c>
      <c r="M103" s="7" t="s">
        <v>3941</v>
      </c>
      <c r="N103" t="s">
        <v>1866</v>
      </c>
      <c r="P103" s="15" t="str">
        <f t="shared" ca="1" si="2"/>
        <v>150-249.9K</v>
      </c>
      <c r="Q103" s="15">
        <v>8</v>
      </c>
      <c r="S103">
        <v>5</v>
      </c>
      <c r="U103">
        <v>1</v>
      </c>
      <c r="V103" s="15">
        <f t="shared" ca="1" si="3"/>
        <v>7</v>
      </c>
    </row>
    <row r="104" spans="1:22">
      <c r="A104" t="s">
        <v>2995</v>
      </c>
      <c r="B104" s="1">
        <v>41055.201631944445</v>
      </c>
      <c r="C104" s="2" t="s">
        <v>2996</v>
      </c>
      <c r="D104">
        <v>49248</v>
      </c>
      <c r="E104" t="s">
        <v>1880</v>
      </c>
      <c r="F104" s="5">
        <v>62564.631571458704</v>
      </c>
      <c r="G104" s="5">
        <v>61865.305281564528</v>
      </c>
      <c r="H104" s="5">
        <f ca="1">OFFSET(F104,0,Brains!$D$1,1,1)</f>
        <v>61865.305281564528</v>
      </c>
      <c r="I104" t="s">
        <v>2997</v>
      </c>
      <c r="J104" t="s">
        <v>1897</v>
      </c>
      <c r="K104" t="s">
        <v>2998</v>
      </c>
      <c r="L104" t="s">
        <v>2998</v>
      </c>
      <c r="M104" s="7" t="s">
        <v>3941</v>
      </c>
      <c r="N104" t="s">
        <v>1866</v>
      </c>
      <c r="P104" s="15" t="str">
        <f t="shared" ca="1" si="2"/>
        <v>50-74.9K</v>
      </c>
      <c r="Q104" s="15">
        <v>8</v>
      </c>
      <c r="S104">
        <v>5</v>
      </c>
      <c r="U104">
        <v>1</v>
      </c>
      <c r="V104" s="15">
        <f t="shared" ca="1" si="3"/>
        <v>4</v>
      </c>
    </row>
    <row r="105" spans="1:22">
      <c r="A105" t="s">
        <v>2226</v>
      </c>
      <c r="B105" s="1">
        <v>41055.031377314815</v>
      </c>
      <c r="C105" s="2">
        <v>15500</v>
      </c>
      <c r="D105">
        <v>15500</v>
      </c>
      <c r="E105" t="s">
        <v>1856</v>
      </c>
      <c r="F105" s="5">
        <v>15500</v>
      </c>
      <c r="G105" s="5">
        <v>15500</v>
      </c>
      <c r="H105" s="5">
        <f ca="1">OFFSET(F105,0,Brains!$D$1,1,1)</f>
        <v>15500</v>
      </c>
      <c r="I105" t="s">
        <v>2227</v>
      </c>
      <c r="J105" t="s">
        <v>1897</v>
      </c>
      <c r="K105" t="s">
        <v>2123</v>
      </c>
      <c r="L105" t="s">
        <v>2123</v>
      </c>
      <c r="M105" s="7" t="s">
        <v>3941</v>
      </c>
      <c r="N105" t="s">
        <v>1866</v>
      </c>
      <c r="P105" s="15" t="str">
        <f t="shared" ca="1" si="2"/>
        <v>15-29.9K</v>
      </c>
      <c r="Q105" s="15">
        <v>8</v>
      </c>
      <c r="S105">
        <v>5</v>
      </c>
      <c r="U105">
        <v>1</v>
      </c>
      <c r="V105" s="15">
        <f t="shared" ca="1" si="3"/>
        <v>2</v>
      </c>
    </row>
    <row r="106" spans="1:22">
      <c r="A106" t="s">
        <v>1893</v>
      </c>
      <c r="B106" s="1">
        <v>41054.152048611111</v>
      </c>
      <c r="C106" s="2" t="s">
        <v>1894</v>
      </c>
      <c r="D106">
        <v>1152000</v>
      </c>
      <c r="E106" t="s">
        <v>1895</v>
      </c>
      <c r="F106" s="5">
        <v>12227.430201752599</v>
      </c>
      <c r="G106" s="5">
        <v>28177.971283907737</v>
      </c>
      <c r="H106" s="5">
        <f ca="1">OFFSET(F106,0,Brains!$D$1,1,1)</f>
        <v>28177.971283907737</v>
      </c>
      <c r="I106" t="s">
        <v>1896</v>
      </c>
      <c r="J106" t="s">
        <v>1897</v>
      </c>
      <c r="K106" t="s">
        <v>1872</v>
      </c>
      <c r="L106" t="s">
        <v>1872</v>
      </c>
      <c r="M106" s="7" t="s">
        <v>3941</v>
      </c>
      <c r="N106" t="s">
        <v>1866</v>
      </c>
      <c r="P106" s="15" t="str">
        <f t="shared" ca="1" si="2"/>
        <v>15-29.9K</v>
      </c>
      <c r="Q106" s="15">
        <v>8</v>
      </c>
      <c r="S106">
        <v>5</v>
      </c>
      <c r="U106">
        <v>1</v>
      </c>
      <c r="V106" s="15">
        <f t="shared" ca="1" si="3"/>
        <v>2</v>
      </c>
    </row>
    <row r="107" spans="1:22">
      <c r="A107" t="s">
        <v>2907</v>
      </c>
      <c r="B107" s="1">
        <v>41055.143020833333</v>
      </c>
      <c r="C107" s="2">
        <v>110000</v>
      </c>
      <c r="D107">
        <v>110000</v>
      </c>
      <c r="E107" t="s">
        <v>1856</v>
      </c>
      <c r="F107" s="5">
        <v>110000</v>
      </c>
      <c r="G107" s="5">
        <v>110000</v>
      </c>
      <c r="H107" s="5">
        <f ca="1">OFFSET(F107,0,Brains!$D$1,1,1)</f>
        <v>110000</v>
      </c>
      <c r="I107" t="s">
        <v>2908</v>
      </c>
      <c r="J107" t="s">
        <v>1897</v>
      </c>
      <c r="K107" t="s">
        <v>2909</v>
      </c>
      <c r="L107" t="s">
        <v>2909</v>
      </c>
      <c r="M107" s="11" t="s">
        <v>3917</v>
      </c>
      <c r="N107" t="s">
        <v>1873</v>
      </c>
      <c r="P107" s="15" t="str">
        <f t="shared" ca="1" si="2"/>
        <v>100-149.9K</v>
      </c>
      <c r="Q107" s="15">
        <v>2.5</v>
      </c>
      <c r="S107">
        <v>3</v>
      </c>
      <c r="U107">
        <v>1</v>
      </c>
      <c r="V107" s="15">
        <f t="shared" ca="1" si="3"/>
        <v>6</v>
      </c>
    </row>
    <row r="108" spans="1:22">
      <c r="A108" t="s">
        <v>2402</v>
      </c>
      <c r="B108" s="1">
        <v>41055.043645833335</v>
      </c>
      <c r="C108" s="2">
        <v>79000</v>
      </c>
      <c r="D108">
        <v>79000</v>
      </c>
      <c r="E108" t="s">
        <v>1856</v>
      </c>
      <c r="F108" s="5">
        <v>79000</v>
      </c>
      <c r="G108" s="5">
        <v>79000</v>
      </c>
      <c r="H108" s="5">
        <f ca="1">OFFSET(F108,0,Brains!$D$1,1,1)</f>
        <v>79000</v>
      </c>
      <c r="I108" t="s">
        <v>2403</v>
      </c>
      <c r="J108" t="s">
        <v>1897</v>
      </c>
      <c r="K108" t="s">
        <v>1869</v>
      </c>
      <c r="L108" t="s">
        <v>1869</v>
      </c>
      <c r="M108" s="11" t="s">
        <v>3917</v>
      </c>
      <c r="N108" t="s">
        <v>1873</v>
      </c>
      <c r="P108" s="15" t="str">
        <f t="shared" ca="1" si="2"/>
        <v>75-99.9K</v>
      </c>
      <c r="Q108" s="15">
        <v>2.5</v>
      </c>
      <c r="S108">
        <v>3</v>
      </c>
      <c r="U108">
        <v>1</v>
      </c>
      <c r="V108" s="15">
        <f t="shared" ca="1" si="3"/>
        <v>5</v>
      </c>
    </row>
    <row r="109" spans="1:22">
      <c r="A109" t="s">
        <v>2000</v>
      </c>
      <c r="B109" s="1">
        <v>41054.253668981481</v>
      </c>
      <c r="C109" s="2">
        <v>57000</v>
      </c>
      <c r="D109">
        <v>57000</v>
      </c>
      <c r="E109" t="s">
        <v>1856</v>
      </c>
      <c r="F109" s="5">
        <v>57000</v>
      </c>
      <c r="G109" s="5">
        <v>57000</v>
      </c>
      <c r="H109" s="5">
        <f ca="1">OFFSET(F109,0,Brains!$D$1,1,1)</f>
        <v>57000</v>
      </c>
      <c r="I109" t="s">
        <v>2001</v>
      </c>
      <c r="J109" t="s">
        <v>1897</v>
      </c>
      <c r="K109" t="s">
        <v>1869</v>
      </c>
      <c r="L109" t="s">
        <v>1869</v>
      </c>
      <c r="M109" s="11" t="s">
        <v>3917</v>
      </c>
      <c r="N109" t="s">
        <v>1873</v>
      </c>
      <c r="P109" s="15" t="str">
        <f t="shared" ca="1" si="2"/>
        <v>50-74.9K</v>
      </c>
      <c r="Q109" s="15">
        <v>2.5</v>
      </c>
      <c r="S109">
        <v>3</v>
      </c>
      <c r="U109">
        <v>1</v>
      </c>
      <c r="V109" s="15">
        <f t="shared" ca="1" si="3"/>
        <v>4</v>
      </c>
    </row>
    <row r="110" spans="1:22">
      <c r="A110" t="s">
        <v>2353</v>
      </c>
      <c r="B110" s="1">
        <v>41055.039317129631</v>
      </c>
      <c r="C110" s="2" t="s">
        <v>2354</v>
      </c>
      <c r="D110">
        <v>45000</v>
      </c>
      <c r="E110" t="s">
        <v>1856</v>
      </c>
      <c r="F110" s="5">
        <v>45000</v>
      </c>
      <c r="G110" s="5">
        <v>45000</v>
      </c>
      <c r="H110" s="5">
        <f ca="1">OFFSET(F110,0,Brains!$D$1,1,1)</f>
        <v>45000</v>
      </c>
      <c r="I110" t="s">
        <v>2355</v>
      </c>
      <c r="J110" t="s">
        <v>1897</v>
      </c>
      <c r="K110" t="s">
        <v>1869</v>
      </c>
      <c r="L110" t="s">
        <v>1869</v>
      </c>
      <c r="M110" s="11" t="s">
        <v>3917</v>
      </c>
      <c r="N110" t="s">
        <v>1873</v>
      </c>
      <c r="P110" s="15" t="str">
        <f t="shared" ca="1" si="2"/>
        <v>30-49.9K</v>
      </c>
      <c r="Q110" s="15">
        <v>2.5</v>
      </c>
      <c r="S110">
        <v>3</v>
      </c>
      <c r="U110">
        <v>1</v>
      </c>
      <c r="V110" s="15">
        <f t="shared" ca="1" si="3"/>
        <v>3</v>
      </c>
    </row>
    <row r="111" spans="1:22">
      <c r="A111" t="s">
        <v>2776</v>
      </c>
      <c r="B111" s="1">
        <v>41055.097395833334</v>
      </c>
      <c r="C111" s="2" t="s">
        <v>2777</v>
      </c>
      <c r="D111">
        <v>8500</v>
      </c>
      <c r="E111" t="s">
        <v>1856</v>
      </c>
      <c r="F111" s="5">
        <v>8500</v>
      </c>
      <c r="G111" s="5">
        <v>8500</v>
      </c>
      <c r="H111" s="5">
        <f ca="1">OFFSET(F111,0,Brains!$D$1,1,1)</f>
        <v>8500</v>
      </c>
      <c r="I111" t="s">
        <v>2140</v>
      </c>
      <c r="J111" t="s">
        <v>1897</v>
      </c>
      <c r="K111" t="s">
        <v>2750</v>
      </c>
      <c r="L111" t="s">
        <v>2750</v>
      </c>
      <c r="M111" s="11" t="s">
        <v>3917</v>
      </c>
      <c r="N111" t="s">
        <v>1873</v>
      </c>
      <c r="P111" s="15" t="str">
        <f t="shared" ca="1" si="2"/>
        <v>0-14.9K</v>
      </c>
      <c r="Q111" s="15">
        <v>2.5</v>
      </c>
      <c r="S111">
        <v>3</v>
      </c>
      <c r="U111">
        <v>1</v>
      </c>
      <c r="V111" s="15">
        <f t="shared" ca="1" si="3"/>
        <v>1</v>
      </c>
    </row>
    <row r="112" spans="1:22">
      <c r="A112" t="s">
        <v>2006</v>
      </c>
      <c r="B112" s="1">
        <v>41054.257152777776</v>
      </c>
      <c r="C112" s="2">
        <v>4320</v>
      </c>
      <c r="D112">
        <v>4320</v>
      </c>
      <c r="E112" t="s">
        <v>1856</v>
      </c>
      <c r="F112" s="5">
        <v>4320</v>
      </c>
      <c r="G112" s="5">
        <v>4320</v>
      </c>
      <c r="H112" s="5">
        <f ca="1">OFFSET(F112,0,Brains!$D$1,1,1)</f>
        <v>4320</v>
      </c>
      <c r="I112" t="s">
        <v>2007</v>
      </c>
      <c r="J112" t="s">
        <v>1897</v>
      </c>
      <c r="K112" t="s">
        <v>1859</v>
      </c>
      <c r="L112" t="s">
        <v>1859</v>
      </c>
      <c r="M112" s="11" t="s">
        <v>3917</v>
      </c>
      <c r="N112" t="s">
        <v>1873</v>
      </c>
      <c r="P112" s="15" t="str">
        <f t="shared" ca="1" si="2"/>
        <v>0-14.9K</v>
      </c>
      <c r="Q112" s="15">
        <v>2.5</v>
      </c>
      <c r="S112">
        <v>3</v>
      </c>
      <c r="U112">
        <v>1</v>
      </c>
      <c r="V112" s="15">
        <f t="shared" ca="1" si="3"/>
        <v>1</v>
      </c>
    </row>
    <row r="113" spans="1:22">
      <c r="A113" t="s">
        <v>2894</v>
      </c>
      <c r="B113" s="1">
        <v>41055.137025462966</v>
      </c>
      <c r="C113" s="2">
        <v>1250000</v>
      </c>
      <c r="D113">
        <v>1250000</v>
      </c>
      <c r="E113" t="s">
        <v>1979</v>
      </c>
      <c r="F113" s="5">
        <v>1229201.9037879086</v>
      </c>
      <c r="G113" s="5">
        <v>1000800.6405124099</v>
      </c>
      <c r="H113" s="5">
        <f ca="1">OFFSET(F113,0,Brains!$D$1,1,1)</f>
        <v>1000800.6405124099</v>
      </c>
      <c r="I113" t="s">
        <v>2895</v>
      </c>
      <c r="J113" t="s">
        <v>1897</v>
      </c>
      <c r="K113" t="s">
        <v>1981</v>
      </c>
      <c r="L113" t="s">
        <v>1981</v>
      </c>
      <c r="M113" s="11" t="s">
        <v>3918</v>
      </c>
      <c r="N113" t="s">
        <v>1860</v>
      </c>
      <c r="P113" s="15" t="str">
        <f t="shared" ca="1" si="2"/>
        <v>250K+</v>
      </c>
      <c r="Q113" s="15">
        <v>5</v>
      </c>
      <c r="S113">
        <v>4</v>
      </c>
      <c r="U113">
        <v>1</v>
      </c>
      <c r="V113" s="15">
        <f t="shared" ca="1" si="3"/>
        <v>8</v>
      </c>
    </row>
    <row r="114" spans="1:22">
      <c r="A114" t="s">
        <v>2356</v>
      </c>
      <c r="B114" s="1">
        <v>41055.039513888885</v>
      </c>
      <c r="C114" s="2">
        <v>78000</v>
      </c>
      <c r="D114">
        <v>78000</v>
      </c>
      <c r="E114" t="s">
        <v>1856</v>
      </c>
      <c r="F114" s="5">
        <v>78000</v>
      </c>
      <c r="G114" s="5">
        <v>78000</v>
      </c>
      <c r="H114" s="5">
        <f ca="1">OFFSET(F114,0,Brains!$D$1,1,1)</f>
        <v>78000</v>
      </c>
      <c r="I114" t="s">
        <v>2357</v>
      </c>
      <c r="J114" t="s">
        <v>1897</v>
      </c>
      <c r="K114" t="s">
        <v>2358</v>
      </c>
      <c r="L114" t="s">
        <v>2358</v>
      </c>
      <c r="M114" s="11" t="s">
        <v>3918</v>
      </c>
      <c r="N114" t="s">
        <v>1860</v>
      </c>
      <c r="P114" s="15" t="str">
        <f t="shared" ca="1" si="2"/>
        <v>75-99.9K</v>
      </c>
      <c r="Q114" s="15">
        <v>5</v>
      </c>
      <c r="S114">
        <v>4</v>
      </c>
      <c r="U114">
        <v>1</v>
      </c>
      <c r="V114" s="15">
        <f t="shared" ca="1" si="3"/>
        <v>5</v>
      </c>
    </row>
    <row r="115" spans="1:22">
      <c r="A115" t="s">
        <v>2450</v>
      </c>
      <c r="B115" s="1">
        <v>41055.047708333332</v>
      </c>
      <c r="C115" s="2" t="s">
        <v>2451</v>
      </c>
      <c r="D115">
        <v>77000</v>
      </c>
      <c r="E115" t="s">
        <v>1856</v>
      </c>
      <c r="F115" s="5">
        <v>77000</v>
      </c>
      <c r="G115" s="5">
        <v>77000</v>
      </c>
      <c r="H115" s="5">
        <f ca="1">OFFSET(F115,0,Brains!$D$1,1,1)</f>
        <v>77000</v>
      </c>
      <c r="I115" t="s">
        <v>2452</v>
      </c>
      <c r="J115" t="s">
        <v>1897</v>
      </c>
      <c r="K115" t="s">
        <v>1869</v>
      </c>
      <c r="L115" t="s">
        <v>1869</v>
      </c>
      <c r="M115" s="11" t="s">
        <v>3918</v>
      </c>
      <c r="N115" t="s">
        <v>1860</v>
      </c>
      <c r="P115" s="15" t="str">
        <f t="shared" ca="1" si="2"/>
        <v>75-99.9K</v>
      </c>
      <c r="Q115" s="15">
        <v>5</v>
      </c>
      <c r="S115">
        <v>4</v>
      </c>
      <c r="U115">
        <v>1</v>
      </c>
      <c r="V115" s="15">
        <f t="shared" ca="1" si="3"/>
        <v>5</v>
      </c>
    </row>
    <row r="116" spans="1:22">
      <c r="A116" t="s">
        <v>2392</v>
      </c>
      <c r="B116" s="1">
        <v>41055.04310185185</v>
      </c>
      <c r="C116" s="2">
        <v>65250</v>
      </c>
      <c r="D116">
        <v>65250</v>
      </c>
      <c r="E116" t="s">
        <v>1856</v>
      </c>
      <c r="F116" s="5">
        <v>65250</v>
      </c>
      <c r="G116" s="5">
        <v>65250</v>
      </c>
      <c r="H116" s="5">
        <f ca="1">OFFSET(F116,0,Brains!$D$1,1,1)</f>
        <v>65250</v>
      </c>
      <c r="I116" t="s">
        <v>1897</v>
      </c>
      <c r="J116" t="s">
        <v>1897</v>
      </c>
      <c r="K116" t="s">
        <v>1869</v>
      </c>
      <c r="L116" t="s">
        <v>1869</v>
      </c>
      <c r="M116" s="11" t="s">
        <v>3918</v>
      </c>
      <c r="N116" t="s">
        <v>1860</v>
      </c>
      <c r="P116" s="15" t="str">
        <f t="shared" ca="1" si="2"/>
        <v>50-74.9K</v>
      </c>
      <c r="Q116" s="15">
        <v>5</v>
      </c>
      <c r="S116">
        <v>4</v>
      </c>
      <c r="U116">
        <v>1</v>
      </c>
      <c r="V116" s="15">
        <f t="shared" ca="1" si="3"/>
        <v>4</v>
      </c>
    </row>
    <row r="117" spans="1:22">
      <c r="A117" t="s">
        <v>2002</v>
      </c>
      <c r="B117" s="1">
        <v>41054.25503472222</v>
      </c>
      <c r="C117" s="2">
        <v>40000</v>
      </c>
      <c r="D117">
        <v>40000</v>
      </c>
      <c r="E117" t="s">
        <v>1954</v>
      </c>
      <c r="F117" s="5">
        <v>63047.130882691366</v>
      </c>
      <c r="G117" s="5">
        <v>59347.181008902073</v>
      </c>
      <c r="H117" s="5">
        <f ca="1">OFFSET(F117,0,Brains!$D$1,1,1)</f>
        <v>59347.181008902073</v>
      </c>
      <c r="I117" t="s">
        <v>1983</v>
      </c>
      <c r="J117" t="s">
        <v>1897</v>
      </c>
      <c r="K117" t="s">
        <v>1956</v>
      </c>
      <c r="L117" t="s">
        <v>1956</v>
      </c>
      <c r="M117" s="11" t="s">
        <v>3918</v>
      </c>
      <c r="N117" t="s">
        <v>1860</v>
      </c>
      <c r="P117" s="15" t="str">
        <f t="shared" ca="1" si="2"/>
        <v>50-74.9K</v>
      </c>
      <c r="Q117" s="15">
        <v>5</v>
      </c>
      <c r="S117">
        <v>4</v>
      </c>
      <c r="U117">
        <v>1</v>
      </c>
      <c r="V117" s="15">
        <f t="shared" ca="1" si="3"/>
        <v>4</v>
      </c>
    </row>
    <row r="118" spans="1:22">
      <c r="A118" t="s">
        <v>2981</v>
      </c>
      <c r="B118" s="1">
        <v>41055.189895833333</v>
      </c>
      <c r="C118" s="2">
        <v>61000</v>
      </c>
      <c r="D118">
        <v>61000</v>
      </c>
      <c r="E118" t="s">
        <v>1856</v>
      </c>
      <c r="F118" s="5">
        <v>61000</v>
      </c>
      <c r="G118" s="5">
        <v>61000</v>
      </c>
      <c r="H118" s="5">
        <f ca="1">OFFSET(F118,0,Brains!$D$1,1,1)</f>
        <v>61000</v>
      </c>
      <c r="I118" t="s">
        <v>1983</v>
      </c>
      <c r="J118" t="s">
        <v>1897</v>
      </c>
      <c r="K118" t="s">
        <v>1869</v>
      </c>
      <c r="L118" t="s">
        <v>1869</v>
      </c>
      <c r="M118" s="11" t="s">
        <v>3918</v>
      </c>
      <c r="N118" t="s">
        <v>1860</v>
      </c>
      <c r="P118" s="15" t="str">
        <f t="shared" ca="1" si="2"/>
        <v>50-74.9K</v>
      </c>
      <c r="Q118" s="15">
        <v>5</v>
      </c>
      <c r="S118">
        <v>4</v>
      </c>
      <c r="U118">
        <v>1</v>
      </c>
      <c r="V118" s="15">
        <f t="shared" ca="1" si="3"/>
        <v>4</v>
      </c>
    </row>
    <row r="119" spans="1:22">
      <c r="A119" t="s">
        <v>2291</v>
      </c>
      <c r="B119" s="1">
        <v>41055.035162037035</v>
      </c>
      <c r="C119" s="2">
        <v>60000</v>
      </c>
      <c r="D119">
        <v>60000</v>
      </c>
      <c r="E119" t="s">
        <v>1856</v>
      </c>
      <c r="F119" s="5">
        <v>60000</v>
      </c>
      <c r="G119" s="5">
        <v>60000</v>
      </c>
      <c r="H119" s="5">
        <f ca="1">OFFSET(F119,0,Brains!$D$1,1,1)</f>
        <v>60000</v>
      </c>
      <c r="I119" t="s">
        <v>2292</v>
      </c>
      <c r="J119" t="s">
        <v>1897</v>
      </c>
      <c r="K119" t="s">
        <v>1869</v>
      </c>
      <c r="L119" t="s">
        <v>1869</v>
      </c>
      <c r="M119" s="11" t="s">
        <v>3918</v>
      </c>
      <c r="N119" t="s">
        <v>1860</v>
      </c>
      <c r="P119" s="15" t="str">
        <f t="shared" ca="1" si="2"/>
        <v>50-74.9K</v>
      </c>
      <c r="Q119" s="15">
        <v>5</v>
      </c>
      <c r="S119">
        <v>4</v>
      </c>
      <c r="U119">
        <v>1</v>
      </c>
      <c r="V119" s="15">
        <f t="shared" ca="1" si="3"/>
        <v>4</v>
      </c>
    </row>
    <row r="120" spans="1:22">
      <c r="A120" t="s">
        <v>2858</v>
      </c>
      <c r="B120" s="1">
        <v>41055.127418981479</v>
      </c>
      <c r="C120" s="2" t="s">
        <v>2859</v>
      </c>
      <c r="D120">
        <v>38000</v>
      </c>
      <c r="E120" t="s">
        <v>1954</v>
      </c>
      <c r="F120" s="5">
        <v>59894.774338556796</v>
      </c>
      <c r="G120" s="5">
        <v>56379.821958456974</v>
      </c>
      <c r="H120" s="5">
        <f ca="1">OFFSET(F120,0,Brains!$D$1,1,1)</f>
        <v>56379.821958456974</v>
      </c>
      <c r="I120" t="s">
        <v>2860</v>
      </c>
      <c r="J120" t="s">
        <v>1897</v>
      </c>
      <c r="K120" t="s">
        <v>1956</v>
      </c>
      <c r="L120" t="s">
        <v>1956</v>
      </c>
      <c r="M120" s="11" t="s">
        <v>3918</v>
      </c>
      <c r="N120" t="s">
        <v>1860</v>
      </c>
      <c r="P120" s="15" t="str">
        <f t="shared" ca="1" si="2"/>
        <v>50-74.9K</v>
      </c>
      <c r="Q120" s="15">
        <v>5</v>
      </c>
      <c r="S120">
        <v>4</v>
      </c>
      <c r="U120">
        <v>1</v>
      </c>
      <c r="V120" s="15">
        <f t="shared" ca="1" si="3"/>
        <v>4</v>
      </c>
    </row>
    <row r="121" spans="1:22">
      <c r="A121" t="s">
        <v>1982</v>
      </c>
      <c r="B121" s="1">
        <v>41054.23296296296</v>
      </c>
      <c r="C121" s="2">
        <v>58000</v>
      </c>
      <c r="D121">
        <v>58000</v>
      </c>
      <c r="E121" t="s">
        <v>1856</v>
      </c>
      <c r="F121" s="5">
        <v>58000</v>
      </c>
      <c r="G121" s="5">
        <v>58000</v>
      </c>
      <c r="H121" s="5">
        <f ca="1">OFFSET(F121,0,Brains!$D$1,1,1)</f>
        <v>58000</v>
      </c>
      <c r="I121" t="s">
        <v>1983</v>
      </c>
      <c r="J121" t="s">
        <v>1897</v>
      </c>
      <c r="K121" t="s">
        <v>1869</v>
      </c>
      <c r="L121" t="s">
        <v>1869</v>
      </c>
      <c r="M121" s="11" t="s">
        <v>3918</v>
      </c>
      <c r="N121" t="s">
        <v>1860</v>
      </c>
      <c r="P121" s="15" t="str">
        <f t="shared" ca="1" si="2"/>
        <v>50-74.9K</v>
      </c>
      <c r="Q121" s="15">
        <v>5</v>
      </c>
      <c r="S121">
        <v>4</v>
      </c>
      <c r="U121">
        <v>1</v>
      </c>
      <c r="V121" s="15">
        <f t="shared" ca="1" si="3"/>
        <v>4</v>
      </c>
    </row>
    <row r="122" spans="1:22">
      <c r="A122" t="s">
        <v>2744</v>
      </c>
      <c r="B122" s="1">
        <v>41055.091435185182</v>
      </c>
      <c r="C122" s="2" t="s">
        <v>1953</v>
      </c>
      <c r="D122">
        <v>35000</v>
      </c>
      <c r="E122" t="s">
        <v>1954</v>
      </c>
      <c r="F122" s="5">
        <v>55166.239522354947</v>
      </c>
      <c r="G122" s="5">
        <v>51928.783382789312</v>
      </c>
      <c r="H122" s="5">
        <f ca="1">OFFSET(F122,0,Brains!$D$1,1,1)</f>
        <v>51928.783382789312</v>
      </c>
      <c r="I122" t="s">
        <v>2745</v>
      </c>
      <c r="J122" t="s">
        <v>1897</v>
      </c>
      <c r="K122" t="s">
        <v>1956</v>
      </c>
      <c r="L122" t="s">
        <v>1956</v>
      </c>
      <c r="M122" s="11" t="s">
        <v>3918</v>
      </c>
      <c r="N122" t="s">
        <v>1860</v>
      </c>
      <c r="P122" s="15" t="str">
        <f t="shared" ca="1" si="2"/>
        <v>50-74.9K</v>
      </c>
      <c r="Q122" s="15">
        <v>5</v>
      </c>
      <c r="S122">
        <v>4</v>
      </c>
      <c r="U122">
        <v>1</v>
      </c>
      <c r="V122" s="15">
        <f t="shared" ca="1" si="3"/>
        <v>4</v>
      </c>
    </row>
    <row r="123" spans="1:22">
      <c r="A123" t="s">
        <v>2706</v>
      </c>
      <c r="B123" s="1">
        <v>41055.083865740744</v>
      </c>
      <c r="C123" s="2">
        <v>55000</v>
      </c>
      <c r="D123">
        <v>55000</v>
      </c>
      <c r="E123" t="s">
        <v>1856</v>
      </c>
      <c r="F123" s="5">
        <v>55000</v>
      </c>
      <c r="G123" s="5">
        <v>55000</v>
      </c>
      <c r="H123" s="5">
        <f ca="1">OFFSET(F123,0,Brains!$D$1,1,1)</f>
        <v>55000</v>
      </c>
      <c r="I123" t="s">
        <v>1897</v>
      </c>
      <c r="J123" t="s">
        <v>1897</v>
      </c>
      <c r="K123" t="s">
        <v>1869</v>
      </c>
      <c r="L123" t="s">
        <v>1869</v>
      </c>
      <c r="M123" s="11" t="s">
        <v>3918</v>
      </c>
      <c r="N123" t="s">
        <v>1860</v>
      </c>
      <c r="P123" s="15" t="str">
        <f t="shared" ca="1" si="2"/>
        <v>50-74.9K</v>
      </c>
      <c r="Q123" s="15">
        <v>5</v>
      </c>
      <c r="S123">
        <v>4</v>
      </c>
      <c r="U123">
        <v>1</v>
      </c>
      <c r="V123" s="15">
        <f t="shared" ca="1" si="3"/>
        <v>4</v>
      </c>
    </row>
    <row r="124" spans="1:22">
      <c r="A124" t="s">
        <v>2758</v>
      </c>
      <c r="B124" s="1">
        <v>41055.093611111108</v>
      </c>
      <c r="C124" s="2">
        <v>52000</v>
      </c>
      <c r="D124">
        <v>52000</v>
      </c>
      <c r="E124" t="s">
        <v>1856</v>
      </c>
      <c r="F124" s="5">
        <v>52000</v>
      </c>
      <c r="G124" s="5">
        <v>52000</v>
      </c>
      <c r="H124" s="5">
        <f ca="1">OFFSET(F124,0,Brains!$D$1,1,1)</f>
        <v>52000</v>
      </c>
      <c r="I124" t="s">
        <v>2759</v>
      </c>
      <c r="J124" t="s">
        <v>1897</v>
      </c>
      <c r="K124" t="s">
        <v>1869</v>
      </c>
      <c r="L124" t="s">
        <v>1869</v>
      </c>
      <c r="M124" s="11" t="s">
        <v>3918</v>
      </c>
      <c r="N124" t="s">
        <v>1860</v>
      </c>
      <c r="P124" s="15" t="str">
        <f t="shared" ca="1" si="2"/>
        <v>50-74.9K</v>
      </c>
      <c r="Q124" s="15">
        <v>5</v>
      </c>
      <c r="S124">
        <v>4</v>
      </c>
      <c r="U124">
        <v>1</v>
      </c>
      <c r="V124" s="15">
        <f t="shared" ca="1" si="3"/>
        <v>4</v>
      </c>
    </row>
    <row r="125" spans="1:22">
      <c r="A125" t="s">
        <v>2172</v>
      </c>
      <c r="B125" s="1">
        <v>41055.029537037037</v>
      </c>
      <c r="C125" s="2" t="s">
        <v>2173</v>
      </c>
      <c r="D125">
        <v>36000</v>
      </c>
      <c r="E125" t="s">
        <v>1856</v>
      </c>
      <c r="F125" s="5">
        <v>36000</v>
      </c>
      <c r="G125" s="5">
        <v>36000</v>
      </c>
      <c r="H125" s="5">
        <f ca="1">OFFSET(F125,0,Brains!$D$1,1,1)</f>
        <v>36000</v>
      </c>
      <c r="I125" t="s">
        <v>2174</v>
      </c>
      <c r="J125" t="s">
        <v>1897</v>
      </c>
      <c r="K125" t="s">
        <v>2175</v>
      </c>
      <c r="L125" t="s">
        <v>2175</v>
      </c>
      <c r="M125" s="11" t="s">
        <v>3918</v>
      </c>
      <c r="N125" t="s">
        <v>1860</v>
      </c>
      <c r="P125" s="15" t="str">
        <f t="shared" ca="1" si="2"/>
        <v>30-49.9K</v>
      </c>
      <c r="Q125" s="15">
        <v>5</v>
      </c>
      <c r="S125">
        <v>4</v>
      </c>
      <c r="U125">
        <v>1</v>
      </c>
      <c r="V125" s="15">
        <f t="shared" ca="1" si="3"/>
        <v>3</v>
      </c>
    </row>
    <row r="126" spans="1:22">
      <c r="A126" t="s">
        <v>2488</v>
      </c>
      <c r="B126" s="1">
        <v>41055.053599537037</v>
      </c>
      <c r="C126" s="2" t="s">
        <v>2489</v>
      </c>
      <c r="D126">
        <v>100000</v>
      </c>
      <c r="E126" t="s">
        <v>2490</v>
      </c>
      <c r="F126" s="5">
        <v>27221.92126875931</v>
      </c>
      <c r="G126" s="5">
        <v>18896.447467876042</v>
      </c>
      <c r="H126" s="5">
        <f ca="1">OFFSET(F126,0,Brains!$D$1,1,1)</f>
        <v>18896.447467876042</v>
      </c>
      <c r="I126" t="s">
        <v>1897</v>
      </c>
      <c r="J126" t="s">
        <v>1897</v>
      </c>
      <c r="K126" t="s">
        <v>2491</v>
      </c>
      <c r="L126" t="s">
        <v>2491</v>
      </c>
      <c r="M126" s="11" t="s">
        <v>3918</v>
      </c>
      <c r="N126" t="s">
        <v>1860</v>
      </c>
      <c r="P126" s="15" t="str">
        <f t="shared" ca="1" si="2"/>
        <v>15-29.9K</v>
      </c>
      <c r="Q126" s="15">
        <v>5</v>
      </c>
      <c r="S126">
        <v>4</v>
      </c>
      <c r="U126">
        <v>1</v>
      </c>
      <c r="V126" s="15">
        <f t="shared" ca="1" si="3"/>
        <v>2</v>
      </c>
    </row>
    <row r="127" spans="1:22">
      <c r="A127" t="s">
        <v>2254</v>
      </c>
      <c r="B127" s="1">
        <v>41055.033379629633</v>
      </c>
      <c r="C127" s="2">
        <v>22880</v>
      </c>
      <c r="D127">
        <v>22880</v>
      </c>
      <c r="E127" t="s">
        <v>1856</v>
      </c>
      <c r="F127" s="5">
        <v>22880</v>
      </c>
      <c r="G127" s="5">
        <v>22880</v>
      </c>
      <c r="H127" s="5">
        <f ca="1">OFFSET(F127,0,Brains!$D$1,1,1)</f>
        <v>22880</v>
      </c>
      <c r="I127" t="s">
        <v>2255</v>
      </c>
      <c r="J127" t="s">
        <v>1897</v>
      </c>
      <c r="K127" t="s">
        <v>1869</v>
      </c>
      <c r="L127" t="s">
        <v>1869</v>
      </c>
      <c r="M127" s="11" t="s">
        <v>3918</v>
      </c>
      <c r="N127" t="s">
        <v>1860</v>
      </c>
      <c r="P127" s="15" t="str">
        <f t="shared" ca="1" si="2"/>
        <v>15-29.9K</v>
      </c>
      <c r="Q127" s="15">
        <v>5</v>
      </c>
      <c r="S127">
        <v>4</v>
      </c>
      <c r="U127">
        <v>1</v>
      </c>
      <c r="V127" s="15">
        <f t="shared" ca="1" si="3"/>
        <v>2</v>
      </c>
    </row>
    <row r="128" spans="1:22">
      <c r="A128" t="s">
        <v>2361</v>
      </c>
      <c r="B128" s="1">
        <v>41055.039988425924</v>
      </c>
      <c r="C128" s="2" t="s">
        <v>2362</v>
      </c>
      <c r="D128">
        <v>350000</v>
      </c>
      <c r="E128" t="s">
        <v>1908</v>
      </c>
      <c r="F128" s="5">
        <v>6232.7708406048987</v>
      </c>
      <c r="G128" s="5">
        <v>17428.542973807391</v>
      </c>
      <c r="H128" s="5">
        <f ca="1">OFFSET(F128,0,Brains!$D$1,1,1)</f>
        <v>17428.542973807391</v>
      </c>
      <c r="I128" t="s">
        <v>2363</v>
      </c>
      <c r="J128" t="s">
        <v>1897</v>
      </c>
      <c r="K128" t="s">
        <v>1859</v>
      </c>
      <c r="L128" t="s">
        <v>1859</v>
      </c>
      <c r="M128" s="11" t="s">
        <v>3918</v>
      </c>
      <c r="N128" t="s">
        <v>1860</v>
      </c>
      <c r="P128" s="15" t="str">
        <f t="shared" ca="1" si="2"/>
        <v>15-29.9K</v>
      </c>
      <c r="Q128" s="15">
        <v>5</v>
      </c>
      <c r="S128">
        <v>4</v>
      </c>
      <c r="U128">
        <v>1</v>
      </c>
      <c r="V128" s="15">
        <f t="shared" ca="1" si="3"/>
        <v>2</v>
      </c>
    </row>
    <row r="129" spans="1:22">
      <c r="A129" t="s">
        <v>2592</v>
      </c>
      <c r="B129" s="1">
        <v>41055.064618055556</v>
      </c>
      <c r="C129" s="2">
        <v>150000</v>
      </c>
      <c r="D129">
        <v>150000</v>
      </c>
      <c r="E129" t="s">
        <v>1856</v>
      </c>
      <c r="F129" s="5">
        <v>150000</v>
      </c>
      <c r="G129" s="5">
        <v>150000</v>
      </c>
      <c r="H129" s="5">
        <f ca="1">OFFSET(F129,0,Brains!$D$1,1,1)</f>
        <v>150000</v>
      </c>
      <c r="I129" t="s">
        <v>2593</v>
      </c>
      <c r="J129" t="s">
        <v>1897</v>
      </c>
      <c r="K129" t="s">
        <v>1869</v>
      </c>
      <c r="L129" t="s">
        <v>1869</v>
      </c>
      <c r="M129" t="s">
        <v>3941</v>
      </c>
      <c r="N129" t="s">
        <v>1866</v>
      </c>
      <c r="P129" s="15" t="str">
        <f t="shared" ca="1" si="2"/>
        <v>150-249.9K</v>
      </c>
      <c r="Q129" s="15">
        <v>8</v>
      </c>
      <c r="S129">
        <v>5</v>
      </c>
      <c r="U129">
        <v>1</v>
      </c>
      <c r="V129" s="15">
        <f t="shared" ca="1" si="3"/>
        <v>7</v>
      </c>
    </row>
    <row r="130" spans="1:22">
      <c r="A130" t="s">
        <v>2233</v>
      </c>
      <c r="B130" s="1">
        <v>41055.031817129631</v>
      </c>
      <c r="C130" s="2">
        <v>100000</v>
      </c>
      <c r="D130">
        <v>100000</v>
      </c>
      <c r="E130" t="s">
        <v>1856</v>
      </c>
      <c r="F130" s="5">
        <v>100000</v>
      </c>
      <c r="G130" s="5">
        <v>100000</v>
      </c>
      <c r="H130" s="5">
        <f ca="1">OFFSET(F130,0,Brains!$D$1,1,1)</f>
        <v>100000</v>
      </c>
      <c r="I130" t="s">
        <v>2234</v>
      </c>
      <c r="J130" t="s">
        <v>1897</v>
      </c>
      <c r="K130" t="s">
        <v>1869</v>
      </c>
      <c r="L130" t="s">
        <v>1869</v>
      </c>
      <c r="M130" t="s">
        <v>3941</v>
      </c>
      <c r="N130" t="s">
        <v>1866</v>
      </c>
      <c r="P130" s="15" t="str">
        <f t="shared" ref="P130:P193" ca="1" si="4">IF(H130&lt;15000,"0-14.9K",IF(H130&lt;30000,"15-29.9K",IF(H130&lt;50000,"30-49.9K",IF(H130&lt;75000,"50-74.9K",IF(H130&lt;100000,"75-99.9K",IF(H130&lt;150000,"100-149.9K",IF(H130&lt;250000,"150-249.9K","250K+")))))))</f>
        <v>100-149.9K</v>
      </c>
      <c r="Q130" s="15">
        <v>8</v>
      </c>
      <c r="S130">
        <v>5</v>
      </c>
      <c r="U130">
        <v>1</v>
      </c>
      <c r="V130" s="15">
        <f t="shared" ref="V130:V193" ca="1" si="5">IF(H130&lt;15000,1,IF(H130&lt;30000,2,IF(H130&lt;50000,3,IF(H130&lt;75000,4,IF(H130&lt;100000,5,IF(H130&lt;150000,6,IF(H130&lt;250000,7,8)))))))</f>
        <v>6</v>
      </c>
    </row>
    <row r="131" spans="1:22">
      <c r="A131" t="s">
        <v>2158</v>
      </c>
      <c r="B131" s="1">
        <v>41055.028969907406</v>
      </c>
      <c r="C131" s="2">
        <v>70000</v>
      </c>
      <c r="D131">
        <v>70000</v>
      </c>
      <c r="E131" t="s">
        <v>1856</v>
      </c>
      <c r="F131" s="5">
        <v>70000</v>
      </c>
      <c r="G131" s="5">
        <v>70000</v>
      </c>
      <c r="H131" s="5">
        <f ca="1">OFFSET(F131,0,Brains!$D$1,1,1)</f>
        <v>70000</v>
      </c>
      <c r="I131" t="s">
        <v>2159</v>
      </c>
      <c r="J131" t="s">
        <v>1897</v>
      </c>
      <c r="K131" t="s">
        <v>1869</v>
      </c>
      <c r="L131" t="s">
        <v>1869</v>
      </c>
      <c r="M131" t="s">
        <v>3941</v>
      </c>
      <c r="N131" t="s">
        <v>1866</v>
      </c>
      <c r="P131" s="15" t="str">
        <f t="shared" ca="1" si="4"/>
        <v>50-74.9K</v>
      </c>
      <c r="Q131" s="15">
        <v>8</v>
      </c>
      <c r="S131">
        <v>5</v>
      </c>
      <c r="U131">
        <v>1</v>
      </c>
      <c r="V131" s="15">
        <f t="shared" ca="1" si="5"/>
        <v>4</v>
      </c>
    </row>
    <row r="132" spans="1:22">
      <c r="A132" t="s">
        <v>2170</v>
      </c>
      <c r="B132" s="1">
        <v>41055.029293981483</v>
      </c>
      <c r="C132" s="2">
        <v>65000</v>
      </c>
      <c r="D132">
        <v>65000</v>
      </c>
      <c r="E132" t="s">
        <v>1856</v>
      </c>
      <c r="F132" s="5">
        <v>65000</v>
      </c>
      <c r="G132" s="5">
        <v>65000</v>
      </c>
      <c r="H132" s="5">
        <f ca="1">OFFSET(F132,0,Brains!$D$1,1,1)</f>
        <v>65000</v>
      </c>
      <c r="I132" t="s">
        <v>2171</v>
      </c>
      <c r="J132" t="s">
        <v>1897</v>
      </c>
      <c r="K132" t="s">
        <v>1869</v>
      </c>
      <c r="L132" t="s">
        <v>1869</v>
      </c>
      <c r="M132" t="s">
        <v>3941</v>
      </c>
      <c r="N132" t="s">
        <v>1866</v>
      </c>
      <c r="P132" s="15" t="str">
        <f t="shared" ca="1" si="4"/>
        <v>50-74.9K</v>
      </c>
      <c r="Q132" s="15">
        <v>8</v>
      </c>
      <c r="S132">
        <v>5</v>
      </c>
      <c r="U132">
        <v>1</v>
      </c>
      <c r="V132" s="15">
        <f t="shared" ca="1" si="5"/>
        <v>4</v>
      </c>
    </row>
    <row r="133" spans="1:22">
      <c r="A133" t="s">
        <v>2223</v>
      </c>
      <c r="B133" s="1">
        <v>41055.03125</v>
      </c>
      <c r="C133" s="2">
        <v>65000</v>
      </c>
      <c r="D133">
        <v>65000</v>
      </c>
      <c r="E133" t="s">
        <v>1856</v>
      </c>
      <c r="F133" s="5">
        <v>65000</v>
      </c>
      <c r="G133" s="5">
        <v>65000</v>
      </c>
      <c r="H133" s="5">
        <f ca="1">OFFSET(F133,0,Brains!$D$1,1,1)</f>
        <v>65000</v>
      </c>
      <c r="I133" t="s">
        <v>2224</v>
      </c>
      <c r="J133" t="s">
        <v>1897</v>
      </c>
      <c r="K133" t="s">
        <v>1869</v>
      </c>
      <c r="L133" t="s">
        <v>1869</v>
      </c>
      <c r="M133" t="s">
        <v>3941</v>
      </c>
      <c r="N133" t="s">
        <v>1866</v>
      </c>
      <c r="P133" s="15" t="str">
        <f t="shared" ca="1" si="4"/>
        <v>50-74.9K</v>
      </c>
      <c r="Q133" s="15">
        <v>8</v>
      </c>
      <c r="S133">
        <v>5</v>
      </c>
      <c r="U133">
        <v>1</v>
      </c>
      <c r="V133" s="15">
        <f t="shared" ca="1" si="5"/>
        <v>4</v>
      </c>
    </row>
    <row r="134" spans="1:22">
      <c r="A134" t="s">
        <v>2442</v>
      </c>
      <c r="B134" s="1">
        <v>41055.047442129631</v>
      </c>
      <c r="C134" s="2">
        <v>62400</v>
      </c>
      <c r="D134">
        <v>62400</v>
      </c>
      <c r="E134" t="s">
        <v>1856</v>
      </c>
      <c r="F134" s="5">
        <v>62400</v>
      </c>
      <c r="G134" s="5">
        <v>62400</v>
      </c>
      <c r="H134" s="5">
        <f ca="1">OFFSET(F134,0,Brains!$D$1,1,1)</f>
        <v>62400</v>
      </c>
      <c r="I134" t="s">
        <v>2443</v>
      </c>
      <c r="J134" t="s">
        <v>1897</v>
      </c>
      <c r="K134" t="s">
        <v>1869</v>
      </c>
      <c r="L134" t="s">
        <v>1869</v>
      </c>
      <c r="M134" t="s">
        <v>3941</v>
      </c>
      <c r="N134" t="s">
        <v>1866</v>
      </c>
      <c r="P134" s="15" t="str">
        <f t="shared" ca="1" si="4"/>
        <v>50-74.9K</v>
      </c>
      <c r="Q134" s="15">
        <v>8</v>
      </c>
      <c r="S134">
        <v>5</v>
      </c>
      <c r="U134">
        <v>1</v>
      </c>
      <c r="V134" s="15">
        <f t="shared" ca="1" si="5"/>
        <v>4</v>
      </c>
    </row>
    <row r="135" spans="1:22">
      <c r="A135" t="s">
        <v>3034</v>
      </c>
      <c r="B135" s="1">
        <v>41055.229143518518</v>
      </c>
      <c r="C135" s="2">
        <v>43000</v>
      </c>
      <c r="D135">
        <v>43000</v>
      </c>
      <c r="E135" t="s">
        <v>1856</v>
      </c>
      <c r="F135" s="5">
        <v>43000</v>
      </c>
      <c r="G135" s="5">
        <v>43000</v>
      </c>
      <c r="H135" s="5">
        <f ca="1">OFFSET(F135,0,Brains!$D$1,1,1)</f>
        <v>43000</v>
      </c>
      <c r="I135" t="s">
        <v>1897</v>
      </c>
      <c r="J135" t="s">
        <v>1897</v>
      </c>
      <c r="K135" t="s">
        <v>1869</v>
      </c>
      <c r="L135" t="s">
        <v>1869</v>
      </c>
      <c r="M135" t="s">
        <v>3941</v>
      </c>
      <c r="N135" t="s">
        <v>1866</v>
      </c>
      <c r="P135" s="15" t="str">
        <f t="shared" ca="1" si="4"/>
        <v>30-49.9K</v>
      </c>
      <c r="Q135" s="15">
        <v>8</v>
      </c>
      <c r="S135">
        <v>5</v>
      </c>
      <c r="U135">
        <v>1</v>
      </c>
      <c r="V135" s="15">
        <f t="shared" ca="1" si="5"/>
        <v>3</v>
      </c>
    </row>
    <row r="136" spans="1:22">
      <c r="A136" t="s">
        <v>2139</v>
      </c>
      <c r="B136" s="1">
        <v>41055.028796296298</v>
      </c>
      <c r="C136" s="2">
        <v>37900</v>
      </c>
      <c r="D136">
        <v>37900</v>
      </c>
      <c r="E136" t="s">
        <v>1856</v>
      </c>
      <c r="F136" s="5">
        <v>37900</v>
      </c>
      <c r="G136" s="5">
        <v>37900</v>
      </c>
      <c r="H136" s="5">
        <f ca="1">OFFSET(F136,0,Brains!$D$1,1,1)</f>
        <v>37900</v>
      </c>
      <c r="I136" t="s">
        <v>2140</v>
      </c>
      <c r="J136" t="s">
        <v>1897</v>
      </c>
      <c r="K136" t="s">
        <v>1869</v>
      </c>
      <c r="L136" t="s">
        <v>1869</v>
      </c>
      <c r="M136" t="s">
        <v>3941</v>
      </c>
      <c r="N136" t="s">
        <v>1866</v>
      </c>
      <c r="P136" s="15" t="str">
        <f t="shared" ca="1" si="4"/>
        <v>30-49.9K</v>
      </c>
      <c r="Q136" s="15">
        <v>8</v>
      </c>
      <c r="S136">
        <v>5</v>
      </c>
      <c r="U136">
        <v>1</v>
      </c>
      <c r="V136" s="15">
        <f t="shared" ca="1" si="5"/>
        <v>3</v>
      </c>
    </row>
    <row r="137" spans="1:22">
      <c r="A137" t="s">
        <v>200</v>
      </c>
      <c r="B137" s="1">
        <v>41057.622534722221</v>
      </c>
      <c r="C137" s="2">
        <v>15600</v>
      </c>
      <c r="D137">
        <v>15600</v>
      </c>
      <c r="E137" t="s">
        <v>1954</v>
      </c>
      <c r="F137" s="5">
        <v>24588.381044249632</v>
      </c>
      <c r="G137" s="5">
        <v>23145.400593471808</v>
      </c>
      <c r="H137" s="5">
        <f ca="1">OFFSET(F137,0,Brains!$D$1,1,1)</f>
        <v>23145.400593471808</v>
      </c>
      <c r="I137" t="s">
        <v>201</v>
      </c>
      <c r="J137" t="s">
        <v>1858</v>
      </c>
      <c r="K137" t="s">
        <v>1956</v>
      </c>
      <c r="L137" t="s">
        <v>1956</v>
      </c>
      <c r="M137" s="7" t="s">
        <v>3941</v>
      </c>
      <c r="N137" t="s">
        <v>1866</v>
      </c>
      <c r="O137" s="7" t="s">
        <v>3920</v>
      </c>
      <c r="P137" s="17" t="str">
        <f t="shared" ca="1" si="4"/>
        <v>15-29.9K</v>
      </c>
      <c r="Q137" s="17">
        <v>8</v>
      </c>
      <c r="R137">
        <v>0</v>
      </c>
      <c r="S137">
        <v>5</v>
      </c>
      <c r="T137">
        <v>1</v>
      </c>
      <c r="U137">
        <v>2</v>
      </c>
      <c r="V137" s="15">
        <f t="shared" ca="1" si="5"/>
        <v>2</v>
      </c>
    </row>
    <row r="138" spans="1:22">
      <c r="A138" t="s">
        <v>1575</v>
      </c>
      <c r="B138" s="1">
        <v>41070.177835648145</v>
      </c>
      <c r="C138" s="2">
        <v>500000</v>
      </c>
      <c r="D138">
        <v>500000</v>
      </c>
      <c r="E138" t="s">
        <v>1908</v>
      </c>
      <c r="F138" s="5">
        <v>8903.9583437212841</v>
      </c>
      <c r="G138" s="5">
        <v>24897.918534010558</v>
      </c>
      <c r="H138" s="5">
        <f ca="1">OFFSET(F138,0,Brains!$D$1,1,1)</f>
        <v>24897.918534010558</v>
      </c>
      <c r="I138" t="s">
        <v>1576</v>
      </c>
      <c r="J138" t="s">
        <v>1858</v>
      </c>
      <c r="K138" t="s">
        <v>1859</v>
      </c>
      <c r="L138" t="s">
        <v>1859</v>
      </c>
      <c r="M138" s="7" t="s">
        <v>3941</v>
      </c>
      <c r="N138" t="s">
        <v>1866</v>
      </c>
      <c r="O138" s="7" t="s">
        <v>3920</v>
      </c>
      <c r="P138" s="17" t="str">
        <f t="shared" ca="1" si="4"/>
        <v>15-29.9K</v>
      </c>
      <c r="Q138" s="17">
        <v>8</v>
      </c>
      <c r="R138">
        <v>0</v>
      </c>
      <c r="S138">
        <v>5</v>
      </c>
      <c r="T138">
        <v>1</v>
      </c>
      <c r="U138">
        <v>2</v>
      </c>
      <c r="V138" s="15">
        <f t="shared" ca="1" si="5"/>
        <v>2</v>
      </c>
    </row>
    <row r="139" spans="1:22">
      <c r="A139" t="s">
        <v>1715</v>
      </c>
      <c r="B139" s="1">
        <v>41075.629988425928</v>
      </c>
      <c r="C139" s="2">
        <v>700</v>
      </c>
      <c r="D139">
        <v>8400</v>
      </c>
      <c r="E139" t="s">
        <v>1856</v>
      </c>
      <c r="F139" s="5">
        <v>8400</v>
      </c>
      <c r="G139" s="5">
        <v>8400</v>
      </c>
      <c r="H139" s="5">
        <f ca="1">OFFSET(F139,0,Brains!$D$1,1,1)</f>
        <v>8400</v>
      </c>
      <c r="I139" t="s">
        <v>1858</v>
      </c>
      <c r="J139" t="s">
        <v>1858</v>
      </c>
      <c r="K139" t="s">
        <v>1716</v>
      </c>
      <c r="L139" t="s">
        <v>1716</v>
      </c>
      <c r="M139" s="7" t="s">
        <v>3941</v>
      </c>
      <c r="N139" t="s">
        <v>1866</v>
      </c>
      <c r="O139" s="7" t="s">
        <v>3920</v>
      </c>
      <c r="P139" s="17" t="str">
        <f t="shared" ca="1" si="4"/>
        <v>0-14.9K</v>
      </c>
      <c r="Q139" s="17">
        <v>8</v>
      </c>
      <c r="R139">
        <v>0.3</v>
      </c>
      <c r="S139">
        <v>5</v>
      </c>
      <c r="T139">
        <v>1</v>
      </c>
      <c r="U139">
        <v>2</v>
      </c>
      <c r="V139" s="15">
        <f t="shared" ca="1" si="5"/>
        <v>1</v>
      </c>
    </row>
    <row r="140" spans="1:22">
      <c r="A140" t="s">
        <v>727</v>
      </c>
      <c r="B140" s="1">
        <v>41058.672210648147</v>
      </c>
      <c r="C140" s="2">
        <v>9000</v>
      </c>
      <c r="D140">
        <v>9000</v>
      </c>
      <c r="E140" t="s">
        <v>1856</v>
      </c>
      <c r="F140" s="5">
        <v>9000</v>
      </c>
      <c r="G140" s="5">
        <v>9000</v>
      </c>
      <c r="H140" s="5">
        <f ca="1">OFFSET(F140,0,Brains!$D$1,1,1)</f>
        <v>9000</v>
      </c>
      <c r="I140" t="s">
        <v>2099</v>
      </c>
      <c r="J140" t="s">
        <v>1858</v>
      </c>
      <c r="K140" t="s">
        <v>1859</v>
      </c>
      <c r="L140" t="s">
        <v>1859</v>
      </c>
      <c r="M140" s="7" t="s">
        <v>3941</v>
      </c>
      <c r="N140" t="s">
        <v>1866</v>
      </c>
      <c r="O140" s="7" t="s">
        <v>3920</v>
      </c>
      <c r="P140" s="17" t="str">
        <f t="shared" ca="1" si="4"/>
        <v>0-14.9K</v>
      </c>
      <c r="Q140" s="17">
        <v>8</v>
      </c>
      <c r="R140">
        <v>0.6</v>
      </c>
      <c r="S140">
        <v>5</v>
      </c>
      <c r="T140">
        <v>1</v>
      </c>
      <c r="U140">
        <v>2</v>
      </c>
      <c r="V140" s="15">
        <f t="shared" ca="1" si="5"/>
        <v>1</v>
      </c>
    </row>
    <row r="141" spans="1:22">
      <c r="A141" t="s">
        <v>3188</v>
      </c>
      <c r="B141" s="1">
        <v>41055.462326388886</v>
      </c>
      <c r="C141" s="2">
        <v>100000</v>
      </c>
      <c r="D141">
        <v>100000</v>
      </c>
      <c r="E141" t="s">
        <v>1973</v>
      </c>
      <c r="F141" s="5">
        <v>101990.96564026357</v>
      </c>
      <c r="G141" s="5">
        <v>63613.231552162855</v>
      </c>
      <c r="H141" s="5">
        <f ca="1">OFFSET(F141,0,Brains!$D$1,1,1)</f>
        <v>63613.231552162855</v>
      </c>
      <c r="I141" t="s">
        <v>2195</v>
      </c>
      <c r="J141" t="s">
        <v>1858</v>
      </c>
      <c r="K141" t="s">
        <v>1975</v>
      </c>
      <c r="L141" t="s">
        <v>1975</v>
      </c>
      <c r="M141" s="7" t="s">
        <v>3941</v>
      </c>
      <c r="N141" t="s">
        <v>1866</v>
      </c>
      <c r="O141" s="7" t="s">
        <v>3920</v>
      </c>
      <c r="P141" s="17" t="str">
        <f t="shared" ca="1" si="4"/>
        <v>50-74.9K</v>
      </c>
      <c r="Q141" s="17">
        <v>8</v>
      </c>
      <c r="R141">
        <v>1</v>
      </c>
      <c r="S141">
        <v>5</v>
      </c>
      <c r="T141">
        <v>1</v>
      </c>
      <c r="U141">
        <v>2</v>
      </c>
      <c r="V141" s="15">
        <f t="shared" ca="1" si="5"/>
        <v>4</v>
      </c>
    </row>
    <row r="142" spans="1:22">
      <c r="A142" t="s">
        <v>1637</v>
      </c>
      <c r="B142" s="1">
        <v>41072.769895833335</v>
      </c>
      <c r="C142" s="2">
        <v>32000</v>
      </c>
      <c r="D142">
        <v>32000</v>
      </c>
      <c r="E142" t="s">
        <v>1954</v>
      </c>
      <c r="F142" s="5">
        <v>50437.70470615309</v>
      </c>
      <c r="G142" s="5">
        <v>47477.744807121657</v>
      </c>
      <c r="H142" s="5">
        <f ca="1">OFFSET(F142,0,Brains!$D$1,1,1)</f>
        <v>47477.744807121657</v>
      </c>
      <c r="I142" t="s">
        <v>1868</v>
      </c>
      <c r="J142" t="s">
        <v>1858</v>
      </c>
      <c r="K142" t="s">
        <v>1956</v>
      </c>
      <c r="L142" t="s">
        <v>1956</v>
      </c>
      <c r="M142" s="7" t="s">
        <v>3941</v>
      </c>
      <c r="N142" t="s">
        <v>1866</v>
      </c>
      <c r="O142" s="7" t="s">
        <v>3920</v>
      </c>
      <c r="P142" s="17" t="str">
        <f t="shared" ca="1" si="4"/>
        <v>30-49.9K</v>
      </c>
      <c r="Q142" s="17">
        <v>8</v>
      </c>
      <c r="R142">
        <v>1</v>
      </c>
      <c r="S142">
        <v>5</v>
      </c>
      <c r="T142">
        <v>1</v>
      </c>
      <c r="U142">
        <v>2</v>
      </c>
      <c r="V142" s="15">
        <f t="shared" ca="1" si="5"/>
        <v>3</v>
      </c>
    </row>
    <row r="143" spans="1:22">
      <c r="A143" t="s">
        <v>1280</v>
      </c>
      <c r="B143" s="1">
        <v>41062.145358796297</v>
      </c>
      <c r="C143" s="2" t="s">
        <v>1281</v>
      </c>
      <c r="D143">
        <v>21500</v>
      </c>
      <c r="E143" t="s">
        <v>1954</v>
      </c>
      <c r="F143" s="5">
        <v>33887.832849446611</v>
      </c>
      <c r="G143" s="5">
        <v>31899.109792284864</v>
      </c>
      <c r="H143" s="5">
        <f ca="1">OFFSET(F143,0,Brains!$D$1,1,1)</f>
        <v>31899.109792284864</v>
      </c>
      <c r="I143" t="s">
        <v>2099</v>
      </c>
      <c r="J143" t="s">
        <v>1858</v>
      </c>
      <c r="K143" t="s">
        <v>1956</v>
      </c>
      <c r="L143" t="s">
        <v>1956</v>
      </c>
      <c r="M143" s="7" t="s">
        <v>3941</v>
      </c>
      <c r="N143" t="s">
        <v>1866</v>
      </c>
      <c r="O143" s="7" t="s">
        <v>3920</v>
      </c>
      <c r="P143" s="17" t="str">
        <f t="shared" ca="1" si="4"/>
        <v>30-49.9K</v>
      </c>
      <c r="Q143" s="17">
        <v>8</v>
      </c>
      <c r="R143">
        <v>1</v>
      </c>
      <c r="S143">
        <v>5</v>
      </c>
      <c r="T143">
        <v>1</v>
      </c>
      <c r="U143">
        <v>2</v>
      </c>
      <c r="V143" s="15">
        <f t="shared" ca="1" si="5"/>
        <v>3</v>
      </c>
    </row>
    <row r="144" spans="1:22">
      <c r="A144" t="s">
        <v>1276</v>
      </c>
      <c r="B144" s="1">
        <v>41062.13113425926</v>
      </c>
      <c r="C144" s="2">
        <v>1800000</v>
      </c>
      <c r="D144">
        <v>1800000</v>
      </c>
      <c r="E144" t="s">
        <v>1908</v>
      </c>
      <c r="F144" s="5">
        <v>32054.250037396621</v>
      </c>
      <c r="G144" s="5">
        <v>89632.506722438004</v>
      </c>
      <c r="H144" s="5">
        <f ca="1">OFFSET(F144,0,Brains!$D$1,1,1)</f>
        <v>89632.506722438004</v>
      </c>
      <c r="I144" t="s">
        <v>2290</v>
      </c>
      <c r="J144" t="s">
        <v>1858</v>
      </c>
      <c r="K144" t="s">
        <v>1859</v>
      </c>
      <c r="L144" t="s">
        <v>1859</v>
      </c>
      <c r="M144" s="7" t="s">
        <v>3941</v>
      </c>
      <c r="N144" t="s">
        <v>1866</v>
      </c>
      <c r="O144" s="7" t="s">
        <v>3920</v>
      </c>
      <c r="P144" s="17" t="str">
        <f t="shared" ca="1" si="4"/>
        <v>75-99.9K</v>
      </c>
      <c r="Q144" s="17">
        <v>8</v>
      </c>
      <c r="R144">
        <v>1</v>
      </c>
      <c r="S144">
        <v>5</v>
      </c>
      <c r="T144">
        <v>1</v>
      </c>
      <c r="U144">
        <v>2</v>
      </c>
      <c r="V144" s="15">
        <f t="shared" ca="1" si="5"/>
        <v>5</v>
      </c>
    </row>
    <row r="145" spans="1:22">
      <c r="A145" t="s">
        <v>3842</v>
      </c>
      <c r="B145" s="1">
        <v>41056.965289351851</v>
      </c>
      <c r="C145" s="2" t="s">
        <v>3843</v>
      </c>
      <c r="D145">
        <v>700000</v>
      </c>
      <c r="E145" t="s">
        <v>1908</v>
      </c>
      <c r="F145" s="5">
        <v>12465.541681209797</v>
      </c>
      <c r="G145" s="5">
        <v>34857.085947614782</v>
      </c>
      <c r="H145" s="5">
        <f ca="1">OFFSET(F145,0,Brains!$D$1,1,1)</f>
        <v>34857.085947614782</v>
      </c>
      <c r="I145" t="s">
        <v>2195</v>
      </c>
      <c r="J145" t="s">
        <v>1858</v>
      </c>
      <c r="K145" t="s">
        <v>1859</v>
      </c>
      <c r="L145" t="s">
        <v>1859</v>
      </c>
      <c r="M145" s="7" t="s">
        <v>3941</v>
      </c>
      <c r="N145" t="s">
        <v>1866</v>
      </c>
      <c r="O145" s="7" t="s">
        <v>3920</v>
      </c>
      <c r="P145" s="17" t="str">
        <f t="shared" ca="1" si="4"/>
        <v>30-49.9K</v>
      </c>
      <c r="Q145" s="17">
        <v>8</v>
      </c>
      <c r="R145">
        <v>1</v>
      </c>
      <c r="S145">
        <v>5</v>
      </c>
      <c r="T145">
        <v>1</v>
      </c>
      <c r="U145">
        <v>2</v>
      </c>
      <c r="V145" s="15">
        <f t="shared" ca="1" si="5"/>
        <v>3</v>
      </c>
    </row>
    <row r="146" spans="1:22">
      <c r="A146" t="s">
        <v>301</v>
      </c>
      <c r="B146" s="1">
        <v>41057.735254629632</v>
      </c>
      <c r="C146" s="2">
        <v>210000</v>
      </c>
      <c r="D146">
        <v>210000</v>
      </c>
      <c r="E146" t="s">
        <v>1908</v>
      </c>
      <c r="F146" s="5">
        <v>3739.6625043629392</v>
      </c>
      <c r="G146" s="5">
        <v>10457.125784284433</v>
      </c>
      <c r="H146" s="5">
        <f ca="1">OFFSET(F146,0,Brains!$D$1,1,1)</f>
        <v>10457.125784284433</v>
      </c>
      <c r="I146" t="s">
        <v>302</v>
      </c>
      <c r="J146" t="s">
        <v>1858</v>
      </c>
      <c r="K146" t="s">
        <v>1859</v>
      </c>
      <c r="L146" t="s">
        <v>1859</v>
      </c>
      <c r="M146" s="7" t="s">
        <v>3941</v>
      </c>
      <c r="N146" t="s">
        <v>1866</v>
      </c>
      <c r="O146" s="7" t="s">
        <v>3920</v>
      </c>
      <c r="P146" s="17" t="str">
        <f t="shared" ca="1" si="4"/>
        <v>0-14.9K</v>
      </c>
      <c r="Q146" s="17">
        <v>8</v>
      </c>
      <c r="R146">
        <v>1</v>
      </c>
      <c r="S146">
        <v>5</v>
      </c>
      <c r="T146">
        <v>1</v>
      </c>
      <c r="U146">
        <v>2</v>
      </c>
      <c r="V146" s="15">
        <f t="shared" ca="1" si="5"/>
        <v>1</v>
      </c>
    </row>
    <row r="147" spans="1:22">
      <c r="A147" t="s">
        <v>3597</v>
      </c>
      <c r="B147" s="1">
        <v>41055.937048611115</v>
      </c>
      <c r="C147" s="2">
        <v>144000</v>
      </c>
      <c r="D147">
        <v>144000</v>
      </c>
      <c r="E147" t="s">
        <v>1908</v>
      </c>
      <c r="F147" s="5">
        <v>2564.3400029917298</v>
      </c>
      <c r="G147" s="5">
        <v>7170.6005377950405</v>
      </c>
      <c r="H147" s="5">
        <f ca="1">OFFSET(F147,0,Brains!$D$1,1,1)</f>
        <v>7170.6005377950405</v>
      </c>
      <c r="I147" t="s">
        <v>3598</v>
      </c>
      <c r="J147" t="s">
        <v>1858</v>
      </c>
      <c r="K147" t="s">
        <v>1859</v>
      </c>
      <c r="L147" t="s">
        <v>1859</v>
      </c>
      <c r="M147" s="7" t="s">
        <v>3941</v>
      </c>
      <c r="N147" t="s">
        <v>1866</v>
      </c>
      <c r="O147" s="7" t="s">
        <v>3920</v>
      </c>
      <c r="P147" s="17" t="str">
        <f t="shared" ca="1" si="4"/>
        <v>0-14.9K</v>
      </c>
      <c r="Q147" s="17">
        <v>8</v>
      </c>
      <c r="R147">
        <v>1</v>
      </c>
      <c r="S147">
        <v>5</v>
      </c>
      <c r="T147">
        <v>1</v>
      </c>
      <c r="U147">
        <v>2</v>
      </c>
      <c r="V147" s="15">
        <f t="shared" ca="1" si="5"/>
        <v>1</v>
      </c>
    </row>
    <row r="148" spans="1:22">
      <c r="A148" t="s">
        <v>3440</v>
      </c>
      <c r="B148" s="1">
        <v>41055.675104166665</v>
      </c>
      <c r="C148" s="2" t="s">
        <v>3441</v>
      </c>
      <c r="D148">
        <v>21798</v>
      </c>
      <c r="E148" t="s">
        <v>1954</v>
      </c>
      <c r="F148" s="5">
        <v>34357.533974522659</v>
      </c>
      <c r="G148" s="5">
        <v>32341.246290801184</v>
      </c>
      <c r="H148" s="5">
        <f ca="1">OFFSET(F148,0,Brains!$D$1,1,1)</f>
        <v>32341.246290801184</v>
      </c>
      <c r="I148" t="s">
        <v>2099</v>
      </c>
      <c r="J148" t="s">
        <v>1858</v>
      </c>
      <c r="K148" t="s">
        <v>1956</v>
      </c>
      <c r="L148" t="s">
        <v>1956</v>
      </c>
      <c r="M148" s="7" t="s">
        <v>3941</v>
      </c>
      <c r="N148" t="s">
        <v>1866</v>
      </c>
      <c r="O148" s="7" t="s">
        <v>3920</v>
      </c>
      <c r="P148" s="17" t="str">
        <f t="shared" ca="1" si="4"/>
        <v>30-49.9K</v>
      </c>
      <c r="Q148" s="17">
        <v>8</v>
      </c>
      <c r="R148">
        <v>1.5</v>
      </c>
      <c r="S148">
        <v>5</v>
      </c>
      <c r="T148">
        <v>1</v>
      </c>
      <c r="U148">
        <v>2</v>
      </c>
      <c r="V148" s="15">
        <f t="shared" ca="1" si="5"/>
        <v>3</v>
      </c>
    </row>
    <row r="149" spans="1:22">
      <c r="A149" t="s">
        <v>1766</v>
      </c>
      <c r="B149" s="1">
        <v>41077.500659722224</v>
      </c>
      <c r="C149" s="2">
        <v>25000</v>
      </c>
      <c r="D149">
        <v>25000</v>
      </c>
      <c r="E149" t="s">
        <v>1856</v>
      </c>
      <c r="F149" s="5">
        <v>25000</v>
      </c>
      <c r="G149" s="5">
        <v>25000</v>
      </c>
      <c r="H149" s="5">
        <f ca="1">OFFSET(F149,0,Brains!$D$1,1,1)</f>
        <v>25000</v>
      </c>
      <c r="I149" t="s">
        <v>2099</v>
      </c>
      <c r="J149" t="s">
        <v>1858</v>
      </c>
      <c r="K149" t="s">
        <v>1859</v>
      </c>
      <c r="L149" t="s">
        <v>1859</v>
      </c>
      <c r="M149" s="7" t="s">
        <v>3941</v>
      </c>
      <c r="N149" t="s">
        <v>1866</v>
      </c>
      <c r="O149" s="7" t="s">
        <v>3920</v>
      </c>
      <c r="P149" s="17" t="str">
        <f t="shared" ca="1" si="4"/>
        <v>15-29.9K</v>
      </c>
      <c r="Q149" s="17">
        <v>8</v>
      </c>
      <c r="R149">
        <v>1.5</v>
      </c>
      <c r="S149">
        <v>5</v>
      </c>
      <c r="T149">
        <v>1</v>
      </c>
      <c r="U149">
        <v>2</v>
      </c>
      <c r="V149" s="15">
        <f t="shared" ca="1" si="5"/>
        <v>2</v>
      </c>
    </row>
    <row r="150" spans="1:22">
      <c r="A150" t="s">
        <v>1496</v>
      </c>
      <c r="B150" s="1">
        <v>41067.392881944441</v>
      </c>
      <c r="C150" s="2">
        <v>70000</v>
      </c>
      <c r="D150">
        <v>70000</v>
      </c>
      <c r="E150" t="s">
        <v>1979</v>
      </c>
      <c r="F150" s="5">
        <v>68835.306612122877</v>
      </c>
      <c r="G150" s="5">
        <v>56044.83586869495</v>
      </c>
      <c r="H150" s="5">
        <f ca="1">OFFSET(F150,0,Brains!$D$1,1,1)</f>
        <v>56044.83586869495</v>
      </c>
      <c r="I150" t="s">
        <v>1868</v>
      </c>
      <c r="J150" t="s">
        <v>1858</v>
      </c>
      <c r="K150" t="s">
        <v>1981</v>
      </c>
      <c r="L150" t="s">
        <v>1981</v>
      </c>
      <c r="M150" s="7" t="s">
        <v>3941</v>
      </c>
      <c r="N150" t="s">
        <v>1866</v>
      </c>
      <c r="O150" s="7" t="s">
        <v>3920</v>
      </c>
      <c r="P150" s="17" t="str">
        <f t="shared" ca="1" si="4"/>
        <v>50-74.9K</v>
      </c>
      <c r="Q150" s="17">
        <v>8</v>
      </c>
      <c r="R150">
        <v>2</v>
      </c>
      <c r="S150">
        <v>5</v>
      </c>
      <c r="T150">
        <v>1</v>
      </c>
      <c r="U150">
        <v>2</v>
      </c>
      <c r="V150" s="15">
        <f t="shared" ca="1" si="5"/>
        <v>4</v>
      </c>
    </row>
    <row r="151" spans="1:22">
      <c r="A151" t="s">
        <v>1467</v>
      </c>
      <c r="B151" s="1">
        <v>41066.473009259258</v>
      </c>
      <c r="C151" s="2">
        <v>36000</v>
      </c>
      <c r="D151">
        <v>36000</v>
      </c>
      <c r="E151" t="s">
        <v>1979</v>
      </c>
      <c r="F151" s="5">
        <v>35401.014829091764</v>
      </c>
      <c r="G151" s="5">
        <v>28823.058446757401</v>
      </c>
      <c r="H151" s="5">
        <f ca="1">OFFSET(F151,0,Brains!$D$1,1,1)</f>
        <v>28823.058446757401</v>
      </c>
      <c r="I151" t="s">
        <v>1468</v>
      </c>
      <c r="J151" t="s">
        <v>1858</v>
      </c>
      <c r="K151" t="s">
        <v>1981</v>
      </c>
      <c r="L151" t="s">
        <v>1981</v>
      </c>
      <c r="M151" s="7" t="s">
        <v>3941</v>
      </c>
      <c r="N151" t="s">
        <v>1866</v>
      </c>
      <c r="O151" s="7" t="s">
        <v>3920</v>
      </c>
      <c r="P151" s="17" t="str">
        <f t="shared" ca="1" si="4"/>
        <v>15-29.9K</v>
      </c>
      <c r="Q151" s="17">
        <v>8</v>
      </c>
      <c r="R151">
        <v>2</v>
      </c>
      <c r="S151">
        <v>5</v>
      </c>
      <c r="T151">
        <v>1</v>
      </c>
      <c r="U151">
        <v>2</v>
      </c>
      <c r="V151" s="15">
        <f t="shared" ca="1" si="5"/>
        <v>2</v>
      </c>
    </row>
    <row r="152" spans="1:22">
      <c r="A152" t="s">
        <v>1611</v>
      </c>
      <c r="B152" s="1">
        <v>41071.931539351855</v>
      </c>
      <c r="C152" s="2">
        <v>33600</v>
      </c>
      <c r="D152">
        <v>33600</v>
      </c>
      <c r="E152" t="s">
        <v>1856</v>
      </c>
      <c r="F152" s="5">
        <v>33600</v>
      </c>
      <c r="G152" s="5">
        <v>33600</v>
      </c>
      <c r="H152" s="5">
        <f ca="1">OFFSET(F152,0,Brains!$D$1,1,1)</f>
        <v>33600</v>
      </c>
      <c r="I152" t="s">
        <v>3236</v>
      </c>
      <c r="J152" t="s">
        <v>1858</v>
      </c>
      <c r="K152" t="s">
        <v>2344</v>
      </c>
      <c r="L152" t="s">
        <v>2344</v>
      </c>
      <c r="M152" s="7" t="s">
        <v>3941</v>
      </c>
      <c r="N152" t="s">
        <v>1866</v>
      </c>
      <c r="O152" s="7" t="s">
        <v>3920</v>
      </c>
      <c r="P152" s="17" t="str">
        <f t="shared" ca="1" si="4"/>
        <v>30-49.9K</v>
      </c>
      <c r="Q152" s="17">
        <v>8</v>
      </c>
      <c r="R152">
        <v>2</v>
      </c>
      <c r="S152">
        <v>5</v>
      </c>
      <c r="T152">
        <v>1</v>
      </c>
      <c r="U152">
        <v>2</v>
      </c>
      <c r="V152" s="15">
        <f t="shared" ca="1" si="5"/>
        <v>3</v>
      </c>
    </row>
    <row r="153" spans="1:22">
      <c r="A153" t="s">
        <v>1612</v>
      </c>
      <c r="B153" s="1">
        <v>41071.931944444441</v>
      </c>
      <c r="C153" s="2">
        <v>33600</v>
      </c>
      <c r="D153">
        <v>33600</v>
      </c>
      <c r="E153" t="s">
        <v>1856</v>
      </c>
      <c r="F153" s="5">
        <v>33600</v>
      </c>
      <c r="G153" s="5">
        <v>33600</v>
      </c>
      <c r="H153" s="5">
        <f ca="1">OFFSET(F153,0,Brains!$D$1,1,1)</f>
        <v>33600</v>
      </c>
      <c r="I153" t="s">
        <v>3236</v>
      </c>
      <c r="J153" t="s">
        <v>1858</v>
      </c>
      <c r="K153" t="s">
        <v>2344</v>
      </c>
      <c r="L153" t="s">
        <v>2344</v>
      </c>
      <c r="M153" s="7" t="s">
        <v>3941</v>
      </c>
      <c r="N153" t="s">
        <v>1866</v>
      </c>
      <c r="O153" s="7" t="s">
        <v>3920</v>
      </c>
      <c r="P153" s="17" t="str">
        <f t="shared" ca="1" si="4"/>
        <v>30-49.9K</v>
      </c>
      <c r="Q153" s="17">
        <v>8</v>
      </c>
      <c r="R153">
        <v>2</v>
      </c>
      <c r="S153">
        <v>5</v>
      </c>
      <c r="T153">
        <v>1</v>
      </c>
      <c r="U153">
        <v>2</v>
      </c>
      <c r="V153" s="15">
        <f t="shared" ca="1" si="5"/>
        <v>3</v>
      </c>
    </row>
    <row r="154" spans="1:22">
      <c r="A154" t="s">
        <v>981</v>
      </c>
      <c r="B154" s="1">
        <v>41059.574895833335</v>
      </c>
      <c r="C154" s="2" t="s">
        <v>982</v>
      </c>
      <c r="D154">
        <v>264000</v>
      </c>
      <c r="E154" t="s">
        <v>2912</v>
      </c>
      <c r="F154" s="5">
        <v>32187.34988380854</v>
      </c>
      <c r="G154" s="5">
        <v>46544.428772919608</v>
      </c>
      <c r="H154" s="5">
        <f ca="1">OFFSET(F154,0,Brains!$D$1,1,1)</f>
        <v>46544.428772919608</v>
      </c>
      <c r="I154" t="s">
        <v>1858</v>
      </c>
      <c r="J154" t="s">
        <v>1858</v>
      </c>
      <c r="K154" t="s">
        <v>983</v>
      </c>
      <c r="L154" t="s">
        <v>1922</v>
      </c>
      <c r="M154" s="7" t="s">
        <v>3941</v>
      </c>
      <c r="N154" t="s">
        <v>1866</v>
      </c>
      <c r="O154" s="7" t="s">
        <v>3920</v>
      </c>
      <c r="P154" s="17" t="str">
        <f t="shared" ca="1" si="4"/>
        <v>30-49.9K</v>
      </c>
      <c r="Q154" s="17">
        <v>8</v>
      </c>
      <c r="R154">
        <v>2</v>
      </c>
      <c r="S154">
        <v>5</v>
      </c>
      <c r="T154">
        <v>1</v>
      </c>
      <c r="U154">
        <v>2</v>
      </c>
      <c r="V154" s="15">
        <f t="shared" ca="1" si="5"/>
        <v>3</v>
      </c>
    </row>
    <row r="155" spans="1:22">
      <c r="A155" t="s">
        <v>3321</v>
      </c>
      <c r="B155" s="1">
        <v>41055.558391203704</v>
      </c>
      <c r="C155" s="2" t="s">
        <v>3322</v>
      </c>
      <c r="D155">
        <v>648000</v>
      </c>
      <c r="E155" t="s">
        <v>1908</v>
      </c>
      <c r="F155" s="5">
        <v>11539.530013462785</v>
      </c>
      <c r="G155" s="5">
        <v>32267.70242007768</v>
      </c>
      <c r="H155" s="5">
        <f ca="1">OFFSET(F155,0,Brains!$D$1,1,1)</f>
        <v>32267.70242007768</v>
      </c>
      <c r="I155" t="s">
        <v>3323</v>
      </c>
      <c r="J155" t="s">
        <v>1858</v>
      </c>
      <c r="K155" t="s">
        <v>1859</v>
      </c>
      <c r="L155" t="s">
        <v>1859</v>
      </c>
      <c r="M155" s="7" t="s">
        <v>3941</v>
      </c>
      <c r="N155" t="s">
        <v>1866</v>
      </c>
      <c r="O155" s="7" t="s">
        <v>3920</v>
      </c>
      <c r="P155" s="17" t="str">
        <f t="shared" ca="1" si="4"/>
        <v>30-49.9K</v>
      </c>
      <c r="Q155" s="17">
        <v>8</v>
      </c>
      <c r="R155">
        <v>2</v>
      </c>
      <c r="S155">
        <v>5</v>
      </c>
      <c r="T155">
        <v>1</v>
      </c>
      <c r="U155">
        <v>2</v>
      </c>
      <c r="V155" s="15">
        <f t="shared" ca="1" si="5"/>
        <v>3</v>
      </c>
    </row>
    <row r="156" spans="1:22">
      <c r="A156" t="s">
        <v>1108</v>
      </c>
      <c r="B156" s="1">
        <v>41060.234363425923</v>
      </c>
      <c r="C156" s="2">
        <v>800</v>
      </c>
      <c r="D156">
        <v>9600</v>
      </c>
      <c r="E156" t="s">
        <v>1856</v>
      </c>
      <c r="F156" s="5">
        <v>9600</v>
      </c>
      <c r="G156" s="5">
        <v>9600</v>
      </c>
      <c r="H156" s="5">
        <f ca="1">OFFSET(F156,0,Brains!$D$1,1,1)</f>
        <v>9600</v>
      </c>
      <c r="I156" t="s">
        <v>3437</v>
      </c>
      <c r="J156" t="s">
        <v>1858</v>
      </c>
      <c r="K156" t="s">
        <v>1109</v>
      </c>
      <c r="L156" t="s">
        <v>1109</v>
      </c>
      <c r="M156" s="7" t="s">
        <v>3941</v>
      </c>
      <c r="N156" t="s">
        <v>1866</v>
      </c>
      <c r="O156" s="7" t="s">
        <v>3920</v>
      </c>
      <c r="P156" s="17" t="str">
        <f t="shared" ca="1" si="4"/>
        <v>0-14.9K</v>
      </c>
      <c r="Q156" s="17">
        <v>8</v>
      </c>
      <c r="R156">
        <v>2</v>
      </c>
      <c r="S156">
        <v>5</v>
      </c>
      <c r="T156">
        <v>1</v>
      </c>
      <c r="U156">
        <v>2</v>
      </c>
      <c r="V156" s="15">
        <f t="shared" ca="1" si="5"/>
        <v>1</v>
      </c>
    </row>
    <row r="157" spans="1:22">
      <c r="A157" t="s">
        <v>589</v>
      </c>
      <c r="B157" s="1">
        <v>41058.331296296295</v>
      </c>
      <c r="C157" s="2">
        <v>800000</v>
      </c>
      <c r="D157">
        <v>9600000</v>
      </c>
      <c r="E157" t="s">
        <v>590</v>
      </c>
      <c r="F157" s="5">
        <v>7261.724659606657</v>
      </c>
      <c r="G157" s="5">
        <v>10432.16322858065</v>
      </c>
      <c r="H157" s="5">
        <f ca="1">OFFSET(F157,0,Brains!$D$1,1,1)</f>
        <v>10432.16322858065</v>
      </c>
      <c r="I157" t="s">
        <v>1858</v>
      </c>
      <c r="J157" t="s">
        <v>1858</v>
      </c>
      <c r="K157" t="s">
        <v>591</v>
      </c>
      <c r="L157" t="s">
        <v>591</v>
      </c>
      <c r="M157" s="7" t="s">
        <v>3941</v>
      </c>
      <c r="N157" t="s">
        <v>1866</v>
      </c>
      <c r="O157" s="7" t="s">
        <v>3920</v>
      </c>
      <c r="P157" s="17" t="str">
        <f t="shared" ca="1" si="4"/>
        <v>0-14.9K</v>
      </c>
      <c r="Q157" s="17">
        <v>8</v>
      </c>
      <c r="R157">
        <v>2</v>
      </c>
      <c r="S157">
        <v>5</v>
      </c>
      <c r="T157">
        <v>1</v>
      </c>
      <c r="U157">
        <v>2</v>
      </c>
      <c r="V157" s="15">
        <f t="shared" ca="1" si="5"/>
        <v>1</v>
      </c>
    </row>
    <row r="158" spans="1:22">
      <c r="A158" t="s">
        <v>3345</v>
      </c>
      <c r="B158" s="1">
        <v>41055.574212962965</v>
      </c>
      <c r="C158" s="2" t="s">
        <v>3346</v>
      </c>
      <c r="D158">
        <v>370000</v>
      </c>
      <c r="E158" t="s">
        <v>1908</v>
      </c>
      <c r="F158" s="5">
        <v>6588.9291743537506</v>
      </c>
      <c r="G158" s="5">
        <v>18424.45971516781</v>
      </c>
      <c r="H158" s="5">
        <f ca="1">OFFSET(F158,0,Brains!$D$1,1,1)</f>
        <v>18424.45971516781</v>
      </c>
      <c r="I158" t="s">
        <v>2544</v>
      </c>
      <c r="J158" t="s">
        <v>1858</v>
      </c>
      <c r="K158" t="s">
        <v>1859</v>
      </c>
      <c r="L158" t="s">
        <v>1859</v>
      </c>
      <c r="M158" s="7" t="s">
        <v>3941</v>
      </c>
      <c r="N158" t="s">
        <v>1866</v>
      </c>
      <c r="O158" s="7" t="s">
        <v>3920</v>
      </c>
      <c r="P158" s="17" t="str">
        <f t="shared" ca="1" si="4"/>
        <v>15-29.9K</v>
      </c>
      <c r="Q158" s="17">
        <v>8</v>
      </c>
      <c r="R158">
        <v>2</v>
      </c>
      <c r="S158">
        <v>5</v>
      </c>
      <c r="T158">
        <v>1</v>
      </c>
      <c r="U158">
        <v>2</v>
      </c>
      <c r="V158" s="15">
        <f t="shared" ca="1" si="5"/>
        <v>2</v>
      </c>
    </row>
    <row r="159" spans="1:22">
      <c r="A159" t="s">
        <v>3347</v>
      </c>
      <c r="B159" s="1">
        <v>41055.574374999997</v>
      </c>
      <c r="C159" s="2" t="s">
        <v>3346</v>
      </c>
      <c r="D159">
        <v>370000</v>
      </c>
      <c r="E159" t="s">
        <v>1908</v>
      </c>
      <c r="F159" s="5">
        <v>6588.9291743537506</v>
      </c>
      <c r="G159" s="5">
        <v>18424.45971516781</v>
      </c>
      <c r="H159" s="5">
        <f ca="1">OFFSET(F159,0,Brains!$D$1,1,1)</f>
        <v>18424.45971516781</v>
      </c>
      <c r="I159" t="s">
        <v>2544</v>
      </c>
      <c r="J159" t="s">
        <v>1858</v>
      </c>
      <c r="K159" t="s">
        <v>1859</v>
      </c>
      <c r="L159" t="s">
        <v>1859</v>
      </c>
      <c r="M159" s="7" t="s">
        <v>3941</v>
      </c>
      <c r="N159" t="s">
        <v>1866</v>
      </c>
      <c r="O159" s="7" t="s">
        <v>3920</v>
      </c>
      <c r="P159" s="17" t="str">
        <f t="shared" ca="1" si="4"/>
        <v>15-29.9K</v>
      </c>
      <c r="Q159" s="17">
        <v>8</v>
      </c>
      <c r="R159">
        <v>2</v>
      </c>
      <c r="S159">
        <v>5</v>
      </c>
      <c r="T159">
        <v>1</v>
      </c>
      <c r="U159">
        <v>2</v>
      </c>
      <c r="V159" s="15">
        <f t="shared" ca="1" si="5"/>
        <v>2</v>
      </c>
    </row>
    <row r="160" spans="1:22">
      <c r="A160" t="s">
        <v>1747</v>
      </c>
      <c r="B160" s="1">
        <v>41076.590868055559</v>
      </c>
      <c r="C160" s="2" t="s">
        <v>1748</v>
      </c>
      <c r="D160">
        <v>360000</v>
      </c>
      <c r="E160" t="s">
        <v>1908</v>
      </c>
      <c r="F160" s="5">
        <v>6410.8500074793246</v>
      </c>
      <c r="G160" s="5">
        <v>17926.501344487599</v>
      </c>
      <c r="H160" s="5">
        <f ca="1">OFFSET(F160,0,Brains!$D$1,1,1)</f>
        <v>17926.501344487599</v>
      </c>
      <c r="I160" t="s">
        <v>1858</v>
      </c>
      <c r="J160" t="s">
        <v>1858</v>
      </c>
      <c r="K160" t="s">
        <v>1859</v>
      </c>
      <c r="L160" t="s">
        <v>1859</v>
      </c>
      <c r="M160" s="7" t="s">
        <v>3941</v>
      </c>
      <c r="N160" t="s">
        <v>1866</v>
      </c>
      <c r="O160" s="7" t="s">
        <v>3920</v>
      </c>
      <c r="P160" s="17" t="str">
        <f t="shared" ca="1" si="4"/>
        <v>15-29.9K</v>
      </c>
      <c r="Q160" s="17">
        <v>8</v>
      </c>
      <c r="R160">
        <v>2</v>
      </c>
      <c r="S160">
        <v>5</v>
      </c>
      <c r="T160">
        <v>1</v>
      </c>
      <c r="U160">
        <v>2</v>
      </c>
      <c r="V160" s="15">
        <f t="shared" ca="1" si="5"/>
        <v>2</v>
      </c>
    </row>
    <row r="161" spans="1:22">
      <c r="A161" t="s">
        <v>1777</v>
      </c>
      <c r="B161" s="1">
        <v>41078.346539351849</v>
      </c>
      <c r="C161" s="2">
        <v>5000</v>
      </c>
      <c r="D161">
        <v>5000</v>
      </c>
      <c r="E161" t="s">
        <v>1856</v>
      </c>
      <c r="F161" s="5">
        <v>5000</v>
      </c>
      <c r="G161" s="5">
        <v>5000</v>
      </c>
      <c r="H161" s="5">
        <f ca="1">OFFSET(F161,0,Brains!$D$1,1,1)</f>
        <v>5000</v>
      </c>
      <c r="I161" t="s">
        <v>1778</v>
      </c>
      <c r="J161" t="s">
        <v>1858</v>
      </c>
      <c r="K161" t="s">
        <v>1859</v>
      </c>
      <c r="L161" t="s">
        <v>1859</v>
      </c>
      <c r="M161" s="7" t="s">
        <v>3941</v>
      </c>
      <c r="N161" t="s">
        <v>1866</v>
      </c>
      <c r="O161" s="7" t="s">
        <v>3920</v>
      </c>
      <c r="P161" s="17" t="str">
        <f t="shared" ca="1" si="4"/>
        <v>0-14.9K</v>
      </c>
      <c r="Q161" s="17">
        <v>8</v>
      </c>
      <c r="R161">
        <v>2</v>
      </c>
      <c r="S161">
        <v>5</v>
      </c>
      <c r="T161">
        <v>1</v>
      </c>
      <c r="U161">
        <v>2</v>
      </c>
      <c r="V161" s="15">
        <f t="shared" ca="1" si="5"/>
        <v>1</v>
      </c>
    </row>
    <row r="162" spans="1:22">
      <c r="A162" t="s">
        <v>3517</v>
      </c>
      <c r="B162" s="1">
        <v>41055.789490740739</v>
      </c>
      <c r="C162" s="2">
        <v>570000</v>
      </c>
      <c r="D162">
        <v>570000</v>
      </c>
      <c r="E162" t="s">
        <v>1908</v>
      </c>
      <c r="F162" s="5">
        <v>10150.512511842264</v>
      </c>
      <c r="G162" s="5">
        <v>28383.627128772034</v>
      </c>
      <c r="H162" s="5">
        <f ca="1">OFFSET(F162,0,Brains!$D$1,1,1)</f>
        <v>28383.627128772034</v>
      </c>
      <c r="I162" t="s">
        <v>1858</v>
      </c>
      <c r="J162" t="s">
        <v>1858</v>
      </c>
      <c r="K162" t="s">
        <v>1859</v>
      </c>
      <c r="L162" t="s">
        <v>1859</v>
      </c>
      <c r="M162" s="7" t="s">
        <v>3941</v>
      </c>
      <c r="N162" t="s">
        <v>1866</v>
      </c>
      <c r="O162" s="7" t="s">
        <v>3920</v>
      </c>
      <c r="P162" s="17" t="str">
        <f t="shared" ca="1" si="4"/>
        <v>15-29.9K</v>
      </c>
      <c r="Q162" s="17">
        <v>8</v>
      </c>
      <c r="R162">
        <v>2.4</v>
      </c>
      <c r="S162">
        <v>5</v>
      </c>
      <c r="T162">
        <v>1</v>
      </c>
      <c r="U162">
        <v>2</v>
      </c>
      <c r="V162" s="15">
        <f t="shared" ca="1" si="5"/>
        <v>2</v>
      </c>
    </row>
    <row r="163" spans="1:22">
      <c r="A163" t="s">
        <v>3603</v>
      </c>
      <c r="B163" s="1">
        <v>41055.948078703703</v>
      </c>
      <c r="C163" s="2" t="s">
        <v>3604</v>
      </c>
      <c r="D163">
        <v>300000</v>
      </c>
      <c r="E163" t="s">
        <v>3605</v>
      </c>
      <c r="F163" s="5">
        <v>148284.35006969364</v>
      </c>
      <c r="G163" s="5">
        <v>159574.46808510637</v>
      </c>
      <c r="H163" s="5">
        <f ca="1">OFFSET(F163,0,Brains!$D$1,1,1)</f>
        <v>159574.46808510637</v>
      </c>
      <c r="I163" t="s">
        <v>3606</v>
      </c>
      <c r="J163" t="s">
        <v>1858</v>
      </c>
      <c r="K163" t="s">
        <v>2081</v>
      </c>
      <c r="L163" t="s">
        <v>2081</v>
      </c>
      <c r="M163" s="7" t="s">
        <v>3941</v>
      </c>
      <c r="N163" t="s">
        <v>1866</v>
      </c>
      <c r="O163" s="7" t="s">
        <v>3920</v>
      </c>
      <c r="P163" s="17" t="str">
        <f t="shared" ca="1" si="4"/>
        <v>150-249.9K</v>
      </c>
      <c r="Q163" s="17">
        <v>8</v>
      </c>
      <c r="R163">
        <v>3</v>
      </c>
      <c r="S163">
        <v>5</v>
      </c>
      <c r="T163">
        <v>1</v>
      </c>
      <c r="U163">
        <v>2</v>
      </c>
      <c r="V163" s="15">
        <f t="shared" ca="1" si="5"/>
        <v>7</v>
      </c>
    </row>
    <row r="164" spans="1:22">
      <c r="A164" t="s">
        <v>1349</v>
      </c>
      <c r="B164" s="1">
        <v>41063.819652777776</v>
      </c>
      <c r="C164" s="2">
        <v>86000</v>
      </c>
      <c r="D164">
        <v>86000</v>
      </c>
      <c r="E164" t="s">
        <v>1856</v>
      </c>
      <c r="F164" s="5">
        <v>86000</v>
      </c>
      <c r="G164" s="5">
        <v>86000</v>
      </c>
      <c r="H164" s="5">
        <f ca="1">OFFSET(F164,0,Brains!$D$1,1,1)</f>
        <v>86000</v>
      </c>
      <c r="I164" t="s">
        <v>1858</v>
      </c>
      <c r="J164" t="s">
        <v>1858</v>
      </c>
      <c r="K164" t="s">
        <v>2469</v>
      </c>
      <c r="L164" t="s">
        <v>2469</v>
      </c>
      <c r="M164" s="7" t="s">
        <v>3941</v>
      </c>
      <c r="N164" t="s">
        <v>1866</v>
      </c>
      <c r="O164" s="7" t="s">
        <v>3920</v>
      </c>
      <c r="P164" s="17" t="str">
        <f t="shared" ca="1" si="4"/>
        <v>75-99.9K</v>
      </c>
      <c r="Q164" s="17">
        <v>8</v>
      </c>
      <c r="R164">
        <v>3</v>
      </c>
      <c r="S164">
        <v>5</v>
      </c>
      <c r="T164">
        <v>1</v>
      </c>
      <c r="U164">
        <v>2</v>
      </c>
      <c r="V164" s="15">
        <f t="shared" ca="1" si="5"/>
        <v>5</v>
      </c>
    </row>
    <row r="165" spans="1:22">
      <c r="A165" t="s">
        <v>1779</v>
      </c>
      <c r="B165" s="1">
        <v>41078.602766203701</v>
      </c>
      <c r="C165" s="2" t="s">
        <v>1780</v>
      </c>
      <c r="D165">
        <v>76300</v>
      </c>
      <c r="E165" t="s">
        <v>1973</v>
      </c>
      <c r="F165" s="5">
        <v>77819.106783521114</v>
      </c>
      <c r="G165" s="5">
        <v>48536.895674300256</v>
      </c>
      <c r="H165" s="5">
        <f ca="1">OFFSET(F165,0,Brains!$D$1,1,1)</f>
        <v>48536.895674300256</v>
      </c>
      <c r="I165" t="s">
        <v>2544</v>
      </c>
      <c r="J165" t="s">
        <v>1858</v>
      </c>
      <c r="K165" t="s">
        <v>1975</v>
      </c>
      <c r="L165" t="s">
        <v>1975</v>
      </c>
      <c r="M165" s="7" t="s">
        <v>3941</v>
      </c>
      <c r="N165" t="s">
        <v>1866</v>
      </c>
      <c r="O165" s="7" t="s">
        <v>3920</v>
      </c>
      <c r="P165" s="17" t="str">
        <f t="shared" ca="1" si="4"/>
        <v>30-49.9K</v>
      </c>
      <c r="Q165" s="17">
        <v>8</v>
      </c>
      <c r="R165">
        <v>3</v>
      </c>
      <c r="S165">
        <v>5</v>
      </c>
      <c r="T165">
        <v>1</v>
      </c>
      <c r="U165">
        <v>2</v>
      </c>
      <c r="V165" s="15">
        <f t="shared" ca="1" si="5"/>
        <v>3</v>
      </c>
    </row>
    <row r="166" spans="1:22">
      <c r="A166" t="s">
        <v>259</v>
      </c>
      <c r="B166" s="1">
        <v>41057.684884259259</v>
      </c>
      <c r="C166" s="2">
        <v>43912.03</v>
      </c>
      <c r="D166">
        <v>43912</v>
      </c>
      <c r="E166" t="s">
        <v>1954</v>
      </c>
      <c r="F166" s="5">
        <v>69213.140283018583</v>
      </c>
      <c r="G166" s="5">
        <v>65151.3353115727</v>
      </c>
      <c r="H166" s="5">
        <f ca="1">OFFSET(F166,0,Brains!$D$1,1,1)</f>
        <v>65151.3353115727</v>
      </c>
      <c r="I166" t="s">
        <v>2617</v>
      </c>
      <c r="J166" t="s">
        <v>1858</v>
      </c>
      <c r="K166" t="s">
        <v>1956</v>
      </c>
      <c r="L166" t="s">
        <v>1956</v>
      </c>
      <c r="M166" s="7" t="s">
        <v>3941</v>
      </c>
      <c r="N166" t="s">
        <v>1866</v>
      </c>
      <c r="O166" s="7" t="s">
        <v>3920</v>
      </c>
      <c r="P166" s="17" t="str">
        <f t="shared" ca="1" si="4"/>
        <v>50-74.9K</v>
      </c>
      <c r="Q166" s="17">
        <v>8</v>
      </c>
      <c r="R166">
        <v>3</v>
      </c>
      <c r="S166">
        <v>5</v>
      </c>
      <c r="T166">
        <v>1</v>
      </c>
      <c r="U166">
        <v>2</v>
      </c>
      <c r="V166" s="15">
        <f t="shared" ca="1" si="5"/>
        <v>4</v>
      </c>
    </row>
    <row r="167" spans="1:22">
      <c r="A167" t="s">
        <v>1270</v>
      </c>
      <c r="B167" s="1">
        <v>41061.97896990741</v>
      </c>
      <c r="C167" s="2" t="s">
        <v>3051</v>
      </c>
      <c r="D167">
        <v>20000</v>
      </c>
      <c r="E167" t="s">
        <v>1954</v>
      </c>
      <c r="F167" s="5">
        <v>31523.565441345683</v>
      </c>
      <c r="G167" s="5">
        <v>29673.590504451036</v>
      </c>
      <c r="H167" s="5">
        <f ca="1">OFFSET(F167,0,Brains!$D$1,1,1)</f>
        <v>29673.590504451036</v>
      </c>
      <c r="I167" t="s">
        <v>2544</v>
      </c>
      <c r="J167" t="s">
        <v>1858</v>
      </c>
      <c r="K167" t="s">
        <v>1956</v>
      </c>
      <c r="L167" t="s">
        <v>1956</v>
      </c>
      <c r="M167" s="7" t="s">
        <v>3941</v>
      </c>
      <c r="N167" t="s">
        <v>1866</v>
      </c>
      <c r="O167" s="7" t="s">
        <v>3920</v>
      </c>
      <c r="P167" s="17" t="str">
        <f t="shared" ca="1" si="4"/>
        <v>15-29.9K</v>
      </c>
      <c r="Q167" s="17">
        <v>8</v>
      </c>
      <c r="R167">
        <v>3</v>
      </c>
      <c r="S167">
        <v>5</v>
      </c>
      <c r="T167">
        <v>1</v>
      </c>
      <c r="U167">
        <v>2</v>
      </c>
      <c r="V167" s="15">
        <f t="shared" ca="1" si="5"/>
        <v>2</v>
      </c>
    </row>
    <row r="168" spans="1:22">
      <c r="A168" t="s">
        <v>1543</v>
      </c>
      <c r="B168" s="1">
        <v>41068.786180555559</v>
      </c>
      <c r="C168" s="2">
        <v>1230000</v>
      </c>
      <c r="D168">
        <v>1230000</v>
      </c>
      <c r="E168" t="s">
        <v>1908</v>
      </c>
      <c r="F168" s="5">
        <v>21903.737525554359</v>
      </c>
      <c r="G168" s="5">
        <v>61248.879593665966</v>
      </c>
      <c r="H168" s="5">
        <f ca="1">OFFSET(F168,0,Brains!$D$1,1,1)</f>
        <v>61248.879593665966</v>
      </c>
      <c r="I168" t="s">
        <v>1544</v>
      </c>
      <c r="J168" t="s">
        <v>1858</v>
      </c>
      <c r="K168" t="s">
        <v>1859</v>
      </c>
      <c r="L168" t="s">
        <v>1859</v>
      </c>
      <c r="M168" s="7" t="s">
        <v>3941</v>
      </c>
      <c r="N168" t="s">
        <v>1866</v>
      </c>
      <c r="O168" s="7" t="s">
        <v>3920</v>
      </c>
      <c r="P168" s="17" t="str">
        <f t="shared" ca="1" si="4"/>
        <v>50-74.9K</v>
      </c>
      <c r="Q168" s="17">
        <v>8</v>
      </c>
      <c r="R168">
        <v>3</v>
      </c>
      <c r="S168">
        <v>5</v>
      </c>
      <c r="T168">
        <v>1</v>
      </c>
      <c r="U168">
        <v>2</v>
      </c>
      <c r="V168" s="15">
        <f t="shared" ca="1" si="5"/>
        <v>4</v>
      </c>
    </row>
    <row r="169" spans="1:22">
      <c r="A169" t="s">
        <v>1545</v>
      </c>
      <c r="B169" s="1">
        <v>41068.786620370367</v>
      </c>
      <c r="C169" s="2">
        <v>1130000</v>
      </c>
      <c r="D169">
        <v>1130000</v>
      </c>
      <c r="E169" t="s">
        <v>1908</v>
      </c>
      <c r="F169" s="5">
        <v>20122.945856810104</v>
      </c>
      <c r="G169" s="5">
        <v>56269.29588686386</v>
      </c>
      <c r="H169" s="5">
        <f ca="1">OFFSET(F169,0,Brains!$D$1,1,1)</f>
        <v>56269.29588686386</v>
      </c>
      <c r="I169" t="s">
        <v>1544</v>
      </c>
      <c r="J169" t="s">
        <v>1858</v>
      </c>
      <c r="K169" t="s">
        <v>1859</v>
      </c>
      <c r="L169" t="s">
        <v>1859</v>
      </c>
      <c r="M169" s="7" t="s">
        <v>3941</v>
      </c>
      <c r="N169" t="s">
        <v>1866</v>
      </c>
      <c r="O169" s="7" t="s">
        <v>3920</v>
      </c>
      <c r="P169" s="17" t="str">
        <f t="shared" ca="1" si="4"/>
        <v>50-74.9K</v>
      </c>
      <c r="Q169" s="17">
        <v>8</v>
      </c>
      <c r="R169">
        <v>3</v>
      </c>
      <c r="S169">
        <v>5</v>
      </c>
      <c r="T169">
        <v>1</v>
      </c>
      <c r="U169">
        <v>2</v>
      </c>
      <c r="V169" s="15">
        <f t="shared" ca="1" si="5"/>
        <v>4</v>
      </c>
    </row>
    <row r="170" spans="1:22">
      <c r="A170" t="s">
        <v>388</v>
      </c>
      <c r="B170" s="1">
        <v>41057.939918981479</v>
      </c>
      <c r="C170" s="2">
        <v>600000</v>
      </c>
      <c r="D170">
        <v>600000</v>
      </c>
      <c r="E170" t="s">
        <v>389</v>
      </c>
      <c r="F170" s="5">
        <v>15404.364569961488</v>
      </c>
      <c r="G170" s="5">
        <v>24760.647078243645</v>
      </c>
      <c r="H170" s="5">
        <f ca="1">OFFSET(F170,0,Brains!$D$1,1,1)</f>
        <v>24760.647078243645</v>
      </c>
      <c r="I170" t="s">
        <v>390</v>
      </c>
      <c r="J170" t="s">
        <v>1858</v>
      </c>
      <c r="K170" t="s">
        <v>391</v>
      </c>
      <c r="L170" t="s">
        <v>2804</v>
      </c>
      <c r="M170" s="7" t="s">
        <v>3941</v>
      </c>
      <c r="N170" t="s">
        <v>1866</v>
      </c>
      <c r="O170" s="7" t="s">
        <v>3920</v>
      </c>
      <c r="P170" s="17" t="str">
        <f t="shared" ca="1" si="4"/>
        <v>15-29.9K</v>
      </c>
      <c r="Q170" s="17">
        <v>8</v>
      </c>
      <c r="R170">
        <v>3</v>
      </c>
      <c r="S170">
        <v>5</v>
      </c>
      <c r="T170">
        <v>1</v>
      </c>
      <c r="U170">
        <v>2</v>
      </c>
      <c r="V170" s="15">
        <f t="shared" ca="1" si="5"/>
        <v>2</v>
      </c>
    </row>
    <row r="171" spans="1:22">
      <c r="A171" t="s">
        <v>750</v>
      </c>
      <c r="B171" s="1">
        <v>41058.715185185189</v>
      </c>
      <c r="C171" s="2">
        <v>300000</v>
      </c>
      <c r="D171">
        <v>300000</v>
      </c>
      <c r="E171" t="s">
        <v>1908</v>
      </c>
      <c r="F171" s="5">
        <v>5342.3750062327708</v>
      </c>
      <c r="G171" s="5">
        <v>14938.751120406334</v>
      </c>
      <c r="H171" s="5">
        <f ca="1">OFFSET(F171,0,Brains!$D$1,1,1)</f>
        <v>14938.751120406334</v>
      </c>
      <c r="I171" t="s">
        <v>751</v>
      </c>
      <c r="J171" t="s">
        <v>1858</v>
      </c>
      <c r="K171" t="s">
        <v>1859</v>
      </c>
      <c r="L171" t="s">
        <v>1859</v>
      </c>
      <c r="M171" s="7" t="s">
        <v>3941</v>
      </c>
      <c r="N171" t="s">
        <v>1866</v>
      </c>
      <c r="O171" s="7" t="s">
        <v>3920</v>
      </c>
      <c r="P171" s="17" t="str">
        <f t="shared" ca="1" si="4"/>
        <v>0-14.9K</v>
      </c>
      <c r="Q171" s="17">
        <v>8</v>
      </c>
      <c r="R171">
        <v>3</v>
      </c>
      <c r="S171">
        <v>5</v>
      </c>
      <c r="T171">
        <v>1</v>
      </c>
      <c r="U171">
        <v>2</v>
      </c>
      <c r="V171" s="15">
        <f t="shared" ca="1" si="5"/>
        <v>1</v>
      </c>
    </row>
    <row r="172" spans="1:22">
      <c r="A172" t="s">
        <v>272</v>
      </c>
      <c r="B172" s="1">
        <v>41057.703622685185</v>
      </c>
      <c r="C172" s="2" t="s">
        <v>273</v>
      </c>
      <c r="D172">
        <v>180000</v>
      </c>
      <c r="E172" t="s">
        <v>1908</v>
      </c>
      <c r="F172" s="5">
        <v>3205.4250037396623</v>
      </c>
      <c r="G172" s="5">
        <v>8963.2506722437993</v>
      </c>
      <c r="H172" s="5">
        <f ca="1">OFFSET(F172,0,Brains!$D$1,1,1)</f>
        <v>8963.2506722437993</v>
      </c>
      <c r="I172" t="s">
        <v>274</v>
      </c>
      <c r="J172" t="s">
        <v>1858</v>
      </c>
      <c r="K172" t="s">
        <v>1859</v>
      </c>
      <c r="L172" t="s">
        <v>1859</v>
      </c>
      <c r="M172" s="7" t="s">
        <v>3941</v>
      </c>
      <c r="N172" t="s">
        <v>1866</v>
      </c>
      <c r="O172" s="7" t="s">
        <v>3920</v>
      </c>
      <c r="P172" s="17" t="str">
        <f t="shared" ca="1" si="4"/>
        <v>0-14.9K</v>
      </c>
      <c r="Q172" s="17">
        <v>8</v>
      </c>
      <c r="R172">
        <v>3</v>
      </c>
      <c r="S172">
        <v>5</v>
      </c>
      <c r="T172">
        <v>1</v>
      </c>
      <c r="U172">
        <v>2</v>
      </c>
      <c r="V172" s="15">
        <f t="shared" ca="1" si="5"/>
        <v>1</v>
      </c>
    </row>
    <row r="173" spans="1:22">
      <c r="A173" t="s">
        <v>3668</v>
      </c>
      <c r="B173" s="1">
        <v>41056.073611111111</v>
      </c>
      <c r="C173" s="2">
        <v>650000</v>
      </c>
      <c r="D173">
        <v>650000</v>
      </c>
      <c r="E173" t="s">
        <v>1908</v>
      </c>
      <c r="F173" s="5">
        <v>11575.14584683767</v>
      </c>
      <c r="G173" s="5">
        <v>32367.294094213721</v>
      </c>
      <c r="H173" s="5">
        <f ca="1">OFFSET(F173,0,Brains!$D$1,1,1)</f>
        <v>32367.294094213721</v>
      </c>
      <c r="I173" t="s">
        <v>3669</v>
      </c>
      <c r="J173" t="s">
        <v>1858</v>
      </c>
      <c r="K173" t="s">
        <v>1859</v>
      </c>
      <c r="L173" t="s">
        <v>1859</v>
      </c>
      <c r="M173" s="7" t="s">
        <v>3941</v>
      </c>
      <c r="N173" t="s">
        <v>1866</v>
      </c>
      <c r="O173" s="7" t="s">
        <v>3920</v>
      </c>
      <c r="P173" s="17" t="str">
        <f t="shared" ca="1" si="4"/>
        <v>30-49.9K</v>
      </c>
      <c r="Q173" s="17">
        <v>8</v>
      </c>
      <c r="R173">
        <v>3.5</v>
      </c>
      <c r="S173">
        <v>5</v>
      </c>
      <c r="T173">
        <v>1</v>
      </c>
      <c r="U173">
        <v>2</v>
      </c>
      <c r="V173" s="15">
        <f t="shared" ca="1" si="5"/>
        <v>3</v>
      </c>
    </row>
    <row r="174" spans="1:22">
      <c r="A174" t="s">
        <v>1622</v>
      </c>
      <c r="B174" s="1">
        <v>41072.156539351854</v>
      </c>
      <c r="C174" s="2">
        <v>78000</v>
      </c>
      <c r="D174">
        <v>78000</v>
      </c>
      <c r="E174" t="s">
        <v>1979</v>
      </c>
      <c r="F174" s="5">
        <v>76702.198796365497</v>
      </c>
      <c r="G174" s="5">
        <v>62449.95996797437</v>
      </c>
      <c r="H174" s="5">
        <f ca="1">OFFSET(F174,0,Brains!$D$1,1,1)</f>
        <v>62449.95996797437</v>
      </c>
      <c r="I174" t="s">
        <v>1623</v>
      </c>
      <c r="J174" t="s">
        <v>1858</v>
      </c>
      <c r="K174" t="s">
        <v>1981</v>
      </c>
      <c r="L174" t="s">
        <v>1981</v>
      </c>
      <c r="M174" s="7" t="s">
        <v>3941</v>
      </c>
      <c r="N174" t="s">
        <v>1866</v>
      </c>
      <c r="O174" s="7" t="s">
        <v>3920</v>
      </c>
      <c r="P174" s="17" t="str">
        <f t="shared" ca="1" si="4"/>
        <v>50-74.9K</v>
      </c>
      <c r="Q174" s="17">
        <v>8</v>
      </c>
      <c r="R174">
        <v>4</v>
      </c>
      <c r="S174">
        <v>5</v>
      </c>
      <c r="T174">
        <v>1</v>
      </c>
      <c r="U174">
        <v>2</v>
      </c>
      <c r="V174" s="15">
        <f t="shared" ca="1" si="5"/>
        <v>4</v>
      </c>
    </row>
    <row r="175" spans="1:22">
      <c r="A175" t="s">
        <v>1586</v>
      </c>
      <c r="B175" s="1">
        <v>41070.854432870372</v>
      </c>
      <c r="C175" s="2" t="s">
        <v>1587</v>
      </c>
      <c r="D175">
        <v>22300</v>
      </c>
      <c r="E175" t="s">
        <v>1954</v>
      </c>
      <c r="F175" s="5">
        <v>35148.775467100437</v>
      </c>
      <c r="G175" s="5">
        <v>33086.053412462905</v>
      </c>
      <c r="H175" s="5">
        <f ca="1">OFFSET(F175,0,Brains!$D$1,1,1)</f>
        <v>33086.053412462905</v>
      </c>
      <c r="I175" t="s">
        <v>1588</v>
      </c>
      <c r="J175" t="s">
        <v>1858</v>
      </c>
      <c r="K175" t="s">
        <v>1956</v>
      </c>
      <c r="L175" t="s">
        <v>1956</v>
      </c>
      <c r="M175" s="7" t="s">
        <v>3941</v>
      </c>
      <c r="N175" t="s">
        <v>1866</v>
      </c>
      <c r="O175" s="7" t="s">
        <v>3920</v>
      </c>
      <c r="P175" s="17" t="str">
        <f t="shared" ca="1" si="4"/>
        <v>30-49.9K</v>
      </c>
      <c r="Q175" s="17">
        <v>8</v>
      </c>
      <c r="R175">
        <v>4</v>
      </c>
      <c r="S175">
        <v>5</v>
      </c>
      <c r="T175">
        <v>1</v>
      </c>
      <c r="U175">
        <v>2</v>
      </c>
      <c r="V175" s="15">
        <f t="shared" ca="1" si="5"/>
        <v>3</v>
      </c>
    </row>
    <row r="176" spans="1:22">
      <c r="A176" t="s">
        <v>40</v>
      </c>
      <c r="B176" s="1">
        <v>41057.401724537034</v>
      </c>
      <c r="C176" s="2">
        <v>35000</v>
      </c>
      <c r="D176">
        <v>35000</v>
      </c>
      <c r="E176" t="s">
        <v>1979</v>
      </c>
      <c r="F176" s="5">
        <v>34417.653306061438</v>
      </c>
      <c r="G176" s="5">
        <v>28022.417934347475</v>
      </c>
      <c r="H176" s="5">
        <f ca="1">OFFSET(F176,0,Brains!$D$1,1,1)</f>
        <v>28022.417934347475</v>
      </c>
      <c r="I176" t="s">
        <v>3437</v>
      </c>
      <c r="J176" t="s">
        <v>1858</v>
      </c>
      <c r="K176" t="s">
        <v>1981</v>
      </c>
      <c r="L176" t="s">
        <v>1981</v>
      </c>
      <c r="M176" s="7" t="s">
        <v>3941</v>
      </c>
      <c r="N176" t="s">
        <v>1866</v>
      </c>
      <c r="O176" s="7" t="s">
        <v>3920</v>
      </c>
      <c r="P176" s="17" t="str">
        <f t="shared" ca="1" si="4"/>
        <v>15-29.9K</v>
      </c>
      <c r="Q176" s="17">
        <v>8</v>
      </c>
      <c r="R176">
        <v>4</v>
      </c>
      <c r="S176">
        <v>5</v>
      </c>
      <c r="T176">
        <v>1</v>
      </c>
      <c r="U176">
        <v>2</v>
      </c>
      <c r="V176" s="15">
        <f t="shared" ca="1" si="5"/>
        <v>2</v>
      </c>
    </row>
    <row r="177" spans="1:22">
      <c r="A177" t="s">
        <v>1152</v>
      </c>
      <c r="B177" s="1">
        <v>41060.723437499997</v>
      </c>
      <c r="C177" s="2">
        <v>34000</v>
      </c>
      <c r="D177">
        <v>34000</v>
      </c>
      <c r="E177" t="s">
        <v>1856</v>
      </c>
      <c r="F177" s="5">
        <v>34000</v>
      </c>
      <c r="G177" s="5">
        <v>34000</v>
      </c>
      <c r="H177" s="5">
        <f ca="1">OFFSET(F177,0,Brains!$D$1,1,1)</f>
        <v>34000</v>
      </c>
      <c r="I177" t="s">
        <v>1153</v>
      </c>
      <c r="J177" t="s">
        <v>1858</v>
      </c>
      <c r="K177" t="s">
        <v>1859</v>
      </c>
      <c r="L177" t="s">
        <v>1859</v>
      </c>
      <c r="M177" s="7" t="s">
        <v>3941</v>
      </c>
      <c r="N177" t="s">
        <v>1866</v>
      </c>
      <c r="O177" s="7" t="s">
        <v>3920</v>
      </c>
      <c r="P177" s="17" t="str">
        <f t="shared" ca="1" si="4"/>
        <v>30-49.9K</v>
      </c>
      <c r="Q177" s="17">
        <v>8</v>
      </c>
      <c r="R177">
        <v>4</v>
      </c>
      <c r="S177">
        <v>5</v>
      </c>
      <c r="T177">
        <v>1</v>
      </c>
      <c r="U177">
        <v>2</v>
      </c>
      <c r="V177" s="15">
        <f t="shared" ca="1" si="5"/>
        <v>3</v>
      </c>
    </row>
    <row r="178" spans="1:22">
      <c r="A178" t="s">
        <v>1198</v>
      </c>
      <c r="B178" s="1">
        <v>41061.016597222224</v>
      </c>
      <c r="C178" s="2">
        <v>30000</v>
      </c>
      <c r="D178">
        <v>30000</v>
      </c>
      <c r="E178" t="s">
        <v>1856</v>
      </c>
      <c r="F178" s="5">
        <v>30000</v>
      </c>
      <c r="G178" s="5">
        <v>30000</v>
      </c>
      <c r="H178" s="5">
        <f ca="1">OFFSET(F178,0,Brains!$D$1,1,1)</f>
        <v>30000</v>
      </c>
      <c r="I178" t="s">
        <v>1199</v>
      </c>
      <c r="J178" t="s">
        <v>1858</v>
      </c>
      <c r="K178" t="s">
        <v>1859</v>
      </c>
      <c r="L178" t="s">
        <v>1859</v>
      </c>
      <c r="M178" s="7" t="s">
        <v>3941</v>
      </c>
      <c r="N178" t="s">
        <v>1866</v>
      </c>
      <c r="O178" s="7" t="s">
        <v>3920</v>
      </c>
      <c r="P178" s="17" t="str">
        <f t="shared" ca="1" si="4"/>
        <v>30-49.9K</v>
      </c>
      <c r="Q178" s="17">
        <v>8</v>
      </c>
      <c r="R178">
        <v>4</v>
      </c>
      <c r="S178">
        <v>5</v>
      </c>
      <c r="T178">
        <v>1</v>
      </c>
      <c r="U178">
        <v>2</v>
      </c>
      <c r="V178" s="15">
        <f t="shared" ca="1" si="5"/>
        <v>3</v>
      </c>
    </row>
    <row r="179" spans="1:22">
      <c r="A179" t="s">
        <v>1045</v>
      </c>
      <c r="B179" s="1">
        <v>41059.822025462963</v>
      </c>
      <c r="C179" s="2">
        <v>25000</v>
      </c>
      <c r="D179">
        <v>25000</v>
      </c>
      <c r="E179" t="s">
        <v>1856</v>
      </c>
      <c r="F179" s="5">
        <v>25000</v>
      </c>
      <c r="G179" s="5">
        <v>25000</v>
      </c>
      <c r="H179" s="5">
        <f ca="1">OFFSET(F179,0,Brains!$D$1,1,1)</f>
        <v>25000</v>
      </c>
      <c r="I179" t="s">
        <v>2208</v>
      </c>
      <c r="J179" t="s">
        <v>1858</v>
      </c>
      <c r="K179" t="s">
        <v>1859</v>
      </c>
      <c r="L179" t="s">
        <v>1859</v>
      </c>
      <c r="M179" s="7" t="s">
        <v>3941</v>
      </c>
      <c r="N179" t="s">
        <v>1866</v>
      </c>
      <c r="O179" s="7" t="s">
        <v>3920</v>
      </c>
      <c r="P179" s="17" t="str">
        <f t="shared" ca="1" si="4"/>
        <v>15-29.9K</v>
      </c>
      <c r="Q179" s="17">
        <v>8</v>
      </c>
      <c r="R179">
        <v>4</v>
      </c>
      <c r="S179">
        <v>5</v>
      </c>
      <c r="T179">
        <v>1</v>
      </c>
      <c r="U179">
        <v>2</v>
      </c>
      <c r="V179" s="15">
        <f t="shared" ca="1" si="5"/>
        <v>2</v>
      </c>
    </row>
    <row r="180" spans="1:22">
      <c r="A180" t="s">
        <v>1250</v>
      </c>
      <c r="B180" s="1">
        <v>41061.762858796297</v>
      </c>
      <c r="C180" s="2" t="s">
        <v>1251</v>
      </c>
      <c r="D180">
        <v>1000000</v>
      </c>
      <c r="E180" t="s">
        <v>1908</v>
      </c>
      <c r="F180" s="5">
        <v>17807.916687442568</v>
      </c>
      <c r="G180" s="5">
        <v>49795.837068021116</v>
      </c>
      <c r="H180" s="5">
        <f ca="1">OFFSET(F180,0,Brains!$D$1,1,1)</f>
        <v>49795.837068021116</v>
      </c>
      <c r="I180" t="s">
        <v>2017</v>
      </c>
      <c r="J180" t="s">
        <v>1858</v>
      </c>
      <c r="K180" t="s">
        <v>1859</v>
      </c>
      <c r="L180" t="s">
        <v>1859</v>
      </c>
      <c r="M180" s="7" t="s">
        <v>3941</v>
      </c>
      <c r="N180" t="s">
        <v>1866</v>
      </c>
      <c r="O180" s="7" t="s">
        <v>3920</v>
      </c>
      <c r="P180" s="17" t="str">
        <f t="shared" ca="1" si="4"/>
        <v>30-49.9K</v>
      </c>
      <c r="Q180" s="17">
        <v>8</v>
      </c>
      <c r="R180">
        <v>4</v>
      </c>
      <c r="S180">
        <v>5</v>
      </c>
      <c r="T180">
        <v>1</v>
      </c>
      <c r="U180">
        <v>2</v>
      </c>
      <c r="V180" s="15">
        <f t="shared" ca="1" si="5"/>
        <v>3</v>
      </c>
    </row>
    <row r="181" spans="1:22">
      <c r="A181" t="s">
        <v>1342</v>
      </c>
      <c r="B181" s="1">
        <v>41063.619687500002</v>
      </c>
      <c r="C181" s="2" t="s">
        <v>2562</v>
      </c>
      <c r="D181">
        <v>1000000</v>
      </c>
      <c r="E181" t="s">
        <v>1908</v>
      </c>
      <c r="F181" s="5">
        <v>17807.916687442568</v>
      </c>
      <c r="G181" s="5">
        <v>49795.837068021116</v>
      </c>
      <c r="H181" s="5">
        <f ca="1">OFFSET(F181,0,Brains!$D$1,1,1)</f>
        <v>49795.837068021116</v>
      </c>
      <c r="I181" t="s">
        <v>1343</v>
      </c>
      <c r="J181" t="s">
        <v>1858</v>
      </c>
      <c r="K181" t="s">
        <v>1859</v>
      </c>
      <c r="L181" t="s">
        <v>1859</v>
      </c>
      <c r="M181" s="7" t="s">
        <v>3941</v>
      </c>
      <c r="N181" t="s">
        <v>1866</v>
      </c>
      <c r="O181" s="7" t="s">
        <v>3920</v>
      </c>
      <c r="P181" s="17" t="str">
        <f t="shared" ca="1" si="4"/>
        <v>30-49.9K</v>
      </c>
      <c r="Q181" s="17">
        <v>8</v>
      </c>
      <c r="R181">
        <v>4</v>
      </c>
      <c r="S181">
        <v>5</v>
      </c>
      <c r="T181">
        <v>1</v>
      </c>
      <c r="U181">
        <v>2</v>
      </c>
      <c r="V181" s="15">
        <f t="shared" ca="1" si="5"/>
        <v>3</v>
      </c>
    </row>
    <row r="182" spans="1:22">
      <c r="A182" t="s">
        <v>1289</v>
      </c>
      <c r="B182" s="1">
        <v>41062.466180555559</v>
      </c>
      <c r="C182" s="2" t="s">
        <v>1290</v>
      </c>
      <c r="D182">
        <v>13000</v>
      </c>
      <c r="E182" t="s">
        <v>1856</v>
      </c>
      <c r="F182" s="5">
        <v>13000</v>
      </c>
      <c r="G182" s="5">
        <v>13000</v>
      </c>
      <c r="H182" s="5">
        <f ca="1">OFFSET(F182,0,Brains!$D$1,1,1)</f>
        <v>13000</v>
      </c>
      <c r="I182" t="s">
        <v>1291</v>
      </c>
      <c r="J182" t="s">
        <v>1858</v>
      </c>
      <c r="K182" t="s">
        <v>2081</v>
      </c>
      <c r="L182" t="s">
        <v>2081</v>
      </c>
      <c r="M182" s="7" t="s">
        <v>3941</v>
      </c>
      <c r="N182" t="s">
        <v>1866</v>
      </c>
      <c r="O182" s="7" t="s">
        <v>3920</v>
      </c>
      <c r="P182" s="17" t="str">
        <f t="shared" ca="1" si="4"/>
        <v>0-14.9K</v>
      </c>
      <c r="Q182" s="17">
        <v>8</v>
      </c>
      <c r="R182">
        <v>4</v>
      </c>
      <c r="S182">
        <v>5</v>
      </c>
      <c r="T182">
        <v>1</v>
      </c>
      <c r="U182">
        <v>2</v>
      </c>
      <c r="V182" s="15">
        <f t="shared" ca="1" si="5"/>
        <v>1</v>
      </c>
    </row>
    <row r="183" spans="1:22">
      <c r="A183" t="s">
        <v>3564</v>
      </c>
      <c r="B183" s="1">
        <v>41055.884050925924</v>
      </c>
      <c r="C183" s="2">
        <v>600000</v>
      </c>
      <c r="D183">
        <v>600000</v>
      </c>
      <c r="E183" t="s">
        <v>1908</v>
      </c>
      <c r="F183" s="5">
        <v>10684.750012465542</v>
      </c>
      <c r="G183" s="5">
        <v>29877.502240812668</v>
      </c>
      <c r="H183" s="5">
        <f ca="1">OFFSET(F183,0,Brains!$D$1,1,1)</f>
        <v>29877.502240812668</v>
      </c>
      <c r="I183" t="s">
        <v>1857</v>
      </c>
      <c r="J183" t="s">
        <v>1858</v>
      </c>
      <c r="K183" t="s">
        <v>1859</v>
      </c>
      <c r="L183" t="s">
        <v>1859</v>
      </c>
      <c r="M183" s="7" t="s">
        <v>3941</v>
      </c>
      <c r="N183" t="s">
        <v>1866</v>
      </c>
      <c r="O183" s="7" t="s">
        <v>3920</v>
      </c>
      <c r="P183" s="17" t="str">
        <f t="shared" ca="1" si="4"/>
        <v>15-29.9K</v>
      </c>
      <c r="Q183" s="17">
        <v>8</v>
      </c>
      <c r="R183">
        <v>4</v>
      </c>
      <c r="S183">
        <v>5</v>
      </c>
      <c r="T183">
        <v>1</v>
      </c>
      <c r="U183">
        <v>2</v>
      </c>
      <c r="V183" s="15">
        <f t="shared" ca="1" si="5"/>
        <v>2</v>
      </c>
    </row>
    <row r="184" spans="1:22">
      <c r="A184" t="s">
        <v>657</v>
      </c>
      <c r="B184" s="1">
        <v>41058.546180555553</v>
      </c>
      <c r="C184" s="2">
        <v>8000</v>
      </c>
      <c r="D184">
        <v>8000</v>
      </c>
      <c r="E184" t="s">
        <v>1856</v>
      </c>
      <c r="F184" s="5">
        <v>8000</v>
      </c>
      <c r="G184" s="5">
        <v>8000</v>
      </c>
      <c r="H184" s="5">
        <f ca="1">OFFSET(F184,0,Brains!$D$1,1,1)</f>
        <v>8000</v>
      </c>
      <c r="I184" t="s">
        <v>2099</v>
      </c>
      <c r="J184" t="s">
        <v>1858</v>
      </c>
      <c r="K184" t="s">
        <v>1859</v>
      </c>
      <c r="L184" t="s">
        <v>1859</v>
      </c>
      <c r="M184" s="7" t="s">
        <v>3941</v>
      </c>
      <c r="N184" t="s">
        <v>1866</v>
      </c>
      <c r="O184" s="7" t="s">
        <v>3920</v>
      </c>
      <c r="P184" s="17" t="str">
        <f t="shared" ca="1" si="4"/>
        <v>0-14.9K</v>
      </c>
      <c r="Q184" s="17">
        <v>8</v>
      </c>
      <c r="R184">
        <v>4</v>
      </c>
      <c r="S184">
        <v>5</v>
      </c>
      <c r="T184">
        <v>1</v>
      </c>
      <c r="U184">
        <v>2</v>
      </c>
      <c r="V184" s="15">
        <f t="shared" ca="1" si="5"/>
        <v>1</v>
      </c>
    </row>
    <row r="185" spans="1:22">
      <c r="A185" t="s">
        <v>3620</v>
      </c>
      <c r="B185" s="1">
        <v>41055.961099537039</v>
      </c>
      <c r="C185" s="2" t="s">
        <v>2605</v>
      </c>
      <c r="D185">
        <v>360000</v>
      </c>
      <c r="E185" t="s">
        <v>1908</v>
      </c>
      <c r="F185" s="5">
        <v>6410.8500074793246</v>
      </c>
      <c r="G185" s="5">
        <v>17926.501344487599</v>
      </c>
      <c r="H185" s="5">
        <f ca="1">OFFSET(F185,0,Brains!$D$1,1,1)</f>
        <v>17926.501344487599</v>
      </c>
      <c r="I185" t="s">
        <v>3621</v>
      </c>
      <c r="J185" t="s">
        <v>1858</v>
      </c>
      <c r="K185" t="s">
        <v>1859</v>
      </c>
      <c r="L185" t="s">
        <v>1859</v>
      </c>
      <c r="M185" s="7" t="s">
        <v>3941</v>
      </c>
      <c r="N185" t="s">
        <v>1866</v>
      </c>
      <c r="O185" s="7" t="s">
        <v>3920</v>
      </c>
      <c r="P185" s="17" t="str">
        <f t="shared" ca="1" si="4"/>
        <v>15-29.9K</v>
      </c>
      <c r="Q185" s="17">
        <v>8</v>
      </c>
      <c r="R185">
        <v>4</v>
      </c>
      <c r="S185">
        <v>5</v>
      </c>
      <c r="T185">
        <v>1</v>
      </c>
      <c r="U185">
        <v>2</v>
      </c>
      <c r="V185" s="15">
        <f t="shared" ca="1" si="5"/>
        <v>2</v>
      </c>
    </row>
    <row r="186" spans="1:22">
      <c r="A186" t="s">
        <v>3530</v>
      </c>
      <c r="B186" s="1">
        <v>41055.815416666665</v>
      </c>
      <c r="C186" s="2">
        <v>240000</v>
      </c>
      <c r="D186">
        <v>240000</v>
      </c>
      <c r="E186" t="s">
        <v>1908</v>
      </c>
      <c r="F186" s="5">
        <v>4273.9000049862161</v>
      </c>
      <c r="G186" s="5">
        <v>11951.000896325068</v>
      </c>
      <c r="H186" s="5">
        <f ca="1">OFFSET(F186,0,Brains!$D$1,1,1)</f>
        <v>11951.000896325068</v>
      </c>
      <c r="I186" t="s">
        <v>1858</v>
      </c>
      <c r="J186" t="s">
        <v>1858</v>
      </c>
      <c r="K186" t="s">
        <v>1859</v>
      </c>
      <c r="L186" t="s">
        <v>1859</v>
      </c>
      <c r="M186" s="7" t="s">
        <v>3941</v>
      </c>
      <c r="N186" t="s">
        <v>1866</v>
      </c>
      <c r="O186" s="7" t="s">
        <v>3920</v>
      </c>
      <c r="P186" s="17" t="str">
        <f t="shared" ca="1" si="4"/>
        <v>0-14.9K</v>
      </c>
      <c r="Q186" s="17">
        <v>8</v>
      </c>
      <c r="R186">
        <v>4</v>
      </c>
      <c r="S186">
        <v>5</v>
      </c>
      <c r="T186">
        <v>1</v>
      </c>
      <c r="U186">
        <v>2</v>
      </c>
      <c r="V186" s="15">
        <f t="shared" ca="1" si="5"/>
        <v>1</v>
      </c>
    </row>
    <row r="187" spans="1:22">
      <c r="A187" t="s">
        <v>1425</v>
      </c>
      <c r="B187" s="1">
        <v>41065.817511574074</v>
      </c>
      <c r="C187" s="2" t="s">
        <v>285</v>
      </c>
      <c r="D187">
        <v>45000</v>
      </c>
      <c r="E187" t="s">
        <v>1954</v>
      </c>
      <c r="F187" s="5">
        <v>70928.022243027779</v>
      </c>
      <c r="G187" s="5">
        <v>66765.578635014841</v>
      </c>
      <c r="H187" s="5">
        <f ca="1">OFFSET(F187,0,Brains!$D$1,1,1)</f>
        <v>66765.578635014841</v>
      </c>
      <c r="I187" t="s">
        <v>2099</v>
      </c>
      <c r="J187" t="s">
        <v>1858</v>
      </c>
      <c r="K187" t="s">
        <v>1956</v>
      </c>
      <c r="L187" t="s">
        <v>1956</v>
      </c>
      <c r="M187" s="7" t="s">
        <v>3941</v>
      </c>
      <c r="N187" t="s">
        <v>1866</v>
      </c>
      <c r="O187" s="7" t="s">
        <v>3920</v>
      </c>
      <c r="P187" s="17" t="str">
        <f t="shared" ca="1" si="4"/>
        <v>50-74.9K</v>
      </c>
      <c r="Q187" s="17">
        <v>8</v>
      </c>
      <c r="R187">
        <v>5</v>
      </c>
      <c r="S187">
        <v>5</v>
      </c>
      <c r="T187">
        <v>1</v>
      </c>
      <c r="U187">
        <v>2</v>
      </c>
      <c r="V187" s="15">
        <f t="shared" ca="1" si="5"/>
        <v>4</v>
      </c>
    </row>
    <row r="188" spans="1:22">
      <c r="A188" t="s">
        <v>1430</v>
      </c>
      <c r="B188" s="1">
        <v>41065.880046296297</v>
      </c>
      <c r="C188" s="2" t="s">
        <v>1431</v>
      </c>
      <c r="D188">
        <v>400000</v>
      </c>
      <c r="E188" t="s">
        <v>1432</v>
      </c>
      <c r="F188" s="5">
        <v>67700.452577525488</v>
      </c>
      <c r="G188" s="5">
        <v>38095.238095238092</v>
      </c>
      <c r="H188" s="5">
        <f ca="1">OFFSET(F188,0,Brains!$D$1,1,1)</f>
        <v>38095.238095238092</v>
      </c>
      <c r="I188" t="s">
        <v>1433</v>
      </c>
      <c r="J188" t="s">
        <v>1858</v>
      </c>
      <c r="K188" t="s">
        <v>2909</v>
      </c>
      <c r="L188" t="s">
        <v>2909</v>
      </c>
      <c r="M188" s="7" t="s">
        <v>3941</v>
      </c>
      <c r="N188" t="s">
        <v>1866</v>
      </c>
      <c r="O188" s="7" t="s">
        <v>3920</v>
      </c>
      <c r="P188" s="17" t="str">
        <f t="shared" ca="1" si="4"/>
        <v>30-49.9K</v>
      </c>
      <c r="Q188" s="17">
        <v>8</v>
      </c>
      <c r="R188">
        <v>5</v>
      </c>
      <c r="S188">
        <v>5</v>
      </c>
      <c r="T188">
        <v>1</v>
      </c>
      <c r="U188">
        <v>2</v>
      </c>
      <c r="V188" s="15">
        <f t="shared" ca="1" si="5"/>
        <v>3</v>
      </c>
    </row>
    <row r="189" spans="1:22">
      <c r="A189" t="s">
        <v>3362</v>
      </c>
      <c r="B189" s="1">
        <v>41055.594606481478</v>
      </c>
      <c r="C189" s="2" t="s">
        <v>3363</v>
      </c>
      <c r="D189">
        <v>2300000</v>
      </c>
      <c r="E189" t="s">
        <v>1908</v>
      </c>
      <c r="F189" s="5">
        <v>40958.208381117904</v>
      </c>
      <c r="G189" s="5">
        <v>114530.42525644857</v>
      </c>
      <c r="H189" s="5">
        <f ca="1">OFFSET(F189,0,Brains!$D$1,1,1)</f>
        <v>114530.42525644857</v>
      </c>
      <c r="I189" t="s">
        <v>2290</v>
      </c>
      <c r="J189" t="s">
        <v>1858</v>
      </c>
      <c r="K189" t="s">
        <v>1859</v>
      </c>
      <c r="L189" t="s">
        <v>1859</v>
      </c>
      <c r="M189" s="7" t="s">
        <v>3941</v>
      </c>
      <c r="N189" t="s">
        <v>1866</v>
      </c>
      <c r="O189" s="7" t="s">
        <v>3920</v>
      </c>
      <c r="P189" s="17" t="str">
        <f t="shared" ca="1" si="4"/>
        <v>100-149.9K</v>
      </c>
      <c r="Q189" s="17">
        <v>8</v>
      </c>
      <c r="R189">
        <v>5</v>
      </c>
      <c r="S189">
        <v>5</v>
      </c>
      <c r="T189">
        <v>1</v>
      </c>
      <c r="U189">
        <v>2</v>
      </c>
      <c r="V189" s="15">
        <f t="shared" ca="1" si="5"/>
        <v>6</v>
      </c>
    </row>
    <row r="190" spans="1:22">
      <c r="A190" t="s">
        <v>240</v>
      </c>
      <c r="B190" s="1">
        <v>41057.66741898148</v>
      </c>
      <c r="C190" s="2" t="s">
        <v>241</v>
      </c>
      <c r="D190">
        <v>23000</v>
      </c>
      <c r="E190" t="s">
        <v>1954</v>
      </c>
      <c r="F190" s="5">
        <v>36252.100257547536</v>
      </c>
      <c r="G190" s="5">
        <v>34124.629080118691</v>
      </c>
      <c r="H190" s="5">
        <f ca="1">OFFSET(F190,0,Brains!$D$1,1,1)</f>
        <v>34124.629080118691</v>
      </c>
      <c r="I190" t="s">
        <v>2099</v>
      </c>
      <c r="J190" t="s">
        <v>1858</v>
      </c>
      <c r="K190" t="s">
        <v>1956</v>
      </c>
      <c r="L190" t="s">
        <v>1956</v>
      </c>
      <c r="M190" s="7" t="s">
        <v>3941</v>
      </c>
      <c r="N190" t="s">
        <v>1866</v>
      </c>
      <c r="O190" s="7" t="s">
        <v>3920</v>
      </c>
      <c r="P190" s="17" t="str">
        <f t="shared" ca="1" si="4"/>
        <v>30-49.9K</v>
      </c>
      <c r="Q190" s="17">
        <v>8</v>
      </c>
      <c r="R190">
        <v>5</v>
      </c>
      <c r="S190">
        <v>5</v>
      </c>
      <c r="T190">
        <v>1</v>
      </c>
      <c r="U190">
        <v>2</v>
      </c>
      <c r="V190" s="15">
        <f t="shared" ca="1" si="5"/>
        <v>3</v>
      </c>
    </row>
    <row r="191" spans="1:22">
      <c r="A191" t="s">
        <v>3421</v>
      </c>
      <c r="B191" s="1">
        <v>41055.661921296298</v>
      </c>
      <c r="C191" s="2">
        <v>10000</v>
      </c>
      <c r="D191">
        <v>120000</v>
      </c>
      <c r="E191" t="s">
        <v>3422</v>
      </c>
      <c r="F191" s="5">
        <v>19831.432821021317</v>
      </c>
      <c r="G191" s="5">
        <v>41753.653444676405</v>
      </c>
      <c r="H191" s="5">
        <f ca="1">OFFSET(F191,0,Brains!$D$1,1,1)</f>
        <v>41753.653444676405</v>
      </c>
      <c r="I191" t="s">
        <v>3423</v>
      </c>
      <c r="J191" t="s">
        <v>1858</v>
      </c>
      <c r="K191" t="s">
        <v>3424</v>
      </c>
      <c r="L191" t="s">
        <v>3424</v>
      </c>
      <c r="M191" s="7" t="s">
        <v>3941</v>
      </c>
      <c r="N191" t="s">
        <v>1866</v>
      </c>
      <c r="O191" s="7" t="s">
        <v>3920</v>
      </c>
      <c r="P191" s="17" t="str">
        <f t="shared" ca="1" si="4"/>
        <v>30-49.9K</v>
      </c>
      <c r="Q191" s="17">
        <v>8</v>
      </c>
      <c r="R191">
        <v>5</v>
      </c>
      <c r="S191">
        <v>5</v>
      </c>
      <c r="T191">
        <v>1</v>
      </c>
      <c r="U191">
        <v>2</v>
      </c>
      <c r="V191" s="15">
        <f t="shared" ca="1" si="5"/>
        <v>3</v>
      </c>
    </row>
    <row r="192" spans="1:22">
      <c r="A192" t="s">
        <v>3471</v>
      </c>
      <c r="B192" s="1">
        <v>41055.711377314816</v>
      </c>
      <c r="C192" s="2" t="s">
        <v>3472</v>
      </c>
      <c r="D192">
        <v>700000</v>
      </c>
      <c r="E192" t="s">
        <v>1908</v>
      </c>
      <c r="F192" s="5">
        <v>12465.541681209797</v>
      </c>
      <c r="G192" s="5">
        <v>34857.085947614782</v>
      </c>
      <c r="H192" s="5">
        <f ca="1">OFFSET(F192,0,Brains!$D$1,1,1)</f>
        <v>34857.085947614782</v>
      </c>
      <c r="I192" t="s">
        <v>3473</v>
      </c>
      <c r="J192" t="s">
        <v>1858</v>
      </c>
      <c r="K192" t="s">
        <v>1859</v>
      </c>
      <c r="L192" t="s">
        <v>1859</v>
      </c>
      <c r="M192" s="7" t="s">
        <v>3941</v>
      </c>
      <c r="N192" t="s">
        <v>1866</v>
      </c>
      <c r="O192" s="7" t="s">
        <v>3920</v>
      </c>
      <c r="P192" s="17" t="str">
        <f t="shared" ca="1" si="4"/>
        <v>30-49.9K</v>
      </c>
      <c r="Q192" s="17">
        <v>8</v>
      </c>
      <c r="R192">
        <v>5</v>
      </c>
      <c r="S192">
        <v>5</v>
      </c>
      <c r="T192">
        <v>1</v>
      </c>
      <c r="U192">
        <v>2</v>
      </c>
      <c r="V192" s="15">
        <f t="shared" ca="1" si="5"/>
        <v>3</v>
      </c>
    </row>
    <row r="193" spans="1:22">
      <c r="A193" t="s">
        <v>3607</v>
      </c>
      <c r="B193" s="1">
        <v>41055.950127314813</v>
      </c>
      <c r="C193" s="2">
        <v>600000</v>
      </c>
      <c r="D193">
        <v>600000</v>
      </c>
      <c r="E193" t="s">
        <v>1908</v>
      </c>
      <c r="F193" s="5">
        <v>10684.750012465542</v>
      </c>
      <c r="G193" s="5">
        <v>29877.502240812668</v>
      </c>
      <c r="H193" s="5">
        <f ca="1">OFFSET(F193,0,Brains!$D$1,1,1)</f>
        <v>29877.502240812668</v>
      </c>
      <c r="I193" t="s">
        <v>3437</v>
      </c>
      <c r="J193" t="s">
        <v>1858</v>
      </c>
      <c r="K193" t="s">
        <v>1859</v>
      </c>
      <c r="L193" t="s">
        <v>1859</v>
      </c>
      <c r="M193" s="7" t="s">
        <v>3941</v>
      </c>
      <c r="N193" t="s">
        <v>1866</v>
      </c>
      <c r="O193" s="7" t="s">
        <v>3920</v>
      </c>
      <c r="P193" s="17" t="str">
        <f t="shared" ca="1" si="4"/>
        <v>15-29.9K</v>
      </c>
      <c r="Q193" s="17">
        <v>8</v>
      </c>
      <c r="R193">
        <v>5</v>
      </c>
      <c r="S193">
        <v>5</v>
      </c>
      <c r="T193">
        <v>1</v>
      </c>
      <c r="U193">
        <v>2</v>
      </c>
      <c r="V193" s="15">
        <f t="shared" ca="1" si="5"/>
        <v>2</v>
      </c>
    </row>
    <row r="194" spans="1:22">
      <c r="A194" t="s">
        <v>1470</v>
      </c>
      <c r="B194" s="1">
        <v>41066.737280092595</v>
      </c>
      <c r="C194" s="2">
        <v>600000</v>
      </c>
      <c r="D194">
        <v>600000</v>
      </c>
      <c r="E194" t="s">
        <v>1908</v>
      </c>
      <c r="F194" s="5">
        <v>10684.750012465542</v>
      </c>
      <c r="G194" s="5">
        <v>29877.502240812668</v>
      </c>
      <c r="H194" s="5">
        <f ca="1">OFFSET(F194,0,Brains!$D$1,1,1)</f>
        <v>29877.502240812668</v>
      </c>
      <c r="I194" t="s">
        <v>1471</v>
      </c>
      <c r="J194" t="s">
        <v>1858</v>
      </c>
      <c r="K194" t="s">
        <v>1859</v>
      </c>
      <c r="L194" t="s">
        <v>1859</v>
      </c>
      <c r="M194" s="7" t="s">
        <v>3941</v>
      </c>
      <c r="N194" t="s">
        <v>1866</v>
      </c>
      <c r="O194" s="7" t="s">
        <v>3920</v>
      </c>
      <c r="P194" s="17" t="str">
        <f t="shared" ref="P194:P257" ca="1" si="6">IF(H194&lt;15000,"0-14.9K",IF(H194&lt;30000,"15-29.9K",IF(H194&lt;50000,"30-49.9K",IF(H194&lt;75000,"50-74.9K",IF(H194&lt;100000,"75-99.9K",IF(H194&lt;150000,"100-149.9K",IF(H194&lt;250000,"150-249.9K","250K+")))))))</f>
        <v>15-29.9K</v>
      </c>
      <c r="Q194" s="17">
        <v>8</v>
      </c>
      <c r="R194">
        <v>5</v>
      </c>
      <c r="S194">
        <v>5</v>
      </c>
      <c r="T194">
        <v>1</v>
      </c>
      <c r="U194">
        <v>2</v>
      </c>
      <c r="V194" s="15">
        <f t="shared" ref="V194:V257" ca="1" si="7">IF(H194&lt;15000,1,IF(H194&lt;30000,2,IF(H194&lt;50000,3,IF(H194&lt;75000,4,IF(H194&lt;100000,5,IF(H194&lt;150000,6,IF(H194&lt;250000,7,8)))))))</f>
        <v>2</v>
      </c>
    </row>
    <row r="195" spans="1:22">
      <c r="A195" t="s">
        <v>3420</v>
      </c>
      <c r="B195" s="1">
        <v>41055.660543981481</v>
      </c>
      <c r="C195" s="2">
        <v>410000</v>
      </c>
      <c r="D195">
        <v>410000</v>
      </c>
      <c r="E195" t="s">
        <v>1908</v>
      </c>
      <c r="F195" s="5">
        <v>7301.2458418514525</v>
      </c>
      <c r="G195" s="5">
        <v>20416.293197888655</v>
      </c>
      <c r="H195" s="5">
        <f ca="1">OFFSET(F195,0,Brains!$D$1,1,1)</f>
        <v>20416.293197888655</v>
      </c>
      <c r="I195" t="s">
        <v>1857</v>
      </c>
      <c r="J195" t="s">
        <v>1858</v>
      </c>
      <c r="K195" t="s">
        <v>1859</v>
      </c>
      <c r="L195" t="s">
        <v>1859</v>
      </c>
      <c r="M195" s="7" t="s">
        <v>3941</v>
      </c>
      <c r="N195" t="s">
        <v>1866</v>
      </c>
      <c r="O195" s="7" t="s">
        <v>3920</v>
      </c>
      <c r="P195" s="17" t="str">
        <f t="shared" ca="1" si="6"/>
        <v>15-29.9K</v>
      </c>
      <c r="Q195" s="17">
        <v>8</v>
      </c>
      <c r="R195">
        <v>5</v>
      </c>
      <c r="S195">
        <v>5</v>
      </c>
      <c r="T195">
        <v>1</v>
      </c>
      <c r="U195">
        <v>2</v>
      </c>
      <c r="V195" s="15">
        <f t="shared" ca="1" si="7"/>
        <v>2</v>
      </c>
    </row>
    <row r="196" spans="1:22">
      <c r="A196" t="s">
        <v>3354</v>
      </c>
      <c r="B196" s="1">
        <v>41055.586516203701</v>
      </c>
      <c r="C196" s="2" t="s">
        <v>3355</v>
      </c>
      <c r="D196">
        <v>120000</v>
      </c>
      <c r="E196" t="s">
        <v>1908</v>
      </c>
      <c r="F196" s="5">
        <v>2136.9500024931081</v>
      </c>
      <c r="G196" s="5">
        <v>5975.5004481625338</v>
      </c>
      <c r="H196" s="5">
        <f ca="1">OFFSET(F196,0,Brains!$D$1,1,1)</f>
        <v>5975.5004481625338</v>
      </c>
      <c r="I196" t="s">
        <v>3356</v>
      </c>
      <c r="J196" t="s">
        <v>1858</v>
      </c>
      <c r="K196" t="s">
        <v>1859</v>
      </c>
      <c r="L196" t="s">
        <v>1859</v>
      </c>
      <c r="M196" s="11" t="s">
        <v>3916</v>
      </c>
      <c r="N196" t="s">
        <v>1884</v>
      </c>
      <c r="O196" s="7" t="s">
        <v>3920</v>
      </c>
      <c r="P196" s="17" t="str">
        <f t="shared" ca="1" si="6"/>
        <v>0-14.9K</v>
      </c>
      <c r="Q196" s="17">
        <v>1.5</v>
      </c>
      <c r="R196">
        <v>0</v>
      </c>
      <c r="S196">
        <v>2</v>
      </c>
      <c r="T196">
        <v>1</v>
      </c>
      <c r="U196">
        <v>2</v>
      </c>
      <c r="V196" s="15">
        <f t="shared" ca="1" si="7"/>
        <v>1</v>
      </c>
    </row>
    <row r="197" spans="1:22">
      <c r="A197" t="s">
        <v>1614</v>
      </c>
      <c r="B197" s="1">
        <v>41072.080000000002</v>
      </c>
      <c r="C197" s="2">
        <v>40000</v>
      </c>
      <c r="D197">
        <v>40000</v>
      </c>
      <c r="E197" t="s">
        <v>1979</v>
      </c>
      <c r="F197" s="5">
        <v>39334.460921213074</v>
      </c>
      <c r="G197" s="5">
        <v>32025.620496397114</v>
      </c>
      <c r="H197" s="5">
        <f ca="1">OFFSET(F197,0,Brains!$D$1,1,1)</f>
        <v>32025.620496397114</v>
      </c>
      <c r="I197" t="s">
        <v>1615</v>
      </c>
      <c r="J197" t="s">
        <v>1858</v>
      </c>
      <c r="K197" t="s">
        <v>1981</v>
      </c>
      <c r="L197" t="s">
        <v>1981</v>
      </c>
      <c r="M197" s="11" t="s">
        <v>3916</v>
      </c>
      <c r="N197" t="s">
        <v>1884</v>
      </c>
      <c r="O197" s="7" t="s">
        <v>3920</v>
      </c>
      <c r="P197" s="17" t="str">
        <f t="shared" ca="1" si="6"/>
        <v>30-49.9K</v>
      </c>
      <c r="Q197" s="17">
        <v>1.5</v>
      </c>
      <c r="R197">
        <v>1</v>
      </c>
      <c r="S197">
        <v>2</v>
      </c>
      <c r="T197">
        <v>1</v>
      </c>
      <c r="U197">
        <v>2</v>
      </c>
      <c r="V197" s="15">
        <f t="shared" ca="1" si="7"/>
        <v>3</v>
      </c>
    </row>
    <row r="198" spans="1:22">
      <c r="A198" t="s">
        <v>1669</v>
      </c>
      <c r="B198" s="1">
        <v>41073.49895833333</v>
      </c>
      <c r="C198" s="2">
        <v>20000</v>
      </c>
      <c r="D198">
        <v>20000</v>
      </c>
      <c r="E198" t="s">
        <v>1856</v>
      </c>
      <c r="F198" s="5">
        <v>20000</v>
      </c>
      <c r="G198" s="5">
        <v>20000</v>
      </c>
      <c r="H198" s="5">
        <f ca="1">OFFSET(F198,0,Brains!$D$1,1,1)</f>
        <v>20000</v>
      </c>
      <c r="I198" t="s">
        <v>1670</v>
      </c>
      <c r="J198" t="s">
        <v>1858</v>
      </c>
      <c r="K198" t="s">
        <v>1671</v>
      </c>
      <c r="L198" t="s">
        <v>1671</v>
      </c>
      <c r="M198" s="11" t="s">
        <v>3916</v>
      </c>
      <c r="N198" t="s">
        <v>1884</v>
      </c>
      <c r="O198" s="7" t="s">
        <v>3920</v>
      </c>
      <c r="P198" s="17" t="str">
        <f t="shared" ca="1" si="6"/>
        <v>15-29.9K</v>
      </c>
      <c r="Q198" s="17">
        <v>1.5</v>
      </c>
      <c r="R198">
        <v>1</v>
      </c>
      <c r="S198">
        <v>2</v>
      </c>
      <c r="T198">
        <v>1</v>
      </c>
      <c r="U198">
        <v>2</v>
      </c>
      <c r="V198" s="15">
        <f t="shared" ca="1" si="7"/>
        <v>2</v>
      </c>
    </row>
    <row r="199" spans="1:22">
      <c r="A199" t="s">
        <v>452</v>
      </c>
      <c r="B199" s="1">
        <v>41057.970497685186</v>
      </c>
      <c r="C199" s="2">
        <v>56000</v>
      </c>
      <c r="D199">
        <v>56000</v>
      </c>
      <c r="E199" t="s">
        <v>1856</v>
      </c>
      <c r="F199" s="5">
        <v>56000</v>
      </c>
      <c r="G199" s="5">
        <v>56000</v>
      </c>
      <c r="H199" s="5">
        <f ca="1">OFFSET(F199,0,Brains!$D$1,1,1)</f>
        <v>56000</v>
      </c>
      <c r="I199" t="s">
        <v>1858</v>
      </c>
      <c r="J199" t="s">
        <v>1858</v>
      </c>
      <c r="K199" t="s">
        <v>1869</v>
      </c>
      <c r="L199" t="s">
        <v>1869</v>
      </c>
      <c r="M199" s="11" t="s">
        <v>3916</v>
      </c>
      <c r="N199" t="s">
        <v>1884</v>
      </c>
      <c r="O199" s="7" t="s">
        <v>3920</v>
      </c>
      <c r="P199" s="17" t="str">
        <f t="shared" ca="1" si="6"/>
        <v>50-74.9K</v>
      </c>
      <c r="Q199" s="17">
        <v>1.5</v>
      </c>
      <c r="R199">
        <v>2</v>
      </c>
      <c r="S199">
        <v>2</v>
      </c>
      <c r="T199">
        <v>1</v>
      </c>
      <c r="U199">
        <v>2</v>
      </c>
      <c r="V199" s="15">
        <f t="shared" ca="1" si="7"/>
        <v>4</v>
      </c>
    </row>
    <row r="200" spans="1:22">
      <c r="A200" t="s">
        <v>615</v>
      </c>
      <c r="B200" s="1">
        <v>41058.411134259259</v>
      </c>
      <c r="C200" s="2" t="s">
        <v>616</v>
      </c>
      <c r="D200">
        <v>48000</v>
      </c>
      <c r="E200" t="s">
        <v>1973</v>
      </c>
      <c r="F200" s="5">
        <v>48955.663507326513</v>
      </c>
      <c r="G200" s="5">
        <v>30534.35114503817</v>
      </c>
      <c r="H200" s="5">
        <f ca="1">OFFSET(F200,0,Brains!$D$1,1,1)</f>
        <v>30534.35114503817</v>
      </c>
      <c r="I200" t="s">
        <v>3019</v>
      </c>
      <c r="J200" t="s">
        <v>1858</v>
      </c>
      <c r="K200" t="s">
        <v>1975</v>
      </c>
      <c r="L200" t="s">
        <v>1975</v>
      </c>
      <c r="M200" s="11" t="s">
        <v>3916</v>
      </c>
      <c r="N200" t="s">
        <v>1884</v>
      </c>
      <c r="O200" s="7" t="s">
        <v>3920</v>
      </c>
      <c r="P200" s="17" t="str">
        <f t="shared" ca="1" si="6"/>
        <v>30-49.9K</v>
      </c>
      <c r="Q200" s="17">
        <v>1.5</v>
      </c>
      <c r="R200">
        <v>2</v>
      </c>
      <c r="S200">
        <v>2</v>
      </c>
      <c r="T200">
        <v>1</v>
      </c>
      <c r="U200">
        <v>2</v>
      </c>
      <c r="V200" s="15">
        <f t="shared" ca="1" si="7"/>
        <v>3</v>
      </c>
    </row>
    <row r="201" spans="1:22">
      <c r="A201" t="s">
        <v>1760</v>
      </c>
      <c r="B201" s="1">
        <v>41077.065810185188</v>
      </c>
      <c r="C201" s="2" t="s">
        <v>3133</v>
      </c>
      <c r="D201">
        <v>400000</v>
      </c>
      <c r="E201" t="s">
        <v>1908</v>
      </c>
      <c r="F201" s="5">
        <v>7123.1666749770275</v>
      </c>
      <c r="G201" s="5">
        <v>19918.334827208444</v>
      </c>
      <c r="H201" s="5">
        <f ca="1">OFFSET(F201,0,Brains!$D$1,1,1)</f>
        <v>19918.334827208444</v>
      </c>
      <c r="I201" t="s">
        <v>1761</v>
      </c>
      <c r="J201" t="s">
        <v>1858</v>
      </c>
      <c r="K201" t="s">
        <v>1859</v>
      </c>
      <c r="L201" t="s">
        <v>1859</v>
      </c>
      <c r="M201" s="11" t="s">
        <v>3916</v>
      </c>
      <c r="N201" t="s">
        <v>1884</v>
      </c>
      <c r="O201" s="7" t="s">
        <v>3920</v>
      </c>
      <c r="P201" s="17" t="str">
        <f t="shared" ca="1" si="6"/>
        <v>15-29.9K</v>
      </c>
      <c r="Q201" s="17">
        <v>1.5</v>
      </c>
      <c r="R201">
        <v>2</v>
      </c>
      <c r="S201">
        <v>2</v>
      </c>
      <c r="T201">
        <v>1</v>
      </c>
      <c r="U201">
        <v>2</v>
      </c>
      <c r="V201" s="15">
        <f t="shared" ca="1" si="7"/>
        <v>2</v>
      </c>
    </row>
    <row r="202" spans="1:22">
      <c r="A202" t="s">
        <v>555</v>
      </c>
      <c r="B202" s="1">
        <v>41058.187615740739</v>
      </c>
      <c r="C202" s="2" t="s">
        <v>556</v>
      </c>
      <c r="D202">
        <v>48000000</v>
      </c>
      <c r="E202" t="s">
        <v>557</v>
      </c>
      <c r="F202" s="5">
        <v>5082.6943786459069</v>
      </c>
      <c r="G202" s="5">
        <v>6691.5583342871123</v>
      </c>
      <c r="H202" s="5">
        <f ca="1">OFFSET(F202,0,Brains!$D$1,1,1)</f>
        <v>6691.5583342871123</v>
      </c>
      <c r="I202" t="s">
        <v>558</v>
      </c>
      <c r="J202" t="s">
        <v>1858</v>
      </c>
      <c r="K202" t="s">
        <v>3192</v>
      </c>
      <c r="L202" t="s">
        <v>3192</v>
      </c>
      <c r="M202" s="11" t="s">
        <v>3916</v>
      </c>
      <c r="N202" t="s">
        <v>1884</v>
      </c>
      <c r="O202" s="7" t="s">
        <v>3920</v>
      </c>
      <c r="P202" s="17" t="str">
        <f t="shared" ca="1" si="6"/>
        <v>0-14.9K</v>
      </c>
      <c r="Q202" s="17">
        <v>1.5</v>
      </c>
      <c r="R202">
        <v>2</v>
      </c>
      <c r="S202">
        <v>2</v>
      </c>
      <c r="T202">
        <v>1</v>
      </c>
      <c r="U202">
        <v>2</v>
      </c>
      <c r="V202" s="15">
        <f t="shared" ca="1" si="7"/>
        <v>1</v>
      </c>
    </row>
    <row r="203" spans="1:22">
      <c r="A203" t="s">
        <v>1300</v>
      </c>
      <c r="B203" s="1">
        <v>41062.868518518517</v>
      </c>
      <c r="C203" s="2">
        <v>400000</v>
      </c>
      <c r="D203">
        <v>400000</v>
      </c>
      <c r="E203" t="s">
        <v>1908</v>
      </c>
      <c r="F203" s="5">
        <v>7123.1666749770275</v>
      </c>
      <c r="G203" s="5">
        <v>19918.334827208444</v>
      </c>
      <c r="H203" s="5">
        <f ca="1">OFFSET(F203,0,Brains!$D$1,1,1)</f>
        <v>19918.334827208444</v>
      </c>
      <c r="I203" t="s">
        <v>1301</v>
      </c>
      <c r="J203" t="s">
        <v>1858</v>
      </c>
      <c r="K203" t="s">
        <v>1859</v>
      </c>
      <c r="L203" t="s">
        <v>1859</v>
      </c>
      <c r="M203" s="11" t="s">
        <v>3916</v>
      </c>
      <c r="N203" t="s">
        <v>1884</v>
      </c>
      <c r="O203" s="7" t="s">
        <v>3920</v>
      </c>
      <c r="P203" s="17" t="str">
        <f t="shared" ca="1" si="6"/>
        <v>15-29.9K</v>
      </c>
      <c r="Q203" s="17">
        <v>1.5</v>
      </c>
      <c r="R203">
        <v>2.5</v>
      </c>
      <c r="S203">
        <v>2</v>
      </c>
      <c r="T203">
        <v>1</v>
      </c>
      <c r="U203">
        <v>2</v>
      </c>
      <c r="V203" s="15">
        <f t="shared" ca="1" si="7"/>
        <v>2</v>
      </c>
    </row>
    <row r="204" spans="1:22">
      <c r="A204" t="s">
        <v>1815</v>
      </c>
      <c r="B204" s="1">
        <v>41080.038518518515</v>
      </c>
      <c r="C204" s="2">
        <v>75000</v>
      </c>
      <c r="D204">
        <v>75000</v>
      </c>
      <c r="E204" t="s">
        <v>1856</v>
      </c>
      <c r="F204" s="5">
        <v>75000</v>
      </c>
      <c r="G204" s="5">
        <v>75000</v>
      </c>
      <c r="H204" s="5">
        <f ca="1">OFFSET(F204,0,Brains!$D$1,1,1)</f>
        <v>75000</v>
      </c>
      <c r="I204" t="s">
        <v>2099</v>
      </c>
      <c r="J204" t="s">
        <v>1858</v>
      </c>
      <c r="K204" t="s">
        <v>1869</v>
      </c>
      <c r="L204" t="s">
        <v>1869</v>
      </c>
      <c r="M204" s="11" t="s">
        <v>3916</v>
      </c>
      <c r="N204" t="s">
        <v>1884</v>
      </c>
      <c r="O204" s="7" t="s">
        <v>3920</v>
      </c>
      <c r="P204" s="17" t="str">
        <f t="shared" ca="1" si="6"/>
        <v>75-99.9K</v>
      </c>
      <c r="Q204" s="17">
        <v>1.5</v>
      </c>
      <c r="R204">
        <v>3</v>
      </c>
      <c r="S204">
        <v>2</v>
      </c>
      <c r="T204">
        <v>1</v>
      </c>
      <c r="U204">
        <v>2</v>
      </c>
      <c r="V204" s="15">
        <f t="shared" ca="1" si="7"/>
        <v>5</v>
      </c>
    </row>
    <row r="205" spans="1:22">
      <c r="A205" t="s">
        <v>1838</v>
      </c>
      <c r="B205" s="1">
        <v>41081.171006944445</v>
      </c>
      <c r="C205" s="2">
        <v>40000</v>
      </c>
      <c r="D205">
        <v>40000</v>
      </c>
      <c r="E205" t="s">
        <v>1856</v>
      </c>
      <c r="F205" s="5">
        <v>40000</v>
      </c>
      <c r="G205" s="5">
        <v>40000</v>
      </c>
      <c r="H205" s="5">
        <f ca="1">OFFSET(F205,0,Brains!$D$1,1,1)</f>
        <v>40000</v>
      </c>
      <c r="I205" t="s">
        <v>1839</v>
      </c>
      <c r="J205" t="s">
        <v>1858</v>
      </c>
      <c r="K205" t="s">
        <v>1869</v>
      </c>
      <c r="L205" t="s">
        <v>1869</v>
      </c>
      <c r="M205" s="11" t="s">
        <v>3916</v>
      </c>
      <c r="N205" t="s">
        <v>1884</v>
      </c>
      <c r="O205" s="7" t="s">
        <v>3920</v>
      </c>
      <c r="P205" s="17" t="str">
        <f t="shared" ca="1" si="6"/>
        <v>30-49.9K</v>
      </c>
      <c r="Q205" s="17">
        <v>1.5</v>
      </c>
      <c r="R205">
        <v>3</v>
      </c>
      <c r="S205">
        <v>2</v>
      </c>
      <c r="T205">
        <v>1</v>
      </c>
      <c r="U205">
        <v>2</v>
      </c>
      <c r="V205" s="15">
        <f t="shared" ca="1" si="7"/>
        <v>3</v>
      </c>
    </row>
    <row r="206" spans="1:22">
      <c r="A206" t="s">
        <v>1351</v>
      </c>
      <c r="B206" s="1">
        <v>41064.086030092592</v>
      </c>
      <c r="C206" s="2" t="s">
        <v>1352</v>
      </c>
      <c r="D206">
        <v>3360</v>
      </c>
      <c r="E206" t="s">
        <v>1856</v>
      </c>
      <c r="F206" s="5">
        <v>3360</v>
      </c>
      <c r="G206" s="5">
        <v>3360</v>
      </c>
      <c r="H206" s="5">
        <f ca="1">OFFSET(F206,0,Brains!$D$1,1,1)</f>
        <v>3360</v>
      </c>
      <c r="I206" t="s">
        <v>1353</v>
      </c>
      <c r="J206" t="s">
        <v>1858</v>
      </c>
      <c r="K206" t="s">
        <v>1859</v>
      </c>
      <c r="L206" t="s">
        <v>1859</v>
      </c>
      <c r="M206" s="11" t="s">
        <v>3916</v>
      </c>
      <c r="N206" t="s">
        <v>1884</v>
      </c>
      <c r="O206" s="7" t="s">
        <v>3920</v>
      </c>
      <c r="P206" s="17" t="str">
        <f t="shared" ca="1" si="6"/>
        <v>0-14.9K</v>
      </c>
      <c r="Q206" s="17">
        <v>1.5</v>
      </c>
      <c r="R206">
        <v>3</v>
      </c>
      <c r="S206">
        <v>2</v>
      </c>
      <c r="T206">
        <v>1</v>
      </c>
      <c r="U206">
        <v>2</v>
      </c>
      <c r="V206" s="15">
        <f t="shared" ca="1" si="7"/>
        <v>1</v>
      </c>
    </row>
    <row r="207" spans="1:22">
      <c r="A207" t="s">
        <v>3307</v>
      </c>
      <c r="B207" s="1">
        <v>41055.553020833337</v>
      </c>
      <c r="C207" s="2">
        <v>13000</v>
      </c>
      <c r="D207">
        <v>13000</v>
      </c>
      <c r="E207" t="s">
        <v>1856</v>
      </c>
      <c r="F207" s="5">
        <v>13000</v>
      </c>
      <c r="G207" s="5">
        <v>13000</v>
      </c>
      <c r="H207" s="5">
        <f ca="1">OFFSET(F207,0,Brains!$D$1,1,1)</f>
        <v>13000</v>
      </c>
      <c r="I207" t="s">
        <v>1858</v>
      </c>
      <c r="J207" t="s">
        <v>1858</v>
      </c>
      <c r="K207" t="s">
        <v>1859</v>
      </c>
      <c r="L207" t="s">
        <v>1859</v>
      </c>
      <c r="M207" s="11" t="s">
        <v>3916</v>
      </c>
      <c r="N207" t="s">
        <v>1884</v>
      </c>
      <c r="O207" s="7" t="s">
        <v>3920</v>
      </c>
      <c r="P207" s="17" t="str">
        <f t="shared" ca="1" si="6"/>
        <v>0-14.9K</v>
      </c>
      <c r="Q207" s="17">
        <v>1.5</v>
      </c>
      <c r="R207">
        <v>4</v>
      </c>
      <c r="S207">
        <v>2</v>
      </c>
      <c r="T207">
        <v>1</v>
      </c>
      <c r="U207">
        <v>2</v>
      </c>
      <c r="V207" s="15">
        <f t="shared" ca="1" si="7"/>
        <v>1</v>
      </c>
    </row>
    <row r="208" spans="1:22">
      <c r="A208" t="s">
        <v>1132</v>
      </c>
      <c r="B208" s="1">
        <v>41060.559594907405</v>
      </c>
      <c r="C208" s="2" t="s">
        <v>1133</v>
      </c>
      <c r="D208">
        <v>85000</v>
      </c>
      <c r="E208" t="s">
        <v>1973</v>
      </c>
      <c r="F208" s="5">
        <v>86692.320794224041</v>
      </c>
      <c r="G208" s="5">
        <v>54071.246819338427</v>
      </c>
      <c r="H208" s="5">
        <f ca="1">OFFSET(F208,0,Brains!$D$1,1,1)</f>
        <v>54071.246819338427</v>
      </c>
      <c r="I208" t="s">
        <v>1134</v>
      </c>
      <c r="J208" t="s">
        <v>1858</v>
      </c>
      <c r="K208" t="s">
        <v>1975</v>
      </c>
      <c r="L208" t="s">
        <v>1975</v>
      </c>
      <c r="M208" s="11" t="s">
        <v>3916</v>
      </c>
      <c r="N208" t="s">
        <v>1884</v>
      </c>
      <c r="O208" s="7" t="s">
        <v>3920</v>
      </c>
      <c r="P208" s="17" t="str">
        <f t="shared" ca="1" si="6"/>
        <v>50-74.9K</v>
      </c>
      <c r="Q208" s="17">
        <v>1.5</v>
      </c>
      <c r="R208">
        <v>5</v>
      </c>
      <c r="S208">
        <v>2</v>
      </c>
      <c r="T208">
        <v>1</v>
      </c>
      <c r="U208">
        <v>2</v>
      </c>
      <c r="V208" s="15">
        <f t="shared" ca="1" si="7"/>
        <v>4</v>
      </c>
    </row>
    <row r="209" spans="1:22">
      <c r="A209" t="s">
        <v>704</v>
      </c>
      <c r="B209" s="1">
        <v>41058.630694444444</v>
      </c>
      <c r="C209" s="2" t="s">
        <v>705</v>
      </c>
      <c r="D209">
        <v>28500</v>
      </c>
      <c r="E209" t="s">
        <v>1880</v>
      </c>
      <c r="F209" s="5">
        <v>36206.384011260823</v>
      </c>
      <c r="G209" s="5">
        <v>35801.681297201692</v>
      </c>
      <c r="H209" s="5">
        <f ca="1">OFFSET(F209,0,Brains!$D$1,1,1)</f>
        <v>35801.681297201692</v>
      </c>
      <c r="I209" t="s">
        <v>706</v>
      </c>
      <c r="J209" t="s">
        <v>1858</v>
      </c>
      <c r="K209" t="s">
        <v>2998</v>
      </c>
      <c r="L209" t="s">
        <v>2998</v>
      </c>
      <c r="M209" s="11" t="s">
        <v>3916</v>
      </c>
      <c r="N209" t="s">
        <v>1884</v>
      </c>
      <c r="O209" s="7" t="s">
        <v>3920</v>
      </c>
      <c r="P209" s="17" t="str">
        <f t="shared" ca="1" si="6"/>
        <v>30-49.9K</v>
      </c>
      <c r="Q209" s="17">
        <v>1.5</v>
      </c>
      <c r="R209">
        <v>5</v>
      </c>
      <c r="S209">
        <v>2</v>
      </c>
      <c r="T209">
        <v>1</v>
      </c>
      <c r="U209">
        <v>2</v>
      </c>
      <c r="V209" s="15">
        <f t="shared" ca="1" si="7"/>
        <v>3</v>
      </c>
    </row>
    <row r="210" spans="1:22">
      <c r="A210" t="s">
        <v>997</v>
      </c>
      <c r="B210" s="1">
        <v>41059.605243055557</v>
      </c>
      <c r="C210" s="2">
        <v>620000</v>
      </c>
      <c r="D210">
        <v>620000</v>
      </c>
      <c r="E210" t="s">
        <v>1908</v>
      </c>
      <c r="F210" s="5">
        <v>11040.908346214392</v>
      </c>
      <c r="G210" s="5">
        <v>30873.418982173091</v>
      </c>
      <c r="H210" s="5">
        <f ca="1">OFFSET(F210,0,Brains!$D$1,1,1)</f>
        <v>30873.418982173091</v>
      </c>
      <c r="I210" t="s">
        <v>998</v>
      </c>
      <c r="J210" t="s">
        <v>1858</v>
      </c>
      <c r="K210" t="s">
        <v>1859</v>
      </c>
      <c r="L210" t="s">
        <v>1859</v>
      </c>
      <c r="M210" s="11" t="s">
        <v>3916</v>
      </c>
      <c r="N210" t="s">
        <v>1884</v>
      </c>
      <c r="O210" s="7" t="s">
        <v>3920</v>
      </c>
      <c r="P210" s="17" t="str">
        <f t="shared" ca="1" si="6"/>
        <v>30-49.9K</v>
      </c>
      <c r="Q210" s="17">
        <v>1.5</v>
      </c>
      <c r="R210">
        <v>5</v>
      </c>
      <c r="S210">
        <v>2</v>
      </c>
      <c r="T210">
        <v>1</v>
      </c>
      <c r="U210">
        <v>2</v>
      </c>
      <c r="V210" s="15">
        <f t="shared" ca="1" si="7"/>
        <v>3</v>
      </c>
    </row>
    <row r="211" spans="1:22">
      <c r="A211" t="s">
        <v>3882</v>
      </c>
      <c r="B211" s="1">
        <v>41057.170300925929</v>
      </c>
      <c r="C211" s="2">
        <v>8000</v>
      </c>
      <c r="D211">
        <v>8000</v>
      </c>
      <c r="E211" t="s">
        <v>1856</v>
      </c>
      <c r="F211" s="5">
        <v>8000</v>
      </c>
      <c r="G211" s="5">
        <v>8000</v>
      </c>
      <c r="H211" s="5">
        <f ca="1">OFFSET(F211,0,Brains!$D$1,1,1)</f>
        <v>8000</v>
      </c>
      <c r="I211" t="s">
        <v>2126</v>
      </c>
      <c r="J211" t="s">
        <v>1858</v>
      </c>
      <c r="K211" t="s">
        <v>1859</v>
      </c>
      <c r="L211" t="s">
        <v>1859</v>
      </c>
      <c r="M211" s="11" t="s">
        <v>3916</v>
      </c>
      <c r="N211" t="s">
        <v>1884</v>
      </c>
      <c r="O211" s="7" t="s">
        <v>3920</v>
      </c>
      <c r="P211" s="17" t="str">
        <f t="shared" ca="1" si="6"/>
        <v>0-14.9K</v>
      </c>
      <c r="Q211" s="17">
        <v>1.5</v>
      </c>
      <c r="R211">
        <v>5</v>
      </c>
      <c r="S211">
        <v>2</v>
      </c>
      <c r="T211">
        <v>1</v>
      </c>
      <c r="U211">
        <v>2</v>
      </c>
      <c r="V211" s="15">
        <f t="shared" ca="1" si="7"/>
        <v>1</v>
      </c>
    </row>
    <row r="212" spans="1:22">
      <c r="A212" t="s">
        <v>782</v>
      </c>
      <c r="B212" s="1">
        <v>41058.774664351855</v>
      </c>
      <c r="C212" s="2" t="s">
        <v>783</v>
      </c>
      <c r="D212">
        <v>150000</v>
      </c>
      <c r="E212" t="s">
        <v>1973</v>
      </c>
      <c r="F212" s="5">
        <v>152986.44846039536</v>
      </c>
      <c r="G212" s="5">
        <v>95419.847328244272</v>
      </c>
      <c r="H212" s="5">
        <f ca="1">OFFSET(F212,0,Brains!$D$1,1,1)</f>
        <v>95419.847328244272</v>
      </c>
      <c r="I212" t="s">
        <v>784</v>
      </c>
      <c r="J212" t="s">
        <v>1858</v>
      </c>
      <c r="K212" t="s">
        <v>1975</v>
      </c>
      <c r="L212" t="s">
        <v>1975</v>
      </c>
      <c r="M212" s="11" t="s">
        <v>3916</v>
      </c>
      <c r="N212" t="s">
        <v>1884</v>
      </c>
      <c r="O212" s="7" t="s">
        <v>3920</v>
      </c>
      <c r="P212" s="17" t="str">
        <f t="shared" ca="1" si="6"/>
        <v>75-99.9K</v>
      </c>
      <c r="Q212" s="17">
        <v>1.5</v>
      </c>
      <c r="R212">
        <v>5.5</v>
      </c>
      <c r="S212">
        <v>2</v>
      </c>
      <c r="T212">
        <v>1</v>
      </c>
      <c r="U212">
        <v>2</v>
      </c>
      <c r="V212" s="15">
        <f t="shared" ca="1" si="7"/>
        <v>5</v>
      </c>
    </row>
    <row r="213" spans="1:22">
      <c r="A213" t="s">
        <v>808</v>
      </c>
      <c r="B213" s="1">
        <v>41058.813564814816</v>
      </c>
      <c r="C213" s="2" t="s">
        <v>809</v>
      </c>
      <c r="D213">
        <v>2210000</v>
      </c>
      <c r="E213" t="s">
        <v>1908</v>
      </c>
      <c r="F213" s="5">
        <v>39355.495879248076</v>
      </c>
      <c r="G213" s="5">
        <v>110048.79992032665</v>
      </c>
      <c r="H213" s="5">
        <f ca="1">OFFSET(F213,0,Brains!$D$1,1,1)</f>
        <v>110048.79992032665</v>
      </c>
      <c r="I213" t="s">
        <v>2546</v>
      </c>
      <c r="J213" t="s">
        <v>1858</v>
      </c>
      <c r="K213" t="s">
        <v>1859</v>
      </c>
      <c r="L213" t="s">
        <v>1859</v>
      </c>
      <c r="M213" s="11" t="s">
        <v>3916</v>
      </c>
      <c r="N213" t="s">
        <v>1884</v>
      </c>
      <c r="O213" s="7" t="s">
        <v>3920</v>
      </c>
      <c r="P213" s="17" t="str">
        <f t="shared" ca="1" si="6"/>
        <v>100-149.9K</v>
      </c>
      <c r="Q213" s="17">
        <v>1.5</v>
      </c>
      <c r="R213">
        <v>5.6</v>
      </c>
      <c r="S213">
        <v>2</v>
      </c>
      <c r="T213">
        <v>1</v>
      </c>
      <c r="U213">
        <v>2</v>
      </c>
      <c r="V213" s="15">
        <f t="shared" ca="1" si="7"/>
        <v>6</v>
      </c>
    </row>
    <row r="214" spans="1:22">
      <c r="A214" t="s">
        <v>1687</v>
      </c>
      <c r="B214" s="1">
        <v>41074.18236111111</v>
      </c>
      <c r="C214" s="2">
        <v>40000</v>
      </c>
      <c r="D214">
        <v>40000</v>
      </c>
      <c r="E214" t="s">
        <v>1856</v>
      </c>
      <c r="F214" s="5">
        <v>40000</v>
      </c>
      <c r="G214" s="5">
        <v>40000</v>
      </c>
      <c r="H214" s="5">
        <f ca="1">OFFSET(F214,0,Brains!$D$1,1,1)</f>
        <v>40000</v>
      </c>
      <c r="I214" t="s">
        <v>1688</v>
      </c>
      <c r="J214" t="s">
        <v>1858</v>
      </c>
      <c r="K214" t="s">
        <v>1869</v>
      </c>
      <c r="L214" t="s">
        <v>1869</v>
      </c>
      <c r="M214" s="11" t="s">
        <v>3917</v>
      </c>
      <c r="N214" t="s">
        <v>1873</v>
      </c>
      <c r="O214" s="7" t="s">
        <v>3920</v>
      </c>
      <c r="P214" s="17" t="str">
        <f t="shared" ca="1" si="6"/>
        <v>30-49.9K</v>
      </c>
      <c r="Q214" s="17">
        <v>2.5</v>
      </c>
      <c r="R214">
        <v>0</v>
      </c>
      <c r="S214">
        <v>3</v>
      </c>
      <c r="T214">
        <v>1</v>
      </c>
      <c r="U214">
        <v>2</v>
      </c>
      <c r="V214" s="15">
        <f t="shared" ca="1" si="7"/>
        <v>3</v>
      </c>
    </row>
    <row r="215" spans="1:22">
      <c r="A215" t="s">
        <v>1126</v>
      </c>
      <c r="B215" s="1">
        <v>41060.454722222225</v>
      </c>
      <c r="C215" s="2">
        <v>1000</v>
      </c>
      <c r="D215">
        <v>12000</v>
      </c>
      <c r="E215" t="s">
        <v>1856</v>
      </c>
      <c r="F215" s="5">
        <v>12000</v>
      </c>
      <c r="G215" s="5">
        <v>12000</v>
      </c>
      <c r="H215" s="5">
        <f ca="1">OFFSET(F215,0,Brains!$D$1,1,1)</f>
        <v>12000</v>
      </c>
      <c r="I215" t="s">
        <v>1127</v>
      </c>
      <c r="J215" t="s">
        <v>1858</v>
      </c>
      <c r="K215" t="s">
        <v>1128</v>
      </c>
      <c r="L215" t="s">
        <v>1128</v>
      </c>
      <c r="M215" s="11" t="s">
        <v>3917</v>
      </c>
      <c r="N215" t="s">
        <v>1873</v>
      </c>
      <c r="O215" s="7" t="s">
        <v>3920</v>
      </c>
      <c r="P215" s="17" t="str">
        <f t="shared" ca="1" si="6"/>
        <v>0-14.9K</v>
      </c>
      <c r="Q215" s="17">
        <v>2.5</v>
      </c>
      <c r="R215">
        <v>0</v>
      </c>
      <c r="S215">
        <v>3</v>
      </c>
      <c r="T215">
        <v>1</v>
      </c>
      <c r="U215">
        <v>2</v>
      </c>
      <c r="V215" s="15">
        <f t="shared" ca="1" si="7"/>
        <v>1</v>
      </c>
    </row>
    <row r="216" spans="1:22">
      <c r="A216" t="s">
        <v>1672</v>
      </c>
      <c r="B216" s="1">
        <v>41073.72415509259</v>
      </c>
      <c r="C216" s="2">
        <v>15000</v>
      </c>
      <c r="D216">
        <v>15000</v>
      </c>
      <c r="E216" t="s">
        <v>1856</v>
      </c>
      <c r="F216" s="5">
        <v>15000</v>
      </c>
      <c r="G216" s="5">
        <v>15000</v>
      </c>
      <c r="H216" s="5">
        <f ca="1">OFFSET(F216,0,Brains!$D$1,1,1)</f>
        <v>15000</v>
      </c>
      <c r="I216" t="s">
        <v>3709</v>
      </c>
      <c r="J216" t="s">
        <v>1858</v>
      </c>
      <c r="K216" t="s">
        <v>1859</v>
      </c>
      <c r="L216" t="s">
        <v>1859</v>
      </c>
      <c r="M216" s="11" t="s">
        <v>3917</v>
      </c>
      <c r="N216" t="s">
        <v>1873</v>
      </c>
      <c r="O216" s="7" t="s">
        <v>3920</v>
      </c>
      <c r="P216" s="17" t="str">
        <f t="shared" ca="1" si="6"/>
        <v>15-29.9K</v>
      </c>
      <c r="Q216" s="17">
        <v>2.5</v>
      </c>
      <c r="R216">
        <v>0.3</v>
      </c>
      <c r="S216">
        <v>3</v>
      </c>
      <c r="T216">
        <v>1</v>
      </c>
      <c r="U216">
        <v>2</v>
      </c>
      <c r="V216" s="15">
        <f t="shared" ca="1" si="7"/>
        <v>2</v>
      </c>
    </row>
    <row r="217" spans="1:22">
      <c r="A217" t="s">
        <v>1282</v>
      </c>
      <c r="B217" s="1">
        <v>41062.201180555552</v>
      </c>
      <c r="C217" s="2">
        <v>60000</v>
      </c>
      <c r="D217">
        <v>60000</v>
      </c>
      <c r="E217" t="s">
        <v>1856</v>
      </c>
      <c r="F217" s="5">
        <v>60000</v>
      </c>
      <c r="G217" s="5">
        <v>60000</v>
      </c>
      <c r="H217" s="5">
        <f ca="1">OFFSET(F217,0,Brains!$D$1,1,1)</f>
        <v>60000</v>
      </c>
      <c r="I217" t="s">
        <v>2099</v>
      </c>
      <c r="J217" t="s">
        <v>1858</v>
      </c>
      <c r="K217" t="s">
        <v>1869</v>
      </c>
      <c r="L217" t="s">
        <v>1869</v>
      </c>
      <c r="M217" s="11" t="s">
        <v>3917</v>
      </c>
      <c r="N217" t="s">
        <v>1873</v>
      </c>
      <c r="O217" s="7" t="s">
        <v>3920</v>
      </c>
      <c r="P217" s="17" t="str">
        <f t="shared" ca="1" si="6"/>
        <v>50-74.9K</v>
      </c>
      <c r="Q217" s="17">
        <v>2.5</v>
      </c>
      <c r="R217">
        <v>1</v>
      </c>
      <c r="S217">
        <v>3</v>
      </c>
      <c r="T217">
        <v>1</v>
      </c>
      <c r="U217">
        <v>2</v>
      </c>
      <c r="V217" s="15">
        <f t="shared" ca="1" si="7"/>
        <v>4</v>
      </c>
    </row>
    <row r="218" spans="1:22">
      <c r="A218" t="s">
        <v>1707</v>
      </c>
      <c r="B218" s="1">
        <v>41075.1250462963</v>
      </c>
      <c r="C218" s="2">
        <v>30000</v>
      </c>
      <c r="D218">
        <v>30000</v>
      </c>
      <c r="E218" t="s">
        <v>1856</v>
      </c>
      <c r="F218" s="5">
        <v>30000</v>
      </c>
      <c r="G218" s="5">
        <v>30000</v>
      </c>
      <c r="H218" s="5">
        <f ca="1">OFFSET(F218,0,Brains!$D$1,1,1)</f>
        <v>30000</v>
      </c>
      <c r="I218" t="s">
        <v>1090</v>
      </c>
      <c r="J218" t="s">
        <v>1858</v>
      </c>
      <c r="K218" t="s">
        <v>2081</v>
      </c>
      <c r="L218" t="s">
        <v>2081</v>
      </c>
      <c r="M218" s="11" t="s">
        <v>3917</v>
      </c>
      <c r="N218" t="s">
        <v>1873</v>
      </c>
      <c r="O218" s="7" t="s">
        <v>3920</v>
      </c>
      <c r="P218" s="17" t="str">
        <f t="shared" ca="1" si="6"/>
        <v>30-49.9K</v>
      </c>
      <c r="Q218" s="17">
        <v>2.5</v>
      </c>
      <c r="R218">
        <v>1</v>
      </c>
      <c r="S218">
        <v>3</v>
      </c>
      <c r="T218">
        <v>1</v>
      </c>
      <c r="U218">
        <v>2</v>
      </c>
      <c r="V218" s="15">
        <f t="shared" ca="1" si="7"/>
        <v>3</v>
      </c>
    </row>
    <row r="219" spans="1:22">
      <c r="A219" t="s">
        <v>426</v>
      </c>
      <c r="B219" s="1">
        <v>41057.953506944446</v>
      </c>
      <c r="C219" s="2">
        <v>27840</v>
      </c>
      <c r="D219">
        <v>27840</v>
      </c>
      <c r="E219" t="s">
        <v>1856</v>
      </c>
      <c r="F219" s="5">
        <v>27840</v>
      </c>
      <c r="G219" s="5">
        <v>27840</v>
      </c>
      <c r="H219" s="5">
        <f ca="1">OFFSET(F219,0,Brains!$D$1,1,1)</f>
        <v>27840</v>
      </c>
      <c r="I219" t="s">
        <v>427</v>
      </c>
      <c r="J219" t="s">
        <v>1858</v>
      </c>
      <c r="K219" t="s">
        <v>1869</v>
      </c>
      <c r="L219" t="s">
        <v>1869</v>
      </c>
      <c r="M219" s="11" t="s">
        <v>3917</v>
      </c>
      <c r="N219" t="s">
        <v>1873</v>
      </c>
      <c r="O219" s="7" t="s">
        <v>3920</v>
      </c>
      <c r="P219" s="17" t="str">
        <f t="shared" ca="1" si="6"/>
        <v>15-29.9K</v>
      </c>
      <c r="Q219" s="17">
        <v>2.5</v>
      </c>
      <c r="R219">
        <v>1</v>
      </c>
      <c r="S219">
        <v>3</v>
      </c>
      <c r="T219">
        <v>1</v>
      </c>
      <c r="U219">
        <v>2</v>
      </c>
      <c r="V219" s="15">
        <f t="shared" ca="1" si="7"/>
        <v>2</v>
      </c>
    </row>
    <row r="220" spans="1:22">
      <c r="A220" t="s">
        <v>3474</v>
      </c>
      <c r="B220" s="1">
        <v>41055.713055555556</v>
      </c>
      <c r="C220" s="2">
        <v>2000</v>
      </c>
      <c r="D220">
        <v>24000</v>
      </c>
      <c r="E220" t="s">
        <v>1856</v>
      </c>
      <c r="F220" s="5">
        <v>24000</v>
      </c>
      <c r="G220" s="5">
        <v>24000</v>
      </c>
      <c r="H220" s="5">
        <f ca="1">OFFSET(F220,0,Brains!$D$1,1,1)</f>
        <v>24000</v>
      </c>
      <c r="I220" t="s">
        <v>3475</v>
      </c>
      <c r="J220" t="s">
        <v>1858</v>
      </c>
      <c r="K220" t="s">
        <v>1859</v>
      </c>
      <c r="L220" t="s">
        <v>1859</v>
      </c>
      <c r="M220" s="11" t="s">
        <v>3917</v>
      </c>
      <c r="N220" t="s">
        <v>1873</v>
      </c>
      <c r="O220" s="7" t="s">
        <v>3920</v>
      </c>
      <c r="P220" s="17" t="str">
        <f t="shared" ca="1" si="6"/>
        <v>15-29.9K</v>
      </c>
      <c r="Q220" s="17">
        <v>2.5</v>
      </c>
      <c r="R220">
        <v>1</v>
      </c>
      <c r="S220">
        <v>3</v>
      </c>
      <c r="T220">
        <v>1</v>
      </c>
      <c r="U220">
        <v>2</v>
      </c>
      <c r="V220" s="15">
        <f t="shared" ca="1" si="7"/>
        <v>2</v>
      </c>
    </row>
    <row r="221" spans="1:22">
      <c r="A221" t="s">
        <v>1407</v>
      </c>
      <c r="B221" s="1">
        <v>41065.210462962961</v>
      </c>
      <c r="C221" s="2">
        <v>1000</v>
      </c>
      <c r="D221">
        <v>12000</v>
      </c>
      <c r="E221" t="s">
        <v>1856</v>
      </c>
      <c r="F221" s="5">
        <v>12000</v>
      </c>
      <c r="G221" s="5">
        <v>12000</v>
      </c>
      <c r="H221" s="5">
        <f ca="1">OFFSET(F221,0,Brains!$D$1,1,1)</f>
        <v>12000</v>
      </c>
      <c r="I221" t="s">
        <v>1408</v>
      </c>
      <c r="J221" t="s">
        <v>1858</v>
      </c>
      <c r="K221" t="s">
        <v>1869</v>
      </c>
      <c r="L221" t="s">
        <v>1869</v>
      </c>
      <c r="M221" s="11" t="s">
        <v>3917</v>
      </c>
      <c r="N221" t="s">
        <v>1873</v>
      </c>
      <c r="O221" s="7" t="s">
        <v>3920</v>
      </c>
      <c r="P221" s="17" t="str">
        <f t="shared" ca="1" si="6"/>
        <v>0-14.9K</v>
      </c>
      <c r="Q221" s="17">
        <v>2.5</v>
      </c>
      <c r="R221">
        <v>1</v>
      </c>
      <c r="S221">
        <v>3</v>
      </c>
      <c r="T221">
        <v>1</v>
      </c>
      <c r="U221">
        <v>2</v>
      </c>
      <c r="V221" s="15">
        <f t="shared" ca="1" si="7"/>
        <v>1</v>
      </c>
    </row>
    <row r="222" spans="1:22">
      <c r="A222" t="s">
        <v>956</v>
      </c>
      <c r="B222" s="1">
        <v>41059.444722222222</v>
      </c>
      <c r="C222" s="2">
        <v>75000</v>
      </c>
      <c r="D222">
        <v>75000</v>
      </c>
      <c r="E222" t="s">
        <v>1856</v>
      </c>
      <c r="F222" s="5">
        <v>75000</v>
      </c>
      <c r="G222" s="5">
        <v>75000</v>
      </c>
      <c r="H222" s="5">
        <f ca="1">OFFSET(F222,0,Brains!$D$1,1,1)</f>
        <v>75000</v>
      </c>
      <c r="I222" t="s">
        <v>2195</v>
      </c>
      <c r="J222" t="s">
        <v>1858</v>
      </c>
      <c r="K222" t="s">
        <v>1869</v>
      </c>
      <c r="L222" t="s">
        <v>1869</v>
      </c>
      <c r="M222" s="11" t="s">
        <v>3917</v>
      </c>
      <c r="N222" t="s">
        <v>1873</v>
      </c>
      <c r="O222" s="7" t="s">
        <v>3920</v>
      </c>
      <c r="P222" s="17" t="str">
        <f t="shared" ca="1" si="6"/>
        <v>75-99.9K</v>
      </c>
      <c r="Q222" s="17">
        <v>2.5</v>
      </c>
      <c r="R222">
        <v>1.5</v>
      </c>
      <c r="S222">
        <v>3</v>
      </c>
      <c r="T222">
        <v>1</v>
      </c>
      <c r="U222">
        <v>2</v>
      </c>
      <c r="V222" s="15">
        <f t="shared" ca="1" si="7"/>
        <v>5</v>
      </c>
    </row>
    <row r="223" spans="1:22">
      <c r="A223" t="s">
        <v>1501</v>
      </c>
      <c r="B223" s="1">
        <v>41067.638807870368</v>
      </c>
      <c r="C223" s="2">
        <v>50000</v>
      </c>
      <c r="D223">
        <v>50000</v>
      </c>
      <c r="E223" t="s">
        <v>1954</v>
      </c>
      <c r="F223" s="5">
        <v>78808.913603364199</v>
      </c>
      <c r="G223" s="5">
        <v>74183.976261127595</v>
      </c>
      <c r="H223" s="5">
        <f ca="1">OFFSET(F223,0,Brains!$D$1,1,1)</f>
        <v>74183.976261127595</v>
      </c>
      <c r="I223" t="s">
        <v>2182</v>
      </c>
      <c r="J223" t="s">
        <v>1858</v>
      </c>
      <c r="K223" t="s">
        <v>1956</v>
      </c>
      <c r="L223" t="s">
        <v>1956</v>
      </c>
      <c r="M223" s="11" t="s">
        <v>3917</v>
      </c>
      <c r="N223" t="s">
        <v>1873</v>
      </c>
      <c r="O223" s="7" t="s">
        <v>3920</v>
      </c>
      <c r="P223" s="17" t="str">
        <f t="shared" ca="1" si="6"/>
        <v>50-74.9K</v>
      </c>
      <c r="Q223" s="17">
        <v>2.5</v>
      </c>
      <c r="R223">
        <v>2</v>
      </c>
      <c r="S223">
        <v>3</v>
      </c>
      <c r="T223">
        <v>1</v>
      </c>
      <c r="U223">
        <v>2</v>
      </c>
      <c r="V223" s="15">
        <f t="shared" ca="1" si="7"/>
        <v>4</v>
      </c>
    </row>
    <row r="224" spans="1:22">
      <c r="A224" t="s">
        <v>421</v>
      </c>
      <c r="B224" s="1">
        <v>41057.95239583333</v>
      </c>
      <c r="C224" s="2">
        <v>31763</v>
      </c>
      <c r="D224">
        <v>31763</v>
      </c>
      <c r="E224" t="s">
        <v>1954</v>
      </c>
      <c r="F224" s="5">
        <v>50064.150455673145</v>
      </c>
      <c r="G224" s="5">
        <v>47126.112759643918</v>
      </c>
      <c r="H224" s="5">
        <f ca="1">OFFSET(F224,0,Brains!$D$1,1,1)</f>
        <v>47126.112759643918</v>
      </c>
      <c r="I224" t="s">
        <v>422</v>
      </c>
      <c r="J224" t="s">
        <v>1858</v>
      </c>
      <c r="K224" t="s">
        <v>1956</v>
      </c>
      <c r="L224" t="s">
        <v>1956</v>
      </c>
      <c r="M224" s="11" t="s">
        <v>3917</v>
      </c>
      <c r="N224" t="s">
        <v>1873</v>
      </c>
      <c r="O224" s="7" t="s">
        <v>3920</v>
      </c>
      <c r="P224" s="17" t="str">
        <f t="shared" ca="1" si="6"/>
        <v>30-49.9K</v>
      </c>
      <c r="Q224" s="17">
        <v>2.5</v>
      </c>
      <c r="R224">
        <v>2</v>
      </c>
      <c r="S224">
        <v>3</v>
      </c>
      <c r="T224">
        <v>1</v>
      </c>
      <c r="U224">
        <v>2</v>
      </c>
      <c r="V224" s="15">
        <f t="shared" ca="1" si="7"/>
        <v>3</v>
      </c>
    </row>
    <row r="225" spans="1:22">
      <c r="A225" t="s">
        <v>978</v>
      </c>
      <c r="B225" s="1">
        <v>41059.56722222222</v>
      </c>
      <c r="C225" s="2">
        <v>41000</v>
      </c>
      <c r="D225">
        <v>41000</v>
      </c>
      <c r="E225" t="s">
        <v>1856</v>
      </c>
      <c r="F225" s="5">
        <v>41000</v>
      </c>
      <c r="G225" s="5">
        <v>41000</v>
      </c>
      <c r="H225" s="5">
        <f ca="1">OFFSET(F225,0,Brains!$D$1,1,1)</f>
        <v>41000</v>
      </c>
      <c r="I225" t="s">
        <v>2068</v>
      </c>
      <c r="J225" t="s">
        <v>1858</v>
      </c>
      <c r="K225" t="s">
        <v>3048</v>
      </c>
      <c r="L225" t="s">
        <v>3048</v>
      </c>
      <c r="M225" s="11" t="s">
        <v>3917</v>
      </c>
      <c r="N225" t="s">
        <v>1873</v>
      </c>
      <c r="O225" s="7" t="s">
        <v>3920</v>
      </c>
      <c r="P225" s="17" t="str">
        <f t="shared" ca="1" si="6"/>
        <v>30-49.9K</v>
      </c>
      <c r="Q225" s="17">
        <v>2.5</v>
      </c>
      <c r="R225">
        <v>2</v>
      </c>
      <c r="S225">
        <v>3</v>
      </c>
      <c r="T225">
        <v>1</v>
      </c>
      <c r="U225">
        <v>2</v>
      </c>
      <c r="V225" s="15">
        <f t="shared" ca="1" si="7"/>
        <v>3</v>
      </c>
    </row>
    <row r="226" spans="1:22">
      <c r="A226" t="s">
        <v>1607</v>
      </c>
      <c r="B226" s="1">
        <v>41071.877500000002</v>
      </c>
      <c r="C226" s="2">
        <v>40000</v>
      </c>
      <c r="D226">
        <v>40000</v>
      </c>
      <c r="E226" t="s">
        <v>1856</v>
      </c>
      <c r="F226" s="5">
        <v>40000</v>
      </c>
      <c r="G226" s="5">
        <v>40000</v>
      </c>
      <c r="H226" s="5">
        <f ca="1">OFFSET(F226,0,Brains!$D$1,1,1)</f>
        <v>40000</v>
      </c>
      <c r="I226" t="s">
        <v>3356</v>
      </c>
      <c r="J226" t="s">
        <v>1858</v>
      </c>
      <c r="K226" t="s">
        <v>1869</v>
      </c>
      <c r="L226" t="s">
        <v>1869</v>
      </c>
      <c r="M226" s="11" t="s">
        <v>3917</v>
      </c>
      <c r="N226" t="s">
        <v>1873</v>
      </c>
      <c r="O226" s="7" t="s">
        <v>3920</v>
      </c>
      <c r="P226" s="17" t="str">
        <f t="shared" ca="1" si="6"/>
        <v>30-49.9K</v>
      </c>
      <c r="Q226" s="17">
        <v>2.5</v>
      </c>
      <c r="R226">
        <v>2</v>
      </c>
      <c r="S226">
        <v>3</v>
      </c>
      <c r="T226">
        <v>1</v>
      </c>
      <c r="U226">
        <v>2</v>
      </c>
      <c r="V226" s="15">
        <f t="shared" ca="1" si="7"/>
        <v>3</v>
      </c>
    </row>
    <row r="227" spans="1:22">
      <c r="A227" t="s">
        <v>6</v>
      </c>
      <c r="B227" s="1">
        <v>41057.307719907411</v>
      </c>
      <c r="C227" s="2">
        <v>20000</v>
      </c>
      <c r="D227">
        <v>20000</v>
      </c>
      <c r="E227" t="s">
        <v>1856</v>
      </c>
      <c r="F227" s="5">
        <v>20000</v>
      </c>
      <c r="G227" s="5">
        <v>20000</v>
      </c>
      <c r="H227" s="5">
        <f ca="1">OFFSET(F227,0,Brains!$D$1,1,1)</f>
        <v>20000</v>
      </c>
      <c r="I227" t="s">
        <v>2208</v>
      </c>
      <c r="J227" t="s">
        <v>1858</v>
      </c>
      <c r="K227" t="s">
        <v>1975</v>
      </c>
      <c r="L227" t="s">
        <v>1975</v>
      </c>
      <c r="M227" s="11" t="s">
        <v>3917</v>
      </c>
      <c r="N227" t="s">
        <v>1873</v>
      </c>
      <c r="O227" s="7" t="s">
        <v>3920</v>
      </c>
      <c r="P227" s="17" t="str">
        <f t="shared" ca="1" si="6"/>
        <v>15-29.9K</v>
      </c>
      <c r="Q227" s="17">
        <v>2.5</v>
      </c>
      <c r="R227">
        <v>2</v>
      </c>
      <c r="S227">
        <v>3</v>
      </c>
      <c r="T227">
        <v>1</v>
      </c>
      <c r="U227">
        <v>2</v>
      </c>
      <c r="V227" s="15">
        <f t="shared" ca="1" si="7"/>
        <v>2</v>
      </c>
    </row>
    <row r="228" spans="1:22">
      <c r="A228" t="s">
        <v>1652</v>
      </c>
      <c r="B228" s="1">
        <v>41073.034953703704</v>
      </c>
      <c r="C228" s="2">
        <v>20000</v>
      </c>
      <c r="D228">
        <v>20000</v>
      </c>
      <c r="E228" t="s">
        <v>1856</v>
      </c>
      <c r="F228" s="5">
        <v>20000</v>
      </c>
      <c r="G228" s="5">
        <v>20000</v>
      </c>
      <c r="H228" s="5">
        <f ca="1">OFFSET(F228,0,Brains!$D$1,1,1)</f>
        <v>20000</v>
      </c>
      <c r="I228" t="s">
        <v>1653</v>
      </c>
      <c r="J228" t="s">
        <v>1858</v>
      </c>
      <c r="K228" t="s">
        <v>1981</v>
      </c>
      <c r="L228" t="s">
        <v>1981</v>
      </c>
      <c r="M228" s="11" t="s">
        <v>3917</v>
      </c>
      <c r="N228" t="s">
        <v>1873</v>
      </c>
      <c r="O228" s="7" t="s">
        <v>3920</v>
      </c>
      <c r="P228" s="17" t="str">
        <f t="shared" ca="1" si="6"/>
        <v>15-29.9K</v>
      </c>
      <c r="Q228" s="17">
        <v>2.5</v>
      </c>
      <c r="R228">
        <v>2</v>
      </c>
      <c r="S228">
        <v>3</v>
      </c>
      <c r="T228">
        <v>1</v>
      </c>
      <c r="U228">
        <v>2</v>
      </c>
      <c r="V228" s="15">
        <f t="shared" ca="1" si="7"/>
        <v>2</v>
      </c>
    </row>
    <row r="229" spans="1:22">
      <c r="A229" t="s">
        <v>3898</v>
      </c>
      <c r="B229" s="1">
        <v>41057.243981481479</v>
      </c>
      <c r="C229" s="2">
        <v>15000</v>
      </c>
      <c r="D229">
        <v>15000</v>
      </c>
      <c r="E229" t="s">
        <v>1856</v>
      </c>
      <c r="F229" s="5">
        <v>15000</v>
      </c>
      <c r="G229" s="5">
        <v>15000</v>
      </c>
      <c r="H229" s="5">
        <f ca="1">OFFSET(F229,0,Brains!$D$1,1,1)</f>
        <v>15000</v>
      </c>
      <c r="I229" t="s">
        <v>3899</v>
      </c>
      <c r="J229" t="s">
        <v>1858</v>
      </c>
      <c r="K229" t="s">
        <v>1859</v>
      </c>
      <c r="L229" t="s">
        <v>1859</v>
      </c>
      <c r="M229" s="11" t="s">
        <v>3917</v>
      </c>
      <c r="N229" t="s">
        <v>1873</v>
      </c>
      <c r="O229" s="7" t="s">
        <v>3920</v>
      </c>
      <c r="P229" s="17" t="str">
        <f t="shared" ca="1" si="6"/>
        <v>15-29.9K</v>
      </c>
      <c r="Q229" s="17">
        <v>2.5</v>
      </c>
      <c r="R229">
        <v>2</v>
      </c>
      <c r="S229">
        <v>3</v>
      </c>
      <c r="T229">
        <v>1</v>
      </c>
      <c r="U229">
        <v>2</v>
      </c>
      <c r="V229" s="15">
        <f t="shared" ca="1" si="7"/>
        <v>2</v>
      </c>
    </row>
    <row r="230" spans="1:22">
      <c r="A230" t="s">
        <v>987</v>
      </c>
      <c r="B230" s="1">
        <v>41059.581111111111</v>
      </c>
      <c r="C230" s="2" t="s">
        <v>988</v>
      </c>
      <c r="D230">
        <v>320000</v>
      </c>
      <c r="E230" t="s">
        <v>1908</v>
      </c>
      <c r="F230" s="5">
        <v>5698.5333399816218</v>
      </c>
      <c r="G230" s="5">
        <v>15934.667861766757</v>
      </c>
      <c r="H230" s="5">
        <f ca="1">OFFSET(F230,0,Brains!$D$1,1,1)</f>
        <v>15934.667861766757</v>
      </c>
      <c r="I230" t="s">
        <v>1858</v>
      </c>
      <c r="J230" t="s">
        <v>1858</v>
      </c>
      <c r="K230" t="s">
        <v>1859</v>
      </c>
      <c r="L230" t="s">
        <v>1859</v>
      </c>
      <c r="M230" s="11" t="s">
        <v>3917</v>
      </c>
      <c r="N230" t="s">
        <v>1873</v>
      </c>
      <c r="O230" s="7" t="s">
        <v>3920</v>
      </c>
      <c r="P230" s="17" t="str">
        <f t="shared" ca="1" si="6"/>
        <v>15-29.9K</v>
      </c>
      <c r="Q230" s="17">
        <v>2.5</v>
      </c>
      <c r="R230">
        <v>2</v>
      </c>
      <c r="S230">
        <v>3</v>
      </c>
      <c r="T230">
        <v>1</v>
      </c>
      <c r="U230">
        <v>2</v>
      </c>
      <c r="V230" s="15">
        <f t="shared" ca="1" si="7"/>
        <v>2</v>
      </c>
    </row>
    <row r="231" spans="1:22">
      <c r="A231" t="s">
        <v>3681</v>
      </c>
      <c r="B231" s="1">
        <v>41056.151064814818</v>
      </c>
      <c r="C231" s="2" t="s">
        <v>3329</v>
      </c>
      <c r="D231">
        <v>3000</v>
      </c>
      <c r="E231" t="s">
        <v>1856</v>
      </c>
      <c r="F231" s="5">
        <v>3000</v>
      </c>
      <c r="G231" s="5">
        <v>3000</v>
      </c>
      <c r="H231" s="5">
        <f ca="1">OFFSET(F231,0,Brains!$D$1,1,1)</f>
        <v>3000</v>
      </c>
      <c r="I231" t="s">
        <v>2059</v>
      </c>
      <c r="J231" t="s">
        <v>1858</v>
      </c>
      <c r="K231" t="s">
        <v>1872</v>
      </c>
      <c r="L231" t="s">
        <v>1872</v>
      </c>
      <c r="M231" s="11" t="s">
        <v>3917</v>
      </c>
      <c r="N231" t="s">
        <v>1873</v>
      </c>
      <c r="O231" s="7" t="s">
        <v>3920</v>
      </c>
      <c r="P231" s="17" t="str">
        <f t="shared" ca="1" si="6"/>
        <v>0-14.9K</v>
      </c>
      <c r="Q231" s="17">
        <v>2.5</v>
      </c>
      <c r="R231">
        <v>2</v>
      </c>
      <c r="S231">
        <v>3</v>
      </c>
      <c r="T231">
        <v>1</v>
      </c>
      <c r="U231">
        <v>2</v>
      </c>
      <c r="V231" s="15">
        <f t="shared" ca="1" si="7"/>
        <v>1</v>
      </c>
    </row>
    <row r="232" spans="1:22">
      <c r="A232" t="s">
        <v>22</v>
      </c>
      <c r="B232" s="1">
        <v>41057.351886574077</v>
      </c>
      <c r="C232" s="2">
        <v>94000</v>
      </c>
      <c r="D232">
        <v>94000</v>
      </c>
      <c r="E232" t="s">
        <v>1973</v>
      </c>
      <c r="F232" s="5">
        <v>95871.50770184776</v>
      </c>
      <c r="G232" s="5">
        <v>59796.437659033079</v>
      </c>
      <c r="H232" s="5">
        <f ca="1">OFFSET(F232,0,Brains!$D$1,1,1)</f>
        <v>59796.437659033079</v>
      </c>
      <c r="I232" t="s">
        <v>2195</v>
      </c>
      <c r="J232" t="s">
        <v>1858</v>
      </c>
      <c r="K232" t="s">
        <v>1975</v>
      </c>
      <c r="L232" t="s">
        <v>1975</v>
      </c>
      <c r="M232" s="11" t="s">
        <v>3917</v>
      </c>
      <c r="N232" t="s">
        <v>1873</v>
      </c>
      <c r="O232" s="7" t="s">
        <v>3920</v>
      </c>
      <c r="P232" s="17" t="str">
        <f t="shared" ca="1" si="6"/>
        <v>50-74.9K</v>
      </c>
      <c r="Q232" s="17">
        <v>2.5</v>
      </c>
      <c r="R232">
        <v>2.5</v>
      </c>
      <c r="S232">
        <v>3</v>
      </c>
      <c r="T232">
        <v>1</v>
      </c>
      <c r="U232">
        <v>2</v>
      </c>
      <c r="V232" s="15">
        <f t="shared" ca="1" si="7"/>
        <v>4</v>
      </c>
    </row>
    <row r="233" spans="1:22">
      <c r="A233" t="s">
        <v>1509</v>
      </c>
      <c r="B233" s="1">
        <v>41067.840752314813</v>
      </c>
      <c r="C233" s="2">
        <v>60000</v>
      </c>
      <c r="D233">
        <v>60000</v>
      </c>
      <c r="E233" t="s">
        <v>1973</v>
      </c>
      <c r="F233" s="5">
        <v>61194.579384158147</v>
      </c>
      <c r="G233" s="5">
        <v>38167.938931297715</v>
      </c>
      <c r="H233" s="5">
        <f ca="1">OFFSET(F233,0,Brains!$D$1,1,1)</f>
        <v>38167.938931297715</v>
      </c>
      <c r="I233" t="s">
        <v>1911</v>
      </c>
      <c r="J233" t="s">
        <v>1858</v>
      </c>
      <c r="K233" t="s">
        <v>1975</v>
      </c>
      <c r="L233" t="s">
        <v>1975</v>
      </c>
      <c r="M233" s="11" t="s">
        <v>3917</v>
      </c>
      <c r="N233" t="s">
        <v>1873</v>
      </c>
      <c r="O233" s="7" t="s">
        <v>3920</v>
      </c>
      <c r="P233" s="17" t="str">
        <f t="shared" ca="1" si="6"/>
        <v>30-49.9K</v>
      </c>
      <c r="Q233" s="17">
        <v>2.5</v>
      </c>
      <c r="R233">
        <v>3</v>
      </c>
      <c r="S233">
        <v>3</v>
      </c>
      <c r="T233">
        <v>1</v>
      </c>
      <c r="U233">
        <v>2</v>
      </c>
      <c r="V233" s="15">
        <f t="shared" ca="1" si="7"/>
        <v>3</v>
      </c>
    </row>
    <row r="234" spans="1:22">
      <c r="A234" t="s">
        <v>1700</v>
      </c>
      <c r="B234" s="1">
        <v>41075.043611111112</v>
      </c>
      <c r="C234" s="2">
        <v>60000</v>
      </c>
      <c r="D234">
        <v>60000</v>
      </c>
      <c r="E234" t="s">
        <v>1856</v>
      </c>
      <c r="F234" s="5">
        <v>60000</v>
      </c>
      <c r="G234" s="5">
        <v>60000</v>
      </c>
      <c r="H234" s="5">
        <f ca="1">OFFSET(F234,0,Brains!$D$1,1,1)</f>
        <v>60000</v>
      </c>
      <c r="I234" t="s">
        <v>2195</v>
      </c>
      <c r="J234" t="s">
        <v>1858</v>
      </c>
      <c r="K234" t="s">
        <v>1869</v>
      </c>
      <c r="L234" t="s">
        <v>1869</v>
      </c>
      <c r="M234" s="11" t="s">
        <v>3917</v>
      </c>
      <c r="N234" t="s">
        <v>1873</v>
      </c>
      <c r="O234" s="7" t="s">
        <v>3920</v>
      </c>
      <c r="P234" s="17" t="str">
        <f t="shared" ca="1" si="6"/>
        <v>50-74.9K</v>
      </c>
      <c r="Q234" s="17">
        <v>2.5</v>
      </c>
      <c r="R234">
        <v>3</v>
      </c>
      <c r="S234">
        <v>3</v>
      </c>
      <c r="T234">
        <v>1</v>
      </c>
      <c r="U234">
        <v>2</v>
      </c>
      <c r="V234" s="15">
        <f t="shared" ca="1" si="7"/>
        <v>4</v>
      </c>
    </row>
    <row r="235" spans="1:22">
      <c r="A235" t="s">
        <v>1441</v>
      </c>
      <c r="B235" s="1">
        <v>41065.951620370368</v>
      </c>
      <c r="C235" s="2">
        <v>40000</v>
      </c>
      <c r="D235">
        <v>40000</v>
      </c>
      <c r="E235" t="s">
        <v>1880</v>
      </c>
      <c r="F235" s="5">
        <v>50815.977559664309</v>
      </c>
      <c r="G235" s="5">
        <v>50247.973750458514</v>
      </c>
      <c r="H235" s="5">
        <f ca="1">OFFSET(F235,0,Brains!$D$1,1,1)</f>
        <v>50247.973750458514</v>
      </c>
      <c r="I235" t="s">
        <v>1868</v>
      </c>
      <c r="J235" t="s">
        <v>1858</v>
      </c>
      <c r="K235" t="s">
        <v>1883</v>
      </c>
      <c r="L235" t="s">
        <v>1883</v>
      </c>
      <c r="M235" s="11" t="s">
        <v>3917</v>
      </c>
      <c r="N235" t="s">
        <v>1873</v>
      </c>
      <c r="O235" s="7" t="s">
        <v>3920</v>
      </c>
      <c r="P235" s="17" t="str">
        <f t="shared" ca="1" si="6"/>
        <v>50-74.9K</v>
      </c>
      <c r="Q235" s="17">
        <v>2.5</v>
      </c>
      <c r="R235">
        <v>3</v>
      </c>
      <c r="S235">
        <v>3</v>
      </c>
      <c r="T235">
        <v>1</v>
      </c>
      <c r="U235">
        <v>2</v>
      </c>
      <c r="V235" s="15">
        <f t="shared" ca="1" si="7"/>
        <v>4</v>
      </c>
    </row>
    <row r="236" spans="1:22">
      <c r="A236" t="s">
        <v>1394</v>
      </c>
      <c r="B236" s="1">
        <v>41064.987349537034</v>
      </c>
      <c r="C236" s="2">
        <v>49000</v>
      </c>
      <c r="D236">
        <v>49000</v>
      </c>
      <c r="E236" t="s">
        <v>1856</v>
      </c>
      <c r="F236" s="5">
        <v>49000</v>
      </c>
      <c r="G236" s="5">
        <v>49000</v>
      </c>
      <c r="H236" s="5">
        <f ca="1">OFFSET(F236,0,Brains!$D$1,1,1)</f>
        <v>49000</v>
      </c>
      <c r="I236" t="s">
        <v>1395</v>
      </c>
      <c r="J236" t="s">
        <v>1858</v>
      </c>
      <c r="K236" t="s">
        <v>1869</v>
      </c>
      <c r="L236" t="s">
        <v>1869</v>
      </c>
      <c r="M236" s="11" t="s">
        <v>3917</v>
      </c>
      <c r="N236" t="s">
        <v>1873</v>
      </c>
      <c r="O236" s="7" t="s">
        <v>3920</v>
      </c>
      <c r="P236" s="17" t="str">
        <f t="shared" ca="1" si="6"/>
        <v>30-49.9K</v>
      </c>
      <c r="Q236" s="17">
        <v>2.5</v>
      </c>
      <c r="R236">
        <v>3</v>
      </c>
      <c r="S236">
        <v>3</v>
      </c>
      <c r="T236">
        <v>1</v>
      </c>
      <c r="U236">
        <v>2</v>
      </c>
      <c r="V236" s="15">
        <f t="shared" ca="1" si="7"/>
        <v>3</v>
      </c>
    </row>
    <row r="237" spans="1:22">
      <c r="A237" t="s">
        <v>779</v>
      </c>
      <c r="B237" s="1">
        <v>41058.774421296293</v>
      </c>
      <c r="C237" s="2" t="s">
        <v>780</v>
      </c>
      <c r="D237">
        <v>9067</v>
      </c>
      <c r="E237" t="s">
        <v>1880</v>
      </c>
      <c r="F237" s="5">
        <v>11518.711713336908</v>
      </c>
      <c r="G237" s="5">
        <v>11389.959449885184</v>
      </c>
      <c r="H237" s="5">
        <f ca="1">OFFSET(F237,0,Brains!$D$1,1,1)</f>
        <v>11389.959449885184</v>
      </c>
      <c r="I237" t="s">
        <v>781</v>
      </c>
      <c r="J237" t="s">
        <v>1858</v>
      </c>
      <c r="K237" t="s">
        <v>1905</v>
      </c>
      <c r="L237" t="s">
        <v>1905</v>
      </c>
      <c r="M237" s="11" t="s">
        <v>3917</v>
      </c>
      <c r="N237" t="s">
        <v>1873</v>
      </c>
      <c r="O237" s="7" t="s">
        <v>3920</v>
      </c>
      <c r="P237" s="17" t="str">
        <f t="shared" ca="1" si="6"/>
        <v>0-14.9K</v>
      </c>
      <c r="Q237" s="17">
        <v>2.5</v>
      </c>
      <c r="R237">
        <v>3</v>
      </c>
      <c r="S237">
        <v>3</v>
      </c>
      <c r="T237">
        <v>1</v>
      </c>
      <c r="U237">
        <v>2</v>
      </c>
      <c r="V237" s="15">
        <f t="shared" ca="1" si="7"/>
        <v>1</v>
      </c>
    </row>
    <row r="238" spans="1:22">
      <c r="A238" t="s">
        <v>3211</v>
      </c>
      <c r="B238" s="1">
        <v>41055.4846412037</v>
      </c>
      <c r="C238" s="2">
        <v>600000</v>
      </c>
      <c r="D238">
        <v>600000</v>
      </c>
      <c r="E238" t="s">
        <v>1908</v>
      </c>
      <c r="F238" s="5">
        <v>10684.750012465542</v>
      </c>
      <c r="G238" s="5">
        <v>29877.502240812668</v>
      </c>
      <c r="H238" s="5">
        <f ca="1">OFFSET(F238,0,Brains!$D$1,1,1)</f>
        <v>29877.502240812668</v>
      </c>
      <c r="I238" t="s">
        <v>1868</v>
      </c>
      <c r="J238" t="s">
        <v>1858</v>
      </c>
      <c r="K238" t="s">
        <v>1859</v>
      </c>
      <c r="L238" t="s">
        <v>1859</v>
      </c>
      <c r="M238" s="11" t="s">
        <v>3917</v>
      </c>
      <c r="N238" t="s">
        <v>1873</v>
      </c>
      <c r="O238" s="7" t="s">
        <v>3920</v>
      </c>
      <c r="P238" s="17" t="str">
        <f t="shared" ca="1" si="6"/>
        <v>15-29.9K</v>
      </c>
      <c r="Q238" s="17">
        <v>2.5</v>
      </c>
      <c r="R238">
        <v>3</v>
      </c>
      <c r="S238">
        <v>3</v>
      </c>
      <c r="T238">
        <v>1</v>
      </c>
      <c r="U238">
        <v>2</v>
      </c>
      <c r="V238" s="15">
        <f t="shared" ca="1" si="7"/>
        <v>2</v>
      </c>
    </row>
    <row r="239" spans="1:22">
      <c r="A239" t="s">
        <v>1616</v>
      </c>
      <c r="B239" s="1">
        <v>41072.081944444442</v>
      </c>
      <c r="C239" s="2">
        <v>400000</v>
      </c>
      <c r="D239">
        <v>400000</v>
      </c>
      <c r="E239" t="s">
        <v>1908</v>
      </c>
      <c r="F239" s="5">
        <v>7123.1666749770275</v>
      </c>
      <c r="G239" s="5">
        <v>19918.334827208444</v>
      </c>
      <c r="H239" s="5">
        <f ca="1">OFFSET(F239,0,Brains!$D$1,1,1)</f>
        <v>19918.334827208444</v>
      </c>
      <c r="I239" t="s">
        <v>1911</v>
      </c>
      <c r="J239" t="s">
        <v>1858</v>
      </c>
      <c r="K239" t="s">
        <v>1859</v>
      </c>
      <c r="L239" t="s">
        <v>1859</v>
      </c>
      <c r="M239" s="11" t="s">
        <v>3917</v>
      </c>
      <c r="N239" t="s">
        <v>1873</v>
      </c>
      <c r="O239" s="7" t="s">
        <v>3920</v>
      </c>
      <c r="P239" s="17" t="str">
        <f t="shared" ca="1" si="6"/>
        <v>15-29.9K</v>
      </c>
      <c r="Q239" s="17">
        <v>2.5</v>
      </c>
      <c r="R239">
        <v>3</v>
      </c>
      <c r="S239">
        <v>3</v>
      </c>
      <c r="T239">
        <v>1</v>
      </c>
      <c r="U239">
        <v>2</v>
      </c>
      <c r="V239" s="15">
        <f t="shared" ca="1" si="7"/>
        <v>2</v>
      </c>
    </row>
    <row r="240" spans="1:22">
      <c r="A240" t="s">
        <v>233</v>
      </c>
      <c r="B240" s="1">
        <v>41057.659282407411</v>
      </c>
      <c r="C240" s="2">
        <v>240000</v>
      </c>
      <c r="D240">
        <v>240000</v>
      </c>
      <c r="E240" t="s">
        <v>1908</v>
      </c>
      <c r="F240" s="5">
        <v>4273.9000049862161</v>
      </c>
      <c r="G240" s="5">
        <v>11951.000896325068</v>
      </c>
      <c r="H240" s="5">
        <f ca="1">OFFSET(F240,0,Brains!$D$1,1,1)</f>
        <v>11951.000896325068</v>
      </c>
      <c r="I240" t="s">
        <v>3236</v>
      </c>
      <c r="J240" t="s">
        <v>1858</v>
      </c>
      <c r="K240" t="s">
        <v>1859</v>
      </c>
      <c r="L240" t="s">
        <v>1859</v>
      </c>
      <c r="M240" s="11" t="s">
        <v>3917</v>
      </c>
      <c r="N240" t="s">
        <v>1873</v>
      </c>
      <c r="O240" s="7" t="s">
        <v>3920</v>
      </c>
      <c r="P240" s="17" t="str">
        <f t="shared" ca="1" si="6"/>
        <v>0-14.9K</v>
      </c>
      <c r="Q240" s="17">
        <v>2.5</v>
      </c>
      <c r="R240">
        <v>3</v>
      </c>
      <c r="S240">
        <v>3</v>
      </c>
      <c r="T240">
        <v>1</v>
      </c>
      <c r="U240">
        <v>2</v>
      </c>
      <c r="V240" s="15">
        <f t="shared" ca="1" si="7"/>
        <v>1</v>
      </c>
    </row>
    <row r="241" spans="1:22">
      <c r="A241" t="s">
        <v>3298</v>
      </c>
      <c r="B241" s="1">
        <v>41055.545173611114</v>
      </c>
      <c r="C241" s="2" t="s">
        <v>3299</v>
      </c>
      <c r="D241">
        <v>220000</v>
      </c>
      <c r="E241" t="s">
        <v>1908</v>
      </c>
      <c r="F241" s="5">
        <v>3917.7416712373652</v>
      </c>
      <c r="G241" s="5">
        <v>10955.084154964645</v>
      </c>
      <c r="H241" s="5">
        <f ca="1">OFFSET(F241,0,Brains!$D$1,1,1)</f>
        <v>10955.084154964645</v>
      </c>
      <c r="I241" t="s">
        <v>3300</v>
      </c>
      <c r="J241" t="s">
        <v>1858</v>
      </c>
      <c r="K241" t="s">
        <v>1859</v>
      </c>
      <c r="L241" t="s">
        <v>1859</v>
      </c>
      <c r="M241" s="11" t="s">
        <v>3917</v>
      </c>
      <c r="N241" t="s">
        <v>1873</v>
      </c>
      <c r="O241" s="7" t="s">
        <v>3920</v>
      </c>
      <c r="P241" s="17" t="str">
        <f t="shared" ca="1" si="6"/>
        <v>0-14.9K</v>
      </c>
      <c r="Q241" s="17">
        <v>2.5</v>
      </c>
      <c r="R241">
        <v>3</v>
      </c>
      <c r="S241">
        <v>3</v>
      </c>
      <c r="T241">
        <v>1</v>
      </c>
      <c r="U241">
        <v>2</v>
      </c>
      <c r="V241" s="15">
        <f t="shared" ca="1" si="7"/>
        <v>1</v>
      </c>
    </row>
    <row r="242" spans="1:22">
      <c r="A242" t="s">
        <v>1603</v>
      </c>
      <c r="B242" s="1">
        <v>41071.746087962965</v>
      </c>
      <c r="C242" s="2">
        <v>200</v>
      </c>
      <c r="D242">
        <v>2400</v>
      </c>
      <c r="E242" t="s">
        <v>1856</v>
      </c>
      <c r="F242" s="5">
        <v>2400</v>
      </c>
      <c r="G242" s="5">
        <v>2400</v>
      </c>
      <c r="H242" s="5">
        <f ca="1">OFFSET(F242,0,Brains!$D$1,1,1)</f>
        <v>2400</v>
      </c>
      <c r="I242" t="s">
        <v>1604</v>
      </c>
      <c r="J242" t="s">
        <v>1858</v>
      </c>
      <c r="K242" t="s">
        <v>1859</v>
      </c>
      <c r="L242" t="s">
        <v>1859</v>
      </c>
      <c r="M242" s="11" t="s">
        <v>3917</v>
      </c>
      <c r="N242" t="s">
        <v>1873</v>
      </c>
      <c r="O242" s="7" t="s">
        <v>3920</v>
      </c>
      <c r="P242" s="17" t="str">
        <f t="shared" ca="1" si="6"/>
        <v>0-14.9K</v>
      </c>
      <c r="Q242" s="17">
        <v>2.5</v>
      </c>
      <c r="R242">
        <v>3</v>
      </c>
      <c r="S242">
        <v>3</v>
      </c>
      <c r="T242">
        <v>1</v>
      </c>
      <c r="U242">
        <v>2</v>
      </c>
      <c r="V242" s="15">
        <f t="shared" ca="1" si="7"/>
        <v>1</v>
      </c>
    </row>
    <row r="243" spans="1:22">
      <c r="A243" t="s">
        <v>3305</v>
      </c>
      <c r="B243" s="1">
        <v>41055.550555555557</v>
      </c>
      <c r="C243" s="2" t="s">
        <v>3306</v>
      </c>
      <c r="D243">
        <v>120000</v>
      </c>
      <c r="E243" t="s">
        <v>1908</v>
      </c>
      <c r="F243" s="5">
        <v>2136.9500024931081</v>
      </c>
      <c r="G243" s="5">
        <v>5975.5004481625338</v>
      </c>
      <c r="H243" s="5">
        <f ca="1">OFFSET(F243,0,Brains!$D$1,1,1)</f>
        <v>5975.5004481625338</v>
      </c>
      <c r="I243" t="s">
        <v>2099</v>
      </c>
      <c r="J243" t="s">
        <v>1858</v>
      </c>
      <c r="K243" t="s">
        <v>1859</v>
      </c>
      <c r="L243" t="s">
        <v>1859</v>
      </c>
      <c r="M243" s="11" t="s">
        <v>3917</v>
      </c>
      <c r="N243" t="s">
        <v>1873</v>
      </c>
      <c r="O243" s="7" t="s">
        <v>3920</v>
      </c>
      <c r="P243" s="17" t="str">
        <f t="shared" ca="1" si="6"/>
        <v>0-14.9K</v>
      </c>
      <c r="Q243" s="17">
        <v>2.5</v>
      </c>
      <c r="R243">
        <v>3</v>
      </c>
      <c r="S243">
        <v>3</v>
      </c>
      <c r="T243">
        <v>1</v>
      </c>
      <c r="U243">
        <v>2</v>
      </c>
      <c r="V243" s="15">
        <f t="shared" ca="1" si="7"/>
        <v>1</v>
      </c>
    </row>
    <row r="244" spans="1:22">
      <c r="A244" t="s">
        <v>3403</v>
      </c>
      <c r="B244" s="1">
        <v>41055.629166666666</v>
      </c>
      <c r="C244" s="2">
        <v>4.8</v>
      </c>
      <c r="D244">
        <v>480000</v>
      </c>
      <c r="E244" t="s">
        <v>1908</v>
      </c>
      <c r="F244" s="5">
        <v>8547.8000099724322</v>
      </c>
      <c r="G244" s="5">
        <v>23902.001792650135</v>
      </c>
      <c r="H244" s="5">
        <f ca="1">OFFSET(F244,0,Brains!$D$1,1,1)</f>
        <v>23902.001792650135</v>
      </c>
      <c r="I244" t="s">
        <v>3404</v>
      </c>
      <c r="J244" t="s">
        <v>1858</v>
      </c>
      <c r="K244" t="s">
        <v>1859</v>
      </c>
      <c r="L244" t="s">
        <v>1859</v>
      </c>
      <c r="M244" s="11" t="s">
        <v>3917</v>
      </c>
      <c r="N244" t="s">
        <v>1873</v>
      </c>
      <c r="O244" s="7" t="s">
        <v>3920</v>
      </c>
      <c r="P244" s="17" t="str">
        <f t="shared" ca="1" si="6"/>
        <v>15-29.9K</v>
      </c>
      <c r="Q244" s="17">
        <v>2.5</v>
      </c>
      <c r="R244">
        <v>3.5</v>
      </c>
      <c r="S244">
        <v>3</v>
      </c>
      <c r="T244">
        <v>1</v>
      </c>
      <c r="U244">
        <v>2</v>
      </c>
      <c r="V244" s="15">
        <f t="shared" ca="1" si="7"/>
        <v>2</v>
      </c>
    </row>
    <row r="245" spans="1:22">
      <c r="A245" t="s">
        <v>3781</v>
      </c>
      <c r="B245" s="1">
        <v>41056.643449074072</v>
      </c>
      <c r="C245" s="2" t="s">
        <v>3782</v>
      </c>
      <c r="D245">
        <v>180000</v>
      </c>
      <c r="E245" t="s">
        <v>1908</v>
      </c>
      <c r="F245" s="5">
        <v>3205.4250037396623</v>
      </c>
      <c r="G245" s="5">
        <v>8963.2506722437993</v>
      </c>
      <c r="H245" s="5">
        <f ca="1">OFFSET(F245,0,Brains!$D$1,1,1)</f>
        <v>8963.2506722437993</v>
      </c>
      <c r="I245" t="s">
        <v>3236</v>
      </c>
      <c r="J245" t="s">
        <v>1858</v>
      </c>
      <c r="K245" t="s">
        <v>1859</v>
      </c>
      <c r="L245" t="s">
        <v>1859</v>
      </c>
      <c r="M245" s="11" t="s">
        <v>3917</v>
      </c>
      <c r="N245" t="s">
        <v>1873</v>
      </c>
      <c r="O245" s="7" t="s">
        <v>3920</v>
      </c>
      <c r="P245" s="17" t="str">
        <f t="shared" ca="1" si="6"/>
        <v>0-14.9K</v>
      </c>
      <c r="Q245" s="17">
        <v>2.5</v>
      </c>
      <c r="R245">
        <v>3.5</v>
      </c>
      <c r="S245">
        <v>3</v>
      </c>
      <c r="T245">
        <v>1</v>
      </c>
      <c r="U245">
        <v>2</v>
      </c>
      <c r="V245" s="15">
        <f t="shared" ca="1" si="7"/>
        <v>1</v>
      </c>
    </row>
    <row r="246" spans="1:22">
      <c r="A246" t="s">
        <v>114</v>
      </c>
      <c r="B246" s="1">
        <v>41057.532870370371</v>
      </c>
      <c r="C246" s="2">
        <v>120000</v>
      </c>
      <c r="D246">
        <v>120000</v>
      </c>
      <c r="E246" t="s">
        <v>1908</v>
      </c>
      <c r="F246" s="5">
        <v>2136.9500024931081</v>
      </c>
      <c r="G246" s="5">
        <v>5975.5004481625338</v>
      </c>
      <c r="H246" s="5">
        <f ca="1">OFFSET(F246,0,Brains!$D$1,1,1)</f>
        <v>5975.5004481625338</v>
      </c>
      <c r="I246" t="s">
        <v>115</v>
      </c>
      <c r="J246" t="s">
        <v>1858</v>
      </c>
      <c r="K246" t="s">
        <v>1859</v>
      </c>
      <c r="L246" t="s">
        <v>1859</v>
      </c>
      <c r="M246" s="11" t="s">
        <v>3917</v>
      </c>
      <c r="N246" t="s">
        <v>1873</v>
      </c>
      <c r="O246" s="7" t="s">
        <v>3920</v>
      </c>
      <c r="P246" s="17" t="str">
        <f t="shared" ca="1" si="6"/>
        <v>0-14.9K</v>
      </c>
      <c r="Q246" s="17">
        <v>2.5</v>
      </c>
      <c r="R246">
        <v>3.5</v>
      </c>
      <c r="S246">
        <v>3</v>
      </c>
      <c r="T246">
        <v>1</v>
      </c>
      <c r="U246">
        <v>2</v>
      </c>
      <c r="V246" s="15">
        <f t="shared" ca="1" si="7"/>
        <v>1</v>
      </c>
    </row>
    <row r="247" spans="1:22">
      <c r="A247" t="s">
        <v>3128</v>
      </c>
      <c r="B247" s="1">
        <v>41055.354166666664</v>
      </c>
      <c r="C247" s="2" t="s">
        <v>2333</v>
      </c>
      <c r="D247">
        <v>50000</v>
      </c>
      <c r="E247" t="s">
        <v>1880</v>
      </c>
      <c r="F247" s="5">
        <v>63519.971949580387</v>
      </c>
      <c r="G247" s="5">
        <v>62809.967188073148</v>
      </c>
      <c r="H247" s="5">
        <f ca="1">OFFSET(F247,0,Brains!$D$1,1,1)</f>
        <v>62809.967188073148</v>
      </c>
      <c r="I247" t="s">
        <v>1858</v>
      </c>
      <c r="J247" t="s">
        <v>1858</v>
      </c>
      <c r="K247" t="s">
        <v>1883</v>
      </c>
      <c r="L247" t="s">
        <v>1883</v>
      </c>
      <c r="M247" s="11" t="s">
        <v>3917</v>
      </c>
      <c r="N247" t="s">
        <v>1873</v>
      </c>
      <c r="O247" s="7" t="s">
        <v>3920</v>
      </c>
      <c r="P247" s="17" t="str">
        <f t="shared" ca="1" si="6"/>
        <v>50-74.9K</v>
      </c>
      <c r="Q247" s="17">
        <v>2.5</v>
      </c>
      <c r="R247">
        <v>4</v>
      </c>
      <c r="S247">
        <v>3</v>
      </c>
      <c r="T247">
        <v>1</v>
      </c>
      <c r="U247">
        <v>2</v>
      </c>
      <c r="V247" s="15">
        <f t="shared" ca="1" si="7"/>
        <v>4</v>
      </c>
    </row>
    <row r="248" spans="1:22">
      <c r="A248" t="s">
        <v>340</v>
      </c>
      <c r="B248" s="1">
        <v>41057.805451388886</v>
      </c>
      <c r="C248" s="2">
        <v>5000</v>
      </c>
      <c r="D248">
        <v>60000</v>
      </c>
      <c r="E248" t="s">
        <v>1856</v>
      </c>
      <c r="F248" s="5">
        <v>60000</v>
      </c>
      <c r="G248" s="5">
        <v>60000</v>
      </c>
      <c r="H248" s="5">
        <f ca="1">OFFSET(F248,0,Brains!$D$1,1,1)</f>
        <v>60000</v>
      </c>
      <c r="I248" t="s">
        <v>341</v>
      </c>
      <c r="J248" t="s">
        <v>1858</v>
      </c>
      <c r="K248" t="s">
        <v>1869</v>
      </c>
      <c r="L248" t="s">
        <v>1869</v>
      </c>
      <c r="M248" s="11" t="s">
        <v>3917</v>
      </c>
      <c r="N248" t="s">
        <v>1873</v>
      </c>
      <c r="O248" s="7" t="s">
        <v>3920</v>
      </c>
      <c r="P248" s="17" t="str">
        <f t="shared" ca="1" si="6"/>
        <v>50-74.9K</v>
      </c>
      <c r="Q248" s="17">
        <v>2.5</v>
      </c>
      <c r="R248">
        <v>4</v>
      </c>
      <c r="S248">
        <v>3</v>
      </c>
      <c r="T248">
        <v>1</v>
      </c>
      <c r="U248">
        <v>2</v>
      </c>
      <c r="V248" s="15">
        <f t="shared" ca="1" si="7"/>
        <v>4</v>
      </c>
    </row>
    <row r="249" spans="1:22">
      <c r="A249" t="s">
        <v>893</v>
      </c>
      <c r="B249" s="1">
        <v>41058.979895833334</v>
      </c>
      <c r="C249" s="2" t="s">
        <v>894</v>
      </c>
      <c r="D249">
        <v>36000</v>
      </c>
      <c r="E249" t="s">
        <v>1880</v>
      </c>
      <c r="F249" s="5">
        <v>45734.379803697877</v>
      </c>
      <c r="G249" s="5">
        <v>45223.176375412666</v>
      </c>
      <c r="H249" s="5">
        <f ca="1">OFFSET(F249,0,Brains!$D$1,1,1)</f>
        <v>45223.176375412666</v>
      </c>
      <c r="I249" t="s">
        <v>895</v>
      </c>
      <c r="J249" t="s">
        <v>1858</v>
      </c>
      <c r="K249" t="s">
        <v>1902</v>
      </c>
      <c r="L249" t="s">
        <v>1902</v>
      </c>
      <c r="M249" s="11" t="s">
        <v>3917</v>
      </c>
      <c r="N249" t="s">
        <v>1873</v>
      </c>
      <c r="O249" s="7" t="s">
        <v>3920</v>
      </c>
      <c r="P249" s="17" t="str">
        <f t="shared" ca="1" si="6"/>
        <v>30-49.9K</v>
      </c>
      <c r="Q249" s="17">
        <v>2.5</v>
      </c>
      <c r="R249">
        <v>4</v>
      </c>
      <c r="S249">
        <v>3</v>
      </c>
      <c r="T249">
        <v>1</v>
      </c>
      <c r="U249">
        <v>2</v>
      </c>
      <c r="V249" s="15">
        <f t="shared" ca="1" si="7"/>
        <v>3</v>
      </c>
    </row>
    <row r="250" spans="1:22">
      <c r="A250" t="s">
        <v>1444</v>
      </c>
      <c r="B250" s="1">
        <v>41066.034201388888</v>
      </c>
      <c r="C250" s="2">
        <v>45000</v>
      </c>
      <c r="D250">
        <v>45000</v>
      </c>
      <c r="E250" t="s">
        <v>1856</v>
      </c>
      <c r="F250" s="5">
        <v>45000</v>
      </c>
      <c r="G250" s="5">
        <v>45000</v>
      </c>
      <c r="H250" s="5">
        <f ca="1">OFFSET(F250,0,Brains!$D$1,1,1)</f>
        <v>45000</v>
      </c>
      <c r="I250" t="s">
        <v>1445</v>
      </c>
      <c r="J250" t="s">
        <v>1858</v>
      </c>
      <c r="K250" t="s">
        <v>1869</v>
      </c>
      <c r="L250" t="s">
        <v>1869</v>
      </c>
      <c r="M250" s="11" t="s">
        <v>3917</v>
      </c>
      <c r="N250" t="s">
        <v>1873</v>
      </c>
      <c r="O250" s="7" t="s">
        <v>3920</v>
      </c>
      <c r="P250" s="17" t="str">
        <f t="shared" ca="1" si="6"/>
        <v>30-49.9K</v>
      </c>
      <c r="Q250" s="17">
        <v>2.5</v>
      </c>
      <c r="R250">
        <v>4</v>
      </c>
      <c r="S250">
        <v>3</v>
      </c>
      <c r="T250">
        <v>1</v>
      </c>
      <c r="U250">
        <v>2</v>
      </c>
      <c r="V250" s="15">
        <f t="shared" ca="1" si="7"/>
        <v>3</v>
      </c>
    </row>
    <row r="251" spans="1:22">
      <c r="A251" t="s">
        <v>1549</v>
      </c>
      <c r="B251" s="1">
        <v>41068.876944444448</v>
      </c>
      <c r="C251" s="2">
        <v>30000</v>
      </c>
      <c r="D251">
        <v>30000</v>
      </c>
      <c r="E251" t="s">
        <v>1856</v>
      </c>
      <c r="F251" s="5">
        <v>30000</v>
      </c>
      <c r="G251" s="5">
        <v>30000</v>
      </c>
      <c r="H251" s="5">
        <f ca="1">OFFSET(F251,0,Brains!$D$1,1,1)</f>
        <v>30000</v>
      </c>
      <c r="I251" t="s">
        <v>1550</v>
      </c>
      <c r="J251" t="s">
        <v>1858</v>
      </c>
      <c r="K251" t="s">
        <v>1869</v>
      </c>
      <c r="L251" t="s">
        <v>1869</v>
      </c>
      <c r="M251" s="11" t="s">
        <v>3917</v>
      </c>
      <c r="N251" t="s">
        <v>1873</v>
      </c>
      <c r="O251" s="7" t="s">
        <v>3920</v>
      </c>
      <c r="P251" s="17" t="str">
        <f t="shared" ca="1" si="6"/>
        <v>30-49.9K</v>
      </c>
      <c r="Q251" s="17">
        <v>2.5</v>
      </c>
      <c r="R251">
        <v>4</v>
      </c>
      <c r="S251">
        <v>3</v>
      </c>
      <c r="T251">
        <v>1</v>
      </c>
      <c r="U251">
        <v>2</v>
      </c>
      <c r="V251" s="15">
        <f t="shared" ca="1" si="7"/>
        <v>3</v>
      </c>
    </row>
    <row r="252" spans="1:22">
      <c r="A252" t="s">
        <v>765</v>
      </c>
      <c r="B252" s="1">
        <v>41058.740266203706</v>
      </c>
      <c r="C252" s="2" t="s">
        <v>766</v>
      </c>
      <c r="D252">
        <v>1600000</v>
      </c>
      <c r="E252" t="s">
        <v>1908</v>
      </c>
      <c r="F252" s="5">
        <v>28492.66669990811</v>
      </c>
      <c r="G252" s="5">
        <v>79673.339308833776</v>
      </c>
      <c r="H252" s="5">
        <f ca="1">OFFSET(F252,0,Brains!$D$1,1,1)</f>
        <v>79673.339308833776</v>
      </c>
      <c r="I252" t="s">
        <v>767</v>
      </c>
      <c r="J252" t="s">
        <v>1858</v>
      </c>
      <c r="K252" t="s">
        <v>1859</v>
      </c>
      <c r="L252" t="s">
        <v>1859</v>
      </c>
      <c r="M252" s="11" t="s">
        <v>3917</v>
      </c>
      <c r="N252" t="s">
        <v>1873</v>
      </c>
      <c r="O252" s="7" t="s">
        <v>3920</v>
      </c>
      <c r="P252" s="17" t="str">
        <f t="shared" ca="1" si="6"/>
        <v>75-99.9K</v>
      </c>
      <c r="Q252" s="17">
        <v>2.5</v>
      </c>
      <c r="R252">
        <v>4</v>
      </c>
      <c r="S252">
        <v>3</v>
      </c>
      <c r="T252">
        <v>1</v>
      </c>
      <c r="U252">
        <v>2</v>
      </c>
      <c r="V252" s="15">
        <f t="shared" ca="1" si="7"/>
        <v>5</v>
      </c>
    </row>
    <row r="253" spans="1:22">
      <c r="A253" t="s">
        <v>1720</v>
      </c>
      <c r="B253" s="1">
        <v>41075.719664351855</v>
      </c>
      <c r="C253" s="2" t="s">
        <v>3472</v>
      </c>
      <c r="D253">
        <v>700000</v>
      </c>
      <c r="E253" t="s">
        <v>1908</v>
      </c>
      <c r="F253" s="5">
        <v>12465.541681209797</v>
      </c>
      <c r="G253" s="5">
        <v>34857.085947614782</v>
      </c>
      <c r="H253" s="5">
        <f ca="1">OFFSET(F253,0,Brains!$D$1,1,1)</f>
        <v>34857.085947614782</v>
      </c>
      <c r="I253" t="s">
        <v>1721</v>
      </c>
      <c r="J253" t="s">
        <v>1858</v>
      </c>
      <c r="K253" t="s">
        <v>1859</v>
      </c>
      <c r="L253" t="s">
        <v>1859</v>
      </c>
      <c r="M253" s="11" t="s">
        <v>3917</v>
      </c>
      <c r="N253" t="s">
        <v>1873</v>
      </c>
      <c r="O253" s="7" t="s">
        <v>3920</v>
      </c>
      <c r="P253" s="17" t="str">
        <f t="shared" ca="1" si="6"/>
        <v>30-49.9K</v>
      </c>
      <c r="Q253" s="17">
        <v>2.5</v>
      </c>
      <c r="R253">
        <v>4</v>
      </c>
      <c r="S253">
        <v>3</v>
      </c>
      <c r="T253">
        <v>1</v>
      </c>
      <c r="U253">
        <v>2</v>
      </c>
      <c r="V253" s="15">
        <f t="shared" ca="1" si="7"/>
        <v>3</v>
      </c>
    </row>
    <row r="254" spans="1:22">
      <c r="A254" t="s">
        <v>3863</v>
      </c>
      <c r="B254" s="1">
        <v>41057.030324074076</v>
      </c>
      <c r="C254" s="2" t="s">
        <v>3864</v>
      </c>
      <c r="D254">
        <v>600000</v>
      </c>
      <c r="E254" t="s">
        <v>1908</v>
      </c>
      <c r="F254" s="5">
        <v>10684.750012465542</v>
      </c>
      <c r="G254" s="5">
        <v>29877.502240812668</v>
      </c>
      <c r="H254" s="5">
        <f ca="1">OFFSET(F254,0,Brains!$D$1,1,1)</f>
        <v>29877.502240812668</v>
      </c>
      <c r="I254" t="s">
        <v>3236</v>
      </c>
      <c r="J254" t="s">
        <v>1858</v>
      </c>
      <c r="K254" t="s">
        <v>1859</v>
      </c>
      <c r="L254" t="s">
        <v>1859</v>
      </c>
      <c r="M254" s="11" t="s">
        <v>3917</v>
      </c>
      <c r="N254" t="s">
        <v>1873</v>
      </c>
      <c r="O254" s="7" t="s">
        <v>3920</v>
      </c>
      <c r="P254" s="17" t="str">
        <f t="shared" ca="1" si="6"/>
        <v>15-29.9K</v>
      </c>
      <c r="Q254" s="17">
        <v>2.5</v>
      </c>
      <c r="R254">
        <v>4</v>
      </c>
      <c r="S254">
        <v>3</v>
      </c>
      <c r="T254">
        <v>1</v>
      </c>
      <c r="U254">
        <v>2</v>
      </c>
      <c r="V254" s="15">
        <f t="shared" ca="1" si="7"/>
        <v>2</v>
      </c>
    </row>
    <row r="255" spans="1:22">
      <c r="A255" t="s">
        <v>3708</v>
      </c>
      <c r="B255" s="1">
        <v>41056.371157407404</v>
      </c>
      <c r="C255" s="2">
        <v>4500</v>
      </c>
      <c r="D255">
        <v>4500</v>
      </c>
      <c r="E255" t="s">
        <v>1856</v>
      </c>
      <c r="F255" s="5">
        <v>4500</v>
      </c>
      <c r="G255" s="5">
        <v>4500</v>
      </c>
      <c r="H255" s="5">
        <f ca="1">OFFSET(F255,0,Brains!$D$1,1,1)</f>
        <v>4500</v>
      </c>
      <c r="I255" t="s">
        <v>3709</v>
      </c>
      <c r="J255" t="s">
        <v>1858</v>
      </c>
      <c r="K255" t="s">
        <v>3700</v>
      </c>
      <c r="L255" t="s">
        <v>3192</v>
      </c>
      <c r="M255" s="11" t="s">
        <v>3917</v>
      </c>
      <c r="N255" t="s">
        <v>1873</v>
      </c>
      <c r="O255" s="7" t="s">
        <v>3920</v>
      </c>
      <c r="P255" s="17" t="str">
        <f t="shared" ca="1" si="6"/>
        <v>0-14.9K</v>
      </c>
      <c r="Q255" s="17">
        <v>2.5</v>
      </c>
      <c r="R255">
        <v>4</v>
      </c>
      <c r="S255">
        <v>3</v>
      </c>
      <c r="T255">
        <v>1</v>
      </c>
      <c r="U255">
        <v>2</v>
      </c>
      <c r="V255" s="15">
        <f t="shared" ca="1" si="7"/>
        <v>1</v>
      </c>
    </row>
    <row r="256" spans="1:22">
      <c r="A256" t="s">
        <v>1794</v>
      </c>
      <c r="B256" s="1">
        <v>41079.527268518519</v>
      </c>
      <c r="C256" s="2">
        <v>4000</v>
      </c>
      <c r="D256">
        <v>4000</v>
      </c>
      <c r="E256" t="s">
        <v>1856</v>
      </c>
      <c r="F256" s="5">
        <v>4000</v>
      </c>
      <c r="G256" s="5">
        <v>4000</v>
      </c>
      <c r="H256" s="5">
        <f ca="1">OFFSET(F256,0,Brains!$D$1,1,1)</f>
        <v>4000</v>
      </c>
      <c r="I256" t="s">
        <v>1795</v>
      </c>
      <c r="J256" t="s">
        <v>1858</v>
      </c>
      <c r="K256" t="s">
        <v>1859</v>
      </c>
      <c r="L256" t="s">
        <v>1859</v>
      </c>
      <c r="M256" s="11" t="s">
        <v>3917</v>
      </c>
      <c r="N256" t="s">
        <v>1873</v>
      </c>
      <c r="O256" s="7" t="s">
        <v>3920</v>
      </c>
      <c r="P256" s="17" t="str">
        <f t="shared" ca="1" si="6"/>
        <v>0-14.9K</v>
      </c>
      <c r="Q256" s="17">
        <v>2.5</v>
      </c>
      <c r="R256">
        <v>4</v>
      </c>
      <c r="S256">
        <v>3</v>
      </c>
      <c r="T256">
        <v>1</v>
      </c>
      <c r="U256">
        <v>2</v>
      </c>
      <c r="V256" s="15">
        <f t="shared" ca="1" si="7"/>
        <v>1</v>
      </c>
    </row>
    <row r="257" spans="1:22">
      <c r="A257" t="s">
        <v>1346</v>
      </c>
      <c r="B257" s="1">
        <v>41063.735578703701</v>
      </c>
      <c r="C257" s="2" t="s">
        <v>1347</v>
      </c>
      <c r="D257">
        <v>125000</v>
      </c>
      <c r="E257" t="s">
        <v>1908</v>
      </c>
      <c r="F257" s="5">
        <v>2225.989585930321</v>
      </c>
      <c r="G257" s="5">
        <v>6224.4796335026394</v>
      </c>
      <c r="H257" s="5">
        <f ca="1">OFFSET(F257,0,Brains!$D$1,1,1)</f>
        <v>6224.4796335026394</v>
      </c>
      <c r="I257" t="s">
        <v>1348</v>
      </c>
      <c r="J257" t="s">
        <v>1858</v>
      </c>
      <c r="K257" t="s">
        <v>1859</v>
      </c>
      <c r="L257" t="s">
        <v>1859</v>
      </c>
      <c r="M257" s="11" t="s">
        <v>3917</v>
      </c>
      <c r="N257" t="s">
        <v>1873</v>
      </c>
      <c r="O257" s="7" t="s">
        <v>3920</v>
      </c>
      <c r="P257" s="17" t="str">
        <f t="shared" ca="1" si="6"/>
        <v>0-14.9K</v>
      </c>
      <c r="Q257" s="17">
        <v>2.5</v>
      </c>
      <c r="R257">
        <v>4</v>
      </c>
      <c r="S257">
        <v>3</v>
      </c>
      <c r="T257">
        <v>1</v>
      </c>
      <c r="U257">
        <v>2</v>
      </c>
      <c r="V257" s="15">
        <f t="shared" ca="1" si="7"/>
        <v>1</v>
      </c>
    </row>
    <row r="258" spans="1:22">
      <c r="A258" t="s">
        <v>1234</v>
      </c>
      <c r="B258" s="1">
        <v>41061.45517361111</v>
      </c>
      <c r="C258" s="2" t="s">
        <v>1235</v>
      </c>
      <c r="D258">
        <v>120000</v>
      </c>
      <c r="E258" t="s">
        <v>1973</v>
      </c>
      <c r="F258" s="5">
        <v>122389.15876831629</v>
      </c>
      <c r="G258" s="5">
        <v>76335.877862595429</v>
      </c>
      <c r="H258" s="5">
        <f ca="1">OFFSET(F258,0,Brains!$D$1,1,1)</f>
        <v>76335.877862595429</v>
      </c>
      <c r="I258" t="s">
        <v>3437</v>
      </c>
      <c r="J258" t="s">
        <v>1858</v>
      </c>
      <c r="K258" t="s">
        <v>1975</v>
      </c>
      <c r="L258" t="s">
        <v>1975</v>
      </c>
      <c r="M258" s="11" t="s">
        <v>3917</v>
      </c>
      <c r="N258" t="s">
        <v>1873</v>
      </c>
      <c r="O258" s="7" t="s">
        <v>3920</v>
      </c>
      <c r="P258" s="17" t="str">
        <f t="shared" ref="P258:P321" ca="1" si="8">IF(H258&lt;15000,"0-14.9K",IF(H258&lt;30000,"15-29.9K",IF(H258&lt;50000,"30-49.9K",IF(H258&lt;75000,"50-74.9K",IF(H258&lt;100000,"75-99.9K",IF(H258&lt;150000,"100-149.9K",IF(H258&lt;250000,"150-249.9K","250K+")))))))</f>
        <v>75-99.9K</v>
      </c>
      <c r="Q258" s="17">
        <v>2.5</v>
      </c>
      <c r="R258">
        <v>5</v>
      </c>
      <c r="S258">
        <v>3</v>
      </c>
      <c r="T258">
        <v>1</v>
      </c>
      <c r="U258">
        <v>2</v>
      </c>
      <c r="V258" s="15">
        <f t="shared" ref="V258:V321" ca="1" si="9">IF(H258&lt;15000,1,IF(H258&lt;30000,2,IF(H258&lt;50000,3,IF(H258&lt;75000,4,IF(H258&lt;100000,5,IF(H258&lt;150000,6,IF(H258&lt;250000,7,8)))))))</f>
        <v>5</v>
      </c>
    </row>
    <row r="259" spans="1:22">
      <c r="A259" t="s">
        <v>1654</v>
      </c>
      <c r="B259" s="1">
        <v>41073.080821759257</v>
      </c>
      <c r="C259" s="2">
        <v>70000</v>
      </c>
      <c r="D259">
        <v>70000</v>
      </c>
      <c r="E259" t="s">
        <v>1856</v>
      </c>
      <c r="F259" s="5">
        <v>70000</v>
      </c>
      <c r="G259" s="5">
        <v>70000</v>
      </c>
      <c r="H259" s="5">
        <f ca="1">OFFSET(F259,0,Brains!$D$1,1,1)</f>
        <v>70000</v>
      </c>
      <c r="I259" t="s">
        <v>1911</v>
      </c>
      <c r="J259" t="s">
        <v>1858</v>
      </c>
      <c r="K259" t="s">
        <v>1869</v>
      </c>
      <c r="L259" t="s">
        <v>1869</v>
      </c>
      <c r="M259" s="11" t="s">
        <v>3917</v>
      </c>
      <c r="N259" t="s">
        <v>1873</v>
      </c>
      <c r="O259" s="7" t="s">
        <v>3920</v>
      </c>
      <c r="P259" s="17" t="str">
        <f t="shared" ca="1" si="8"/>
        <v>50-74.9K</v>
      </c>
      <c r="Q259" s="17">
        <v>2.5</v>
      </c>
      <c r="R259">
        <v>5</v>
      </c>
      <c r="S259">
        <v>3</v>
      </c>
      <c r="T259">
        <v>1</v>
      </c>
      <c r="U259">
        <v>2</v>
      </c>
      <c r="V259" s="15">
        <f t="shared" ca="1" si="9"/>
        <v>4</v>
      </c>
    </row>
    <row r="260" spans="1:22">
      <c r="A260" t="s">
        <v>1279</v>
      </c>
      <c r="B260" s="1">
        <v>41062.141076388885</v>
      </c>
      <c r="C260" s="2">
        <v>62000</v>
      </c>
      <c r="D260">
        <v>62000</v>
      </c>
      <c r="E260" t="s">
        <v>1856</v>
      </c>
      <c r="F260" s="5">
        <v>62000</v>
      </c>
      <c r="G260" s="5">
        <v>62000</v>
      </c>
      <c r="H260" s="5">
        <f ca="1">OFFSET(F260,0,Brains!$D$1,1,1)</f>
        <v>62000</v>
      </c>
      <c r="I260" t="s">
        <v>1868</v>
      </c>
      <c r="J260" t="s">
        <v>1858</v>
      </c>
      <c r="K260" t="s">
        <v>1869</v>
      </c>
      <c r="L260" t="s">
        <v>1869</v>
      </c>
      <c r="M260" s="11" t="s">
        <v>3917</v>
      </c>
      <c r="N260" t="s">
        <v>1873</v>
      </c>
      <c r="O260" s="7" t="s">
        <v>3920</v>
      </c>
      <c r="P260" s="17" t="str">
        <f t="shared" ca="1" si="8"/>
        <v>50-74.9K</v>
      </c>
      <c r="Q260" s="17">
        <v>2.5</v>
      </c>
      <c r="R260">
        <v>5</v>
      </c>
      <c r="S260">
        <v>3</v>
      </c>
      <c r="T260">
        <v>1</v>
      </c>
      <c r="U260">
        <v>2</v>
      </c>
      <c r="V260" s="15">
        <f t="shared" ca="1" si="9"/>
        <v>4</v>
      </c>
    </row>
    <row r="261" spans="1:22">
      <c r="A261" t="s">
        <v>1002</v>
      </c>
      <c r="B261" s="1">
        <v>41059.682164351849</v>
      </c>
      <c r="C261" s="2" t="s">
        <v>1003</v>
      </c>
      <c r="D261">
        <v>17000</v>
      </c>
      <c r="E261" t="s">
        <v>1954</v>
      </c>
      <c r="F261" s="5">
        <v>26795.030625143831</v>
      </c>
      <c r="G261" s="5">
        <v>25222.551928783381</v>
      </c>
      <c r="H261" s="5">
        <f ca="1">OFFSET(F261,0,Brains!$D$1,1,1)</f>
        <v>25222.551928783381</v>
      </c>
      <c r="I261" t="s">
        <v>1004</v>
      </c>
      <c r="J261" t="s">
        <v>1858</v>
      </c>
      <c r="K261" t="s">
        <v>1956</v>
      </c>
      <c r="L261" t="s">
        <v>1956</v>
      </c>
      <c r="M261" s="11" t="s">
        <v>3917</v>
      </c>
      <c r="N261" t="s">
        <v>1873</v>
      </c>
      <c r="O261" s="7" t="s">
        <v>3920</v>
      </c>
      <c r="P261" s="17" t="str">
        <f t="shared" ca="1" si="8"/>
        <v>15-29.9K</v>
      </c>
      <c r="Q261" s="17">
        <v>2.5</v>
      </c>
      <c r="R261">
        <v>5</v>
      </c>
      <c r="S261">
        <v>3</v>
      </c>
      <c r="T261">
        <v>1</v>
      </c>
      <c r="U261">
        <v>2</v>
      </c>
      <c r="V261" s="15">
        <f t="shared" ca="1" si="9"/>
        <v>2</v>
      </c>
    </row>
    <row r="262" spans="1:22">
      <c r="A262" t="s">
        <v>333</v>
      </c>
      <c r="B262" s="1">
        <v>41057.78125</v>
      </c>
      <c r="C262" s="2">
        <v>10000</v>
      </c>
      <c r="D262">
        <v>10000</v>
      </c>
      <c r="E262" t="s">
        <v>1856</v>
      </c>
      <c r="F262" s="5">
        <v>10000</v>
      </c>
      <c r="G262" s="5">
        <v>10000</v>
      </c>
      <c r="H262" s="5">
        <f ca="1">OFFSET(F262,0,Brains!$D$1,1,1)</f>
        <v>10000</v>
      </c>
      <c r="I262" t="s">
        <v>3031</v>
      </c>
      <c r="J262" t="s">
        <v>1858</v>
      </c>
      <c r="K262" t="s">
        <v>1859</v>
      </c>
      <c r="L262" t="s">
        <v>1859</v>
      </c>
      <c r="M262" s="11" t="s">
        <v>3917</v>
      </c>
      <c r="N262" t="s">
        <v>1873</v>
      </c>
      <c r="O262" s="7" t="s">
        <v>3920</v>
      </c>
      <c r="P262" s="17" t="str">
        <f t="shared" ca="1" si="8"/>
        <v>0-14.9K</v>
      </c>
      <c r="Q262" s="17">
        <v>2.5</v>
      </c>
      <c r="R262">
        <v>5</v>
      </c>
      <c r="S262">
        <v>3</v>
      </c>
      <c r="T262">
        <v>1</v>
      </c>
      <c r="U262">
        <v>2</v>
      </c>
      <c r="V262" s="15">
        <f t="shared" ca="1" si="9"/>
        <v>1</v>
      </c>
    </row>
    <row r="263" spans="1:22">
      <c r="A263" t="s">
        <v>3144</v>
      </c>
      <c r="B263" s="1">
        <v>41055.374247685184</v>
      </c>
      <c r="C263" s="2" t="s">
        <v>3145</v>
      </c>
      <c r="D263">
        <v>240000</v>
      </c>
      <c r="E263" t="s">
        <v>1908</v>
      </c>
      <c r="F263" s="5">
        <v>4273.9000049862161</v>
      </c>
      <c r="G263" s="5">
        <v>11951.000896325068</v>
      </c>
      <c r="H263" s="5">
        <f ca="1">OFFSET(F263,0,Brains!$D$1,1,1)</f>
        <v>11951.000896325068</v>
      </c>
      <c r="I263" t="s">
        <v>3146</v>
      </c>
      <c r="J263" t="s">
        <v>1858</v>
      </c>
      <c r="K263" t="s">
        <v>1859</v>
      </c>
      <c r="L263" t="s">
        <v>1859</v>
      </c>
      <c r="M263" s="11" t="s">
        <v>3917</v>
      </c>
      <c r="N263" t="s">
        <v>1873</v>
      </c>
      <c r="O263" s="7" t="s">
        <v>3920</v>
      </c>
      <c r="P263" s="17" t="str">
        <f t="shared" ca="1" si="8"/>
        <v>0-14.9K</v>
      </c>
      <c r="Q263" s="17">
        <v>2.5</v>
      </c>
      <c r="R263">
        <v>5</v>
      </c>
      <c r="S263">
        <v>3</v>
      </c>
      <c r="T263">
        <v>1</v>
      </c>
      <c r="U263">
        <v>2</v>
      </c>
      <c r="V263" s="15">
        <f t="shared" ca="1" si="9"/>
        <v>1</v>
      </c>
    </row>
    <row r="264" spans="1:22">
      <c r="A264" t="s">
        <v>3809</v>
      </c>
      <c r="B264" s="1">
        <v>41056.773506944446</v>
      </c>
      <c r="C264" s="2" t="s">
        <v>3810</v>
      </c>
      <c r="D264">
        <v>300000</v>
      </c>
      <c r="E264" t="s">
        <v>1908</v>
      </c>
      <c r="F264" s="5">
        <v>5342.3750062327708</v>
      </c>
      <c r="G264" s="5">
        <v>14938.751120406334</v>
      </c>
      <c r="H264" s="5">
        <f ca="1">OFFSET(F264,0,Brains!$D$1,1,1)</f>
        <v>14938.751120406334</v>
      </c>
      <c r="I264" t="s">
        <v>3811</v>
      </c>
      <c r="J264" t="s">
        <v>1858</v>
      </c>
      <c r="K264" t="s">
        <v>1859</v>
      </c>
      <c r="L264" t="s">
        <v>1859</v>
      </c>
      <c r="M264" s="11" t="s">
        <v>3918</v>
      </c>
      <c r="N264" t="s">
        <v>1860</v>
      </c>
      <c r="O264" s="7" t="s">
        <v>3920</v>
      </c>
      <c r="P264" s="17" t="str">
        <f t="shared" ca="1" si="8"/>
        <v>0-14.9K</v>
      </c>
      <c r="Q264" s="17">
        <v>5</v>
      </c>
      <c r="R264">
        <v>0.5</v>
      </c>
      <c r="S264">
        <v>4</v>
      </c>
      <c r="T264">
        <v>1</v>
      </c>
      <c r="U264">
        <v>2</v>
      </c>
      <c r="V264" s="15">
        <f t="shared" ca="1" si="9"/>
        <v>1</v>
      </c>
    </row>
    <row r="265" spans="1:22">
      <c r="A265" t="s">
        <v>404</v>
      </c>
      <c r="B265" s="1">
        <v>41057.9453125</v>
      </c>
      <c r="C265" s="2">
        <v>500000</v>
      </c>
      <c r="D265">
        <v>500000</v>
      </c>
      <c r="E265" t="s">
        <v>1908</v>
      </c>
      <c r="F265" s="5">
        <v>8903.9583437212841</v>
      </c>
      <c r="G265" s="5">
        <v>24897.918534010558</v>
      </c>
      <c r="H265" s="5">
        <f ca="1">OFFSET(F265,0,Brains!$D$1,1,1)</f>
        <v>24897.918534010558</v>
      </c>
      <c r="I265" t="s">
        <v>2195</v>
      </c>
      <c r="J265" t="s">
        <v>1858</v>
      </c>
      <c r="K265" t="s">
        <v>1859</v>
      </c>
      <c r="L265" t="s">
        <v>1859</v>
      </c>
      <c r="M265" s="11" t="s">
        <v>3918</v>
      </c>
      <c r="N265" t="s">
        <v>1860</v>
      </c>
      <c r="O265" s="7" t="s">
        <v>3920</v>
      </c>
      <c r="P265" s="17" t="str">
        <f t="shared" ca="1" si="8"/>
        <v>15-29.9K</v>
      </c>
      <c r="Q265" s="17">
        <v>5</v>
      </c>
      <c r="R265">
        <v>0.8</v>
      </c>
      <c r="S265">
        <v>4</v>
      </c>
      <c r="T265">
        <v>1</v>
      </c>
      <c r="U265">
        <v>2</v>
      </c>
      <c r="V265" s="15">
        <f t="shared" ca="1" si="9"/>
        <v>2</v>
      </c>
    </row>
    <row r="266" spans="1:22">
      <c r="A266" t="s">
        <v>825</v>
      </c>
      <c r="B266" s="1">
        <v>41058.84746527778</v>
      </c>
      <c r="C266" s="2" t="s">
        <v>826</v>
      </c>
      <c r="D266">
        <v>100000</v>
      </c>
      <c r="E266" t="s">
        <v>1856</v>
      </c>
      <c r="F266" s="5">
        <v>100000</v>
      </c>
      <c r="G266" s="5">
        <v>100000</v>
      </c>
      <c r="H266" s="5">
        <f ca="1">OFFSET(F266,0,Brains!$D$1,1,1)</f>
        <v>100000</v>
      </c>
      <c r="I266" t="s">
        <v>2614</v>
      </c>
      <c r="J266" t="s">
        <v>1858</v>
      </c>
      <c r="K266" t="s">
        <v>1869</v>
      </c>
      <c r="L266" t="s">
        <v>1869</v>
      </c>
      <c r="M266" s="11" t="s">
        <v>3918</v>
      </c>
      <c r="N266" t="s">
        <v>1860</v>
      </c>
      <c r="O266" s="7" t="s">
        <v>3920</v>
      </c>
      <c r="P266" s="17" t="str">
        <f t="shared" ca="1" si="8"/>
        <v>100-149.9K</v>
      </c>
      <c r="Q266" s="17">
        <v>5</v>
      </c>
      <c r="R266">
        <v>1</v>
      </c>
      <c r="S266">
        <v>4</v>
      </c>
      <c r="T266">
        <v>1</v>
      </c>
      <c r="U266">
        <v>2</v>
      </c>
      <c r="V266" s="15">
        <f t="shared" ca="1" si="9"/>
        <v>6</v>
      </c>
    </row>
    <row r="267" spans="1:22">
      <c r="A267" t="s">
        <v>1307</v>
      </c>
      <c r="B267" s="1">
        <v>41062.939953703702</v>
      </c>
      <c r="C267" s="2">
        <v>55000</v>
      </c>
      <c r="D267">
        <v>55000</v>
      </c>
      <c r="E267" t="s">
        <v>1856</v>
      </c>
      <c r="F267" s="5">
        <v>55000</v>
      </c>
      <c r="G267" s="5">
        <v>55000</v>
      </c>
      <c r="H267" s="5">
        <f ca="1">OFFSET(F267,0,Brains!$D$1,1,1)</f>
        <v>55000</v>
      </c>
      <c r="I267" t="s">
        <v>2591</v>
      </c>
      <c r="J267" t="s">
        <v>1858</v>
      </c>
      <c r="K267" t="s">
        <v>1869</v>
      </c>
      <c r="L267" t="s">
        <v>1869</v>
      </c>
      <c r="M267" s="11" t="s">
        <v>3918</v>
      </c>
      <c r="N267" t="s">
        <v>1860</v>
      </c>
      <c r="O267" s="7" t="s">
        <v>3920</v>
      </c>
      <c r="P267" s="17" t="str">
        <f t="shared" ca="1" si="8"/>
        <v>50-74.9K</v>
      </c>
      <c r="Q267" s="17">
        <v>5</v>
      </c>
      <c r="R267">
        <v>1</v>
      </c>
      <c r="S267">
        <v>4</v>
      </c>
      <c r="T267">
        <v>1</v>
      </c>
      <c r="U267">
        <v>2</v>
      </c>
      <c r="V267" s="15">
        <f t="shared" ca="1" si="9"/>
        <v>4</v>
      </c>
    </row>
    <row r="268" spans="1:22">
      <c r="A268" t="s">
        <v>1808</v>
      </c>
      <c r="B268" s="1">
        <v>41079.897638888891</v>
      </c>
      <c r="C268" s="2">
        <v>48000</v>
      </c>
      <c r="D268">
        <v>48000</v>
      </c>
      <c r="E268" t="s">
        <v>1856</v>
      </c>
      <c r="F268" s="5">
        <v>48000</v>
      </c>
      <c r="G268" s="5">
        <v>48000</v>
      </c>
      <c r="H268" s="5">
        <f ca="1">OFFSET(F268,0,Brains!$D$1,1,1)</f>
        <v>48000</v>
      </c>
      <c r="I268" t="s">
        <v>1809</v>
      </c>
      <c r="J268" t="s">
        <v>1858</v>
      </c>
      <c r="K268" t="s">
        <v>1869</v>
      </c>
      <c r="L268" t="s">
        <v>1869</v>
      </c>
      <c r="M268" s="11" t="s">
        <v>3918</v>
      </c>
      <c r="N268" t="s">
        <v>1860</v>
      </c>
      <c r="O268" s="7" t="s">
        <v>3920</v>
      </c>
      <c r="P268" s="17" t="str">
        <f t="shared" ca="1" si="8"/>
        <v>30-49.9K</v>
      </c>
      <c r="Q268" s="17">
        <v>5</v>
      </c>
      <c r="R268">
        <v>1</v>
      </c>
      <c r="S268">
        <v>4</v>
      </c>
      <c r="T268">
        <v>1</v>
      </c>
      <c r="U268">
        <v>2</v>
      </c>
      <c r="V268" s="15">
        <f t="shared" ca="1" si="9"/>
        <v>3</v>
      </c>
    </row>
    <row r="269" spans="1:22">
      <c r="A269" t="s">
        <v>3747</v>
      </c>
      <c r="B269" s="1">
        <v>41056.565416666665</v>
      </c>
      <c r="C269" s="2">
        <v>43000</v>
      </c>
      <c r="D269">
        <v>43000</v>
      </c>
      <c r="E269" t="s">
        <v>1856</v>
      </c>
      <c r="F269" s="5">
        <v>43000</v>
      </c>
      <c r="G269" s="5">
        <v>43000</v>
      </c>
      <c r="H269" s="5">
        <f ca="1">OFFSET(F269,0,Brains!$D$1,1,1)</f>
        <v>43000</v>
      </c>
      <c r="I269" t="s">
        <v>1868</v>
      </c>
      <c r="J269" t="s">
        <v>1858</v>
      </c>
      <c r="K269" t="s">
        <v>1869</v>
      </c>
      <c r="L269" t="s">
        <v>1869</v>
      </c>
      <c r="M269" s="11" t="s">
        <v>3918</v>
      </c>
      <c r="N269" t="s">
        <v>1860</v>
      </c>
      <c r="O269" s="7" t="s">
        <v>3920</v>
      </c>
      <c r="P269" s="17" t="str">
        <f t="shared" ca="1" si="8"/>
        <v>30-49.9K</v>
      </c>
      <c r="Q269" s="17">
        <v>5</v>
      </c>
      <c r="R269">
        <v>1</v>
      </c>
      <c r="S269">
        <v>4</v>
      </c>
      <c r="T269">
        <v>1</v>
      </c>
      <c r="U269">
        <v>2</v>
      </c>
      <c r="V269" s="15">
        <f t="shared" ca="1" si="9"/>
        <v>3</v>
      </c>
    </row>
    <row r="270" spans="1:22">
      <c r="A270" t="s">
        <v>574</v>
      </c>
      <c r="B270" s="1">
        <v>41058.245625000003</v>
      </c>
      <c r="C270" s="2" t="s">
        <v>575</v>
      </c>
      <c r="D270">
        <v>25750</v>
      </c>
      <c r="E270" t="s">
        <v>1954</v>
      </c>
      <c r="F270" s="5">
        <v>40586.590505732565</v>
      </c>
      <c r="G270" s="5">
        <v>38204.747774480711</v>
      </c>
      <c r="H270" s="5">
        <f ca="1">OFFSET(F270,0,Brains!$D$1,1,1)</f>
        <v>38204.747774480711</v>
      </c>
      <c r="I270" t="s">
        <v>2391</v>
      </c>
      <c r="J270" t="s">
        <v>1858</v>
      </c>
      <c r="K270" t="s">
        <v>1956</v>
      </c>
      <c r="L270" t="s">
        <v>1956</v>
      </c>
      <c r="M270" s="11" t="s">
        <v>3918</v>
      </c>
      <c r="N270" t="s">
        <v>1860</v>
      </c>
      <c r="O270" s="7" t="s">
        <v>3920</v>
      </c>
      <c r="P270" s="17" t="str">
        <f t="shared" ca="1" si="8"/>
        <v>30-49.9K</v>
      </c>
      <c r="Q270" s="17">
        <v>5</v>
      </c>
      <c r="R270">
        <v>1</v>
      </c>
      <c r="S270">
        <v>4</v>
      </c>
      <c r="T270">
        <v>1</v>
      </c>
      <c r="U270">
        <v>2</v>
      </c>
      <c r="V270" s="15">
        <f t="shared" ca="1" si="9"/>
        <v>3</v>
      </c>
    </row>
    <row r="271" spans="1:22">
      <c r="A271" t="s">
        <v>220</v>
      </c>
      <c r="B271" s="1">
        <v>41057.649675925924</v>
      </c>
      <c r="C271" s="2">
        <v>20000</v>
      </c>
      <c r="D271">
        <v>20000</v>
      </c>
      <c r="E271" t="s">
        <v>1954</v>
      </c>
      <c r="F271" s="5">
        <v>31523.565441345683</v>
      </c>
      <c r="G271" s="5">
        <v>29673.590504451036</v>
      </c>
      <c r="H271" s="5">
        <f ca="1">OFFSET(F271,0,Brains!$D$1,1,1)</f>
        <v>29673.590504451036</v>
      </c>
      <c r="I271" t="s">
        <v>221</v>
      </c>
      <c r="J271" t="s">
        <v>1858</v>
      </c>
      <c r="K271" t="s">
        <v>1956</v>
      </c>
      <c r="L271" t="s">
        <v>1956</v>
      </c>
      <c r="M271" s="11" t="s">
        <v>3918</v>
      </c>
      <c r="N271" t="s">
        <v>1860</v>
      </c>
      <c r="O271" s="7" t="s">
        <v>3920</v>
      </c>
      <c r="P271" s="17" t="str">
        <f t="shared" ca="1" si="8"/>
        <v>15-29.9K</v>
      </c>
      <c r="Q271" s="17">
        <v>5</v>
      </c>
      <c r="R271">
        <v>1</v>
      </c>
      <c r="S271">
        <v>4</v>
      </c>
      <c r="T271">
        <v>1</v>
      </c>
      <c r="U271">
        <v>2</v>
      </c>
      <c r="V271" s="15">
        <f t="shared" ca="1" si="9"/>
        <v>2</v>
      </c>
    </row>
    <row r="272" spans="1:22">
      <c r="A272" t="s">
        <v>583</v>
      </c>
      <c r="B272" s="1">
        <v>41058.311585648145</v>
      </c>
      <c r="C272" s="2">
        <v>20000</v>
      </c>
      <c r="D272">
        <v>20000</v>
      </c>
      <c r="E272" t="s">
        <v>1954</v>
      </c>
      <c r="F272" s="5">
        <v>31523.565441345683</v>
      </c>
      <c r="G272" s="5">
        <v>29673.590504451036</v>
      </c>
      <c r="H272" s="5">
        <f ca="1">OFFSET(F272,0,Brains!$D$1,1,1)</f>
        <v>29673.590504451036</v>
      </c>
      <c r="I272" t="s">
        <v>584</v>
      </c>
      <c r="J272" t="s">
        <v>1858</v>
      </c>
      <c r="K272" t="s">
        <v>1956</v>
      </c>
      <c r="L272" t="s">
        <v>1956</v>
      </c>
      <c r="M272" s="11" t="s">
        <v>3918</v>
      </c>
      <c r="N272" t="s">
        <v>1860</v>
      </c>
      <c r="O272" s="7" t="s">
        <v>3920</v>
      </c>
      <c r="P272" s="17" t="str">
        <f t="shared" ca="1" si="8"/>
        <v>15-29.9K</v>
      </c>
      <c r="Q272" s="17">
        <v>5</v>
      </c>
      <c r="R272">
        <v>1</v>
      </c>
      <c r="S272">
        <v>4</v>
      </c>
      <c r="T272">
        <v>1</v>
      </c>
      <c r="U272">
        <v>2</v>
      </c>
      <c r="V272" s="15">
        <f t="shared" ca="1" si="9"/>
        <v>2</v>
      </c>
    </row>
    <row r="273" spans="1:22">
      <c r="A273" t="s">
        <v>3285</v>
      </c>
      <c r="B273" s="1">
        <v>41055.537916666668</v>
      </c>
      <c r="C273" s="2">
        <v>15000</v>
      </c>
      <c r="D273">
        <v>15000</v>
      </c>
      <c r="E273" t="s">
        <v>1856</v>
      </c>
      <c r="F273" s="5">
        <v>15000</v>
      </c>
      <c r="G273" s="5">
        <v>15000</v>
      </c>
      <c r="H273" s="5">
        <f ca="1">OFFSET(F273,0,Brains!$D$1,1,1)</f>
        <v>15000</v>
      </c>
      <c r="I273" t="s">
        <v>3286</v>
      </c>
      <c r="J273" t="s">
        <v>1858</v>
      </c>
      <c r="K273" t="s">
        <v>3192</v>
      </c>
      <c r="L273" t="s">
        <v>3192</v>
      </c>
      <c r="M273" s="11" t="s">
        <v>3918</v>
      </c>
      <c r="N273" t="s">
        <v>1860</v>
      </c>
      <c r="O273" s="7" t="s">
        <v>3920</v>
      </c>
      <c r="P273" s="17" t="str">
        <f t="shared" ca="1" si="8"/>
        <v>15-29.9K</v>
      </c>
      <c r="Q273" s="17">
        <v>5</v>
      </c>
      <c r="R273">
        <v>1</v>
      </c>
      <c r="S273">
        <v>4</v>
      </c>
      <c r="T273">
        <v>1</v>
      </c>
      <c r="U273">
        <v>2</v>
      </c>
      <c r="V273" s="15">
        <f t="shared" ca="1" si="9"/>
        <v>2</v>
      </c>
    </row>
    <row r="274" spans="1:22">
      <c r="A274" t="s">
        <v>1088</v>
      </c>
      <c r="B274" s="1">
        <v>41060.047986111109</v>
      </c>
      <c r="C274" s="2" t="s">
        <v>1089</v>
      </c>
      <c r="D274">
        <v>10000</v>
      </c>
      <c r="E274" t="s">
        <v>1856</v>
      </c>
      <c r="F274" s="5">
        <v>10000</v>
      </c>
      <c r="G274" s="5">
        <v>10000</v>
      </c>
      <c r="H274" s="5">
        <f ca="1">OFFSET(F274,0,Brains!$D$1,1,1)</f>
        <v>10000</v>
      </c>
      <c r="I274" t="s">
        <v>1090</v>
      </c>
      <c r="J274" t="s">
        <v>1858</v>
      </c>
      <c r="K274" t="s">
        <v>2081</v>
      </c>
      <c r="L274" t="s">
        <v>2081</v>
      </c>
      <c r="M274" s="11" t="s">
        <v>3918</v>
      </c>
      <c r="N274" t="s">
        <v>1860</v>
      </c>
      <c r="O274" s="7" t="s">
        <v>3920</v>
      </c>
      <c r="P274" s="17" t="str">
        <f t="shared" ca="1" si="8"/>
        <v>0-14.9K</v>
      </c>
      <c r="Q274" s="17">
        <v>5</v>
      </c>
      <c r="R274">
        <v>1</v>
      </c>
      <c r="S274">
        <v>4</v>
      </c>
      <c r="T274">
        <v>1</v>
      </c>
      <c r="U274">
        <v>2</v>
      </c>
      <c r="V274" s="15">
        <f t="shared" ca="1" si="9"/>
        <v>1</v>
      </c>
    </row>
    <row r="275" spans="1:22">
      <c r="A275" t="s">
        <v>3626</v>
      </c>
      <c r="B275" s="1">
        <v>41055.968726851854</v>
      </c>
      <c r="C275" s="2" t="s">
        <v>3627</v>
      </c>
      <c r="D275">
        <v>550000</v>
      </c>
      <c r="E275" t="s">
        <v>1908</v>
      </c>
      <c r="F275" s="5">
        <v>9794.354178093412</v>
      </c>
      <c r="G275" s="5">
        <v>27387.710387411611</v>
      </c>
      <c r="H275" s="5">
        <f ca="1">OFFSET(F275,0,Brains!$D$1,1,1)</f>
        <v>27387.710387411611</v>
      </c>
      <c r="I275" t="s">
        <v>2825</v>
      </c>
      <c r="J275" t="s">
        <v>1858</v>
      </c>
      <c r="K275" t="s">
        <v>1859</v>
      </c>
      <c r="L275" t="s">
        <v>1859</v>
      </c>
      <c r="M275" s="11" t="s">
        <v>3918</v>
      </c>
      <c r="N275" t="s">
        <v>1860</v>
      </c>
      <c r="O275" s="7" t="s">
        <v>3920</v>
      </c>
      <c r="P275" s="17" t="str">
        <f t="shared" ca="1" si="8"/>
        <v>15-29.9K</v>
      </c>
      <c r="Q275" s="17">
        <v>5</v>
      </c>
      <c r="R275">
        <v>1</v>
      </c>
      <c r="S275">
        <v>4</v>
      </c>
      <c r="T275">
        <v>1</v>
      </c>
      <c r="U275">
        <v>2</v>
      </c>
      <c r="V275" s="15">
        <f t="shared" ca="1" si="9"/>
        <v>2</v>
      </c>
    </row>
    <row r="276" spans="1:22">
      <c r="A276" t="s">
        <v>3674</v>
      </c>
      <c r="B276" s="1">
        <v>41056.13616898148</v>
      </c>
      <c r="C276" s="2" t="s">
        <v>3675</v>
      </c>
      <c r="D276">
        <v>550000</v>
      </c>
      <c r="E276" t="s">
        <v>1908</v>
      </c>
      <c r="F276" s="5">
        <v>9794.354178093412</v>
      </c>
      <c r="G276" s="5">
        <v>27387.710387411611</v>
      </c>
      <c r="H276" s="5">
        <f ca="1">OFFSET(F276,0,Brains!$D$1,1,1)</f>
        <v>27387.710387411611</v>
      </c>
      <c r="I276" t="s">
        <v>1858</v>
      </c>
      <c r="J276" t="s">
        <v>1858</v>
      </c>
      <c r="K276" t="s">
        <v>1859</v>
      </c>
      <c r="L276" t="s">
        <v>1859</v>
      </c>
      <c r="M276" s="11" t="s">
        <v>3918</v>
      </c>
      <c r="N276" t="s">
        <v>1860</v>
      </c>
      <c r="O276" s="7" t="s">
        <v>3920</v>
      </c>
      <c r="P276" s="17" t="str">
        <f t="shared" ca="1" si="8"/>
        <v>15-29.9K</v>
      </c>
      <c r="Q276" s="17">
        <v>5</v>
      </c>
      <c r="R276">
        <v>1</v>
      </c>
      <c r="S276">
        <v>4</v>
      </c>
      <c r="T276">
        <v>1</v>
      </c>
      <c r="U276">
        <v>2</v>
      </c>
      <c r="V276" s="15">
        <f t="shared" ca="1" si="9"/>
        <v>2</v>
      </c>
    </row>
    <row r="277" spans="1:22">
      <c r="A277" t="s">
        <v>728</v>
      </c>
      <c r="B277" s="1">
        <v>41058.672685185185</v>
      </c>
      <c r="C277" s="2">
        <v>9000</v>
      </c>
      <c r="D277">
        <v>9000</v>
      </c>
      <c r="E277" t="s">
        <v>1856</v>
      </c>
      <c r="F277" s="5">
        <v>9000</v>
      </c>
      <c r="G277" s="5">
        <v>9000</v>
      </c>
      <c r="H277" s="5">
        <f ca="1">OFFSET(F277,0,Brains!$D$1,1,1)</f>
        <v>9000</v>
      </c>
      <c r="I277" t="s">
        <v>2099</v>
      </c>
      <c r="J277" t="s">
        <v>1858</v>
      </c>
      <c r="K277" t="s">
        <v>1859</v>
      </c>
      <c r="L277" t="s">
        <v>1859</v>
      </c>
      <c r="M277" s="11" t="s">
        <v>3918</v>
      </c>
      <c r="N277" t="s">
        <v>1860</v>
      </c>
      <c r="O277" s="7" t="s">
        <v>3920</v>
      </c>
      <c r="P277" s="17" t="str">
        <f t="shared" ca="1" si="8"/>
        <v>0-14.9K</v>
      </c>
      <c r="Q277" s="17">
        <v>5</v>
      </c>
      <c r="R277">
        <v>1</v>
      </c>
      <c r="S277">
        <v>4</v>
      </c>
      <c r="T277">
        <v>1</v>
      </c>
      <c r="U277">
        <v>2</v>
      </c>
      <c r="V277" s="15">
        <f t="shared" ca="1" si="9"/>
        <v>1</v>
      </c>
    </row>
    <row r="278" spans="1:22">
      <c r="A278" t="s">
        <v>1601</v>
      </c>
      <c r="B278" s="1">
        <v>41071.709699074076</v>
      </c>
      <c r="C278" s="2" t="s">
        <v>3269</v>
      </c>
      <c r="D278">
        <v>480000</v>
      </c>
      <c r="E278" t="s">
        <v>1908</v>
      </c>
      <c r="F278" s="5">
        <v>8547.8000099724322</v>
      </c>
      <c r="G278" s="5">
        <v>23902.001792650135</v>
      </c>
      <c r="H278" s="5">
        <f ca="1">OFFSET(F278,0,Brains!$D$1,1,1)</f>
        <v>23902.001792650135</v>
      </c>
      <c r="I278" t="s">
        <v>1602</v>
      </c>
      <c r="J278" t="s">
        <v>1858</v>
      </c>
      <c r="K278" t="s">
        <v>1859</v>
      </c>
      <c r="L278" t="s">
        <v>1859</v>
      </c>
      <c r="M278" s="11" t="s">
        <v>3918</v>
      </c>
      <c r="N278" t="s">
        <v>1860</v>
      </c>
      <c r="O278" s="7" t="s">
        <v>3920</v>
      </c>
      <c r="P278" s="17" t="str">
        <f t="shared" ca="1" si="8"/>
        <v>15-29.9K</v>
      </c>
      <c r="Q278" s="17">
        <v>5</v>
      </c>
      <c r="R278">
        <v>1</v>
      </c>
      <c r="S278">
        <v>4</v>
      </c>
      <c r="T278">
        <v>1</v>
      </c>
      <c r="U278">
        <v>2</v>
      </c>
      <c r="V278" s="15">
        <f t="shared" ca="1" si="9"/>
        <v>2</v>
      </c>
    </row>
    <row r="279" spans="1:22">
      <c r="A279" t="s">
        <v>3399</v>
      </c>
      <c r="B279" s="1">
        <v>41055.628159722219</v>
      </c>
      <c r="C279" s="2" t="s">
        <v>3400</v>
      </c>
      <c r="D279">
        <v>390000</v>
      </c>
      <c r="E279" t="s">
        <v>1908</v>
      </c>
      <c r="F279" s="5">
        <v>6945.0875081026015</v>
      </c>
      <c r="G279" s="5">
        <v>19420.376456528233</v>
      </c>
      <c r="H279" s="5">
        <f ca="1">OFFSET(F279,0,Brains!$D$1,1,1)</f>
        <v>19420.376456528233</v>
      </c>
      <c r="I279" t="s">
        <v>2195</v>
      </c>
      <c r="J279" t="s">
        <v>1858</v>
      </c>
      <c r="K279" t="s">
        <v>1859</v>
      </c>
      <c r="L279" t="s">
        <v>1859</v>
      </c>
      <c r="M279" s="11" t="s">
        <v>3918</v>
      </c>
      <c r="N279" t="s">
        <v>1860</v>
      </c>
      <c r="O279" s="7" t="s">
        <v>3920</v>
      </c>
      <c r="P279" s="17" t="str">
        <f t="shared" ca="1" si="8"/>
        <v>15-29.9K</v>
      </c>
      <c r="Q279" s="17">
        <v>5</v>
      </c>
      <c r="R279">
        <v>1</v>
      </c>
      <c r="S279">
        <v>4</v>
      </c>
      <c r="T279">
        <v>1</v>
      </c>
      <c r="U279">
        <v>2</v>
      </c>
      <c r="V279" s="15">
        <f t="shared" ca="1" si="9"/>
        <v>2</v>
      </c>
    </row>
    <row r="280" spans="1:22">
      <c r="A280" t="s">
        <v>1608</v>
      </c>
      <c r="B280" s="1">
        <v>41071.895474537036</v>
      </c>
      <c r="C280" s="2">
        <v>300</v>
      </c>
      <c r="D280">
        <v>3600</v>
      </c>
      <c r="E280" t="s">
        <v>1856</v>
      </c>
      <c r="F280" s="5">
        <v>3600</v>
      </c>
      <c r="G280" s="5">
        <v>3600</v>
      </c>
      <c r="H280" s="5">
        <f ca="1">OFFSET(F280,0,Brains!$D$1,1,1)</f>
        <v>3600</v>
      </c>
      <c r="I280" t="s">
        <v>1858</v>
      </c>
      <c r="J280" t="s">
        <v>1858</v>
      </c>
      <c r="K280" t="s">
        <v>1859</v>
      </c>
      <c r="L280" t="s">
        <v>1859</v>
      </c>
      <c r="M280" s="11" t="s">
        <v>3918</v>
      </c>
      <c r="N280" t="s">
        <v>1860</v>
      </c>
      <c r="O280" s="7" t="s">
        <v>3920</v>
      </c>
      <c r="P280" s="17" t="str">
        <f t="shared" ca="1" si="8"/>
        <v>0-14.9K</v>
      </c>
      <c r="Q280" s="17">
        <v>5</v>
      </c>
      <c r="R280">
        <v>1</v>
      </c>
      <c r="S280">
        <v>4</v>
      </c>
      <c r="T280">
        <v>1</v>
      </c>
      <c r="U280">
        <v>2</v>
      </c>
      <c r="V280" s="15">
        <f t="shared" ca="1" si="9"/>
        <v>1</v>
      </c>
    </row>
    <row r="281" spans="1:22">
      <c r="A281" t="s">
        <v>3721</v>
      </c>
      <c r="B281" s="1">
        <v>41056.50267361111</v>
      </c>
      <c r="C281" s="2">
        <v>144000</v>
      </c>
      <c r="D281">
        <v>144000</v>
      </c>
      <c r="E281" t="s">
        <v>1908</v>
      </c>
      <c r="F281" s="5">
        <v>2564.3400029917298</v>
      </c>
      <c r="G281" s="5">
        <v>7170.6005377950405</v>
      </c>
      <c r="H281" s="5">
        <f ca="1">OFFSET(F281,0,Brains!$D$1,1,1)</f>
        <v>7170.6005377950405</v>
      </c>
      <c r="I281" t="s">
        <v>3722</v>
      </c>
      <c r="J281" t="s">
        <v>1858</v>
      </c>
      <c r="K281" t="s">
        <v>1859</v>
      </c>
      <c r="L281" t="s">
        <v>1859</v>
      </c>
      <c r="M281" s="11" t="s">
        <v>3918</v>
      </c>
      <c r="N281" t="s">
        <v>1860</v>
      </c>
      <c r="O281" s="7" t="s">
        <v>3920</v>
      </c>
      <c r="P281" s="17" t="str">
        <f t="shared" ca="1" si="8"/>
        <v>0-14.9K</v>
      </c>
      <c r="Q281" s="17">
        <v>5</v>
      </c>
      <c r="R281">
        <v>1</v>
      </c>
      <c r="S281">
        <v>4</v>
      </c>
      <c r="T281">
        <v>1</v>
      </c>
      <c r="U281">
        <v>2</v>
      </c>
      <c r="V281" s="15">
        <f t="shared" ca="1" si="9"/>
        <v>1</v>
      </c>
    </row>
    <row r="282" spans="1:22">
      <c r="A282" t="s">
        <v>476</v>
      </c>
      <c r="B282" s="1">
        <v>41058.000243055554</v>
      </c>
      <c r="C282" s="2">
        <v>61000</v>
      </c>
      <c r="D282">
        <v>61000</v>
      </c>
      <c r="E282" t="s">
        <v>1856</v>
      </c>
      <c r="F282" s="5">
        <v>61000</v>
      </c>
      <c r="G282" s="5">
        <v>61000</v>
      </c>
      <c r="H282" s="5">
        <f ca="1">OFFSET(F282,0,Brains!$D$1,1,1)</f>
        <v>61000</v>
      </c>
      <c r="I282" t="s">
        <v>1868</v>
      </c>
      <c r="J282" t="s">
        <v>1858</v>
      </c>
      <c r="K282" t="s">
        <v>1869</v>
      </c>
      <c r="L282" t="s">
        <v>1869</v>
      </c>
      <c r="M282" s="11" t="s">
        <v>3918</v>
      </c>
      <c r="N282" t="s">
        <v>1860</v>
      </c>
      <c r="O282" s="7" t="s">
        <v>3920</v>
      </c>
      <c r="P282" s="17" t="str">
        <f t="shared" ca="1" si="8"/>
        <v>50-74.9K</v>
      </c>
      <c r="Q282" s="17">
        <v>5</v>
      </c>
      <c r="R282">
        <v>1.5</v>
      </c>
      <c r="S282">
        <v>4</v>
      </c>
      <c r="T282">
        <v>1</v>
      </c>
      <c r="U282">
        <v>2</v>
      </c>
      <c r="V282" s="15">
        <f t="shared" ca="1" si="9"/>
        <v>4</v>
      </c>
    </row>
    <row r="283" spans="1:22">
      <c r="A283" t="s">
        <v>1448</v>
      </c>
      <c r="B283" s="1">
        <v>41066.060370370367</v>
      </c>
      <c r="C283" s="2" t="s">
        <v>1449</v>
      </c>
      <c r="D283">
        <v>38920</v>
      </c>
      <c r="E283" t="s">
        <v>1880</v>
      </c>
      <c r="F283" s="5">
        <v>49443.946165553374</v>
      </c>
      <c r="G283" s="5">
        <v>48891.278459196139</v>
      </c>
      <c r="H283" s="5">
        <f ca="1">OFFSET(F283,0,Brains!$D$1,1,1)</f>
        <v>48891.278459196139</v>
      </c>
      <c r="I283" t="s">
        <v>1450</v>
      </c>
      <c r="J283" t="s">
        <v>1858</v>
      </c>
      <c r="K283" t="s">
        <v>1940</v>
      </c>
      <c r="L283" t="s">
        <v>1940</v>
      </c>
      <c r="M283" s="11" t="s">
        <v>3918</v>
      </c>
      <c r="N283" t="s">
        <v>1860</v>
      </c>
      <c r="O283" s="7" t="s">
        <v>3920</v>
      </c>
      <c r="P283" s="17" t="str">
        <f t="shared" ca="1" si="8"/>
        <v>30-49.9K</v>
      </c>
      <c r="Q283" s="17">
        <v>5</v>
      </c>
      <c r="R283">
        <v>1.5</v>
      </c>
      <c r="S283">
        <v>4</v>
      </c>
      <c r="T283">
        <v>1</v>
      </c>
      <c r="U283">
        <v>2</v>
      </c>
      <c r="V283" s="15">
        <f t="shared" ca="1" si="9"/>
        <v>3</v>
      </c>
    </row>
    <row r="284" spans="1:22">
      <c r="A284" t="s">
        <v>1</v>
      </c>
      <c r="B284" s="1">
        <v>41057.286168981482</v>
      </c>
      <c r="C284" s="2">
        <v>45616</v>
      </c>
      <c r="D284">
        <v>45616</v>
      </c>
      <c r="E284" t="s">
        <v>1856</v>
      </c>
      <c r="F284" s="5">
        <v>45616</v>
      </c>
      <c r="G284" s="5">
        <v>45616</v>
      </c>
      <c r="H284" s="5">
        <f ca="1">OFFSET(F284,0,Brains!$D$1,1,1)</f>
        <v>45616</v>
      </c>
      <c r="I284" t="s">
        <v>2</v>
      </c>
      <c r="J284" t="s">
        <v>1858</v>
      </c>
      <c r="K284" t="s">
        <v>1975</v>
      </c>
      <c r="L284" t="s">
        <v>1975</v>
      </c>
      <c r="M284" s="11" t="s">
        <v>3918</v>
      </c>
      <c r="N284" t="s">
        <v>1860</v>
      </c>
      <c r="O284" s="7" t="s">
        <v>3920</v>
      </c>
      <c r="P284" s="17" t="str">
        <f t="shared" ca="1" si="8"/>
        <v>30-49.9K</v>
      </c>
      <c r="Q284" s="17">
        <v>5</v>
      </c>
      <c r="R284">
        <v>1.5</v>
      </c>
      <c r="S284">
        <v>4</v>
      </c>
      <c r="T284">
        <v>1</v>
      </c>
      <c r="U284">
        <v>2</v>
      </c>
      <c r="V284" s="15">
        <f t="shared" ca="1" si="9"/>
        <v>3</v>
      </c>
    </row>
    <row r="285" spans="1:22">
      <c r="A285" t="s">
        <v>669</v>
      </c>
      <c r="B285" s="1">
        <v>41058.569548611114</v>
      </c>
      <c r="C285" s="2" t="s">
        <v>670</v>
      </c>
      <c r="D285">
        <v>350000</v>
      </c>
      <c r="E285" t="s">
        <v>1908</v>
      </c>
      <c r="F285" s="5">
        <v>6232.7708406048987</v>
      </c>
      <c r="G285" s="5">
        <v>17428.542973807391</v>
      </c>
      <c r="H285" s="5">
        <f ca="1">OFFSET(F285,0,Brains!$D$1,1,1)</f>
        <v>17428.542973807391</v>
      </c>
      <c r="I285" t="s">
        <v>671</v>
      </c>
      <c r="J285" t="s">
        <v>1858</v>
      </c>
      <c r="K285" t="s">
        <v>1859</v>
      </c>
      <c r="L285" t="s">
        <v>1859</v>
      </c>
      <c r="M285" s="11" t="s">
        <v>3918</v>
      </c>
      <c r="N285" t="s">
        <v>1860</v>
      </c>
      <c r="O285" s="7" t="s">
        <v>3920</v>
      </c>
      <c r="P285" s="17" t="str">
        <f t="shared" ca="1" si="8"/>
        <v>15-29.9K</v>
      </c>
      <c r="Q285" s="17">
        <v>5</v>
      </c>
      <c r="R285">
        <v>1.5</v>
      </c>
      <c r="S285">
        <v>4</v>
      </c>
      <c r="T285">
        <v>1</v>
      </c>
      <c r="U285">
        <v>2</v>
      </c>
      <c r="V285" s="15">
        <f t="shared" ca="1" si="9"/>
        <v>2</v>
      </c>
    </row>
    <row r="286" spans="1:22">
      <c r="A286" t="s">
        <v>1013</v>
      </c>
      <c r="B286" s="1">
        <v>41059.709143518521</v>
      </c>
      <c r="C286" s="2">
        <v>230000</v>
      </c>
      <c r="D286">
        <v>230000</v>
      </c>
      <c r="E286" t="s">
        <v>1908</v>
      </c>
      <c r="F286" s="5">
        <v>4095.8208381117906</v>
      </c>
      <c r="G286" s="5">
        <v>11453.042525644856</v>
      </c>
      <c r="H286" s="5">
        <f ca="1">OFFSET(F286,0,Brains!$D$1,1,1)</f>
        <v>11453.042525644856</v>
      </c>
      <c r="I286" t="s">
        <v>1014</v>
      </c>
      <c r="J286" t="s">
        <v>1858</v>
      </c>
      <c r="K286" t="s">
        <v>1859</v>
      </c>
      <c r="L286" t="s">
        <v>1859</v>
      </c>
      <c r="M286" s="11" t="s">
        <v>3918</v>
      </c>
      <c r="N286" t="s">
        <v>1860</v>
      </c>
      <c r="O286" s="7" t="s">
        <v>3920</v>
      </c>
      <c r="P286" s="17" t="str">
        <f t="shared" ca="1" si="8"/>
        <v>0-14.9K</v>
      </c>
      <c r="Q286" s="17">
        <v>5</v>
      </c>
      <c r="R286">
        <v>1.6</v>
      </c>
      <c r="S286">
        <v>4</v>
      </c>
      <c r="T286">
        <v>1</v>
      </c>
      <c r="U286">
        <v>2</v>
      </c>
      <c r="V286" s="15">
        <f t="shared" ca="1" si="9"/>
        <v>1</v>
      </c>
    </row>
    <row r="287" spans="1:22">
      <c r="A287" t="s">
        <v>27</v>
      </c>
      <c r="B287" s="1">
        <v>41057.361956018518</v>
      </c>
      <c r="C287" s="2">
        <v>120000</v>
      </c>
      <c r="D287">
        <v>120000</v>
      </c>
      <c r="E287" t="s">
        <v>1973</v>
      </c>
      <c r="F287" s="5">
        <v>122389.15876831629</v>
      </c>
      <c r="G287" s="5">
        <v>76335.877862595429</v>
      </c>
      <c r="H287" s="5">
        <f ca="1">OFFSET(F287,0,Brains!$D$1,1,1)</f>
        <v>76335.877862595429</v>
      </c>
      <c r="I287" t="s">
        <v>2290</v>
      </c>
      <c r="J287" t="s">
        <v>1858</v>
      </c>
      <c r="K287" t="s">
        <v>1975</v>
      </c>
      <c r="L287" t="s">
        <v>1975</v>
      </c>
      <c r="M287" s="11" t="s">
        <v>3918</v>
      </c>
      <c r="N287" t="s">
        <v>1860</v>
      </c>
      <c r="O287" s="7" t="s">
        <v>3920</v>
      </c>
      <c r="P287" s="17" t="str">
        <f t="shared" ca="1" si="8"/>
        <v>75-99.9K</v>
      </c>
      <c r="Q287" s="17">
        <v>5</v>
      </c>
      <c r="R287">
        <v>2</v>
      </c>
      <c r="S287">
        <v>4</v>
      </c>
      <c r="T287">
        <v>1</v>
      </c>
      <c r="U287">
        <v>2</v>
      </c>
      <c r="V287" s="15">
        <f t="shared" ca="1" si="9"/>
        <v>5</v>
      </c>
    </row>
    <row r="288" spans="1:22">
      <c r="A288" t="s">
        <v>1071</v>
      </c>
      <c r="B288" s="1">
        <v>41059.939131944448</v>
      </c>
      <c r="C288" s="2">
        <v>66000</v>
      </c>
      <c r="D288">
        <v>66000</v>
      </c>
      <c r="E288" t="s">
        <v>1856</v>
      </c>
      <c r="F288" s="5">
        <v>66000</v>
      </c>
      <c r="G288" s="5">
        <v>66000</v>
      </c>
      <c r="H288" s="5">
        <f ca="1">OFFSET(F288,0,Brains!$D$1,1,1)</f>
        <v>66000</v>
      </c>
      <c r="I288" t="s">
        <v>1072</v>
      </c>
      <c r="J288" t="s">
        <v>1858</v>
      </c>
      <c r="K288" t="s">
        <v>1869</v>
      </c>
      <c r="L288" t="s">
        <v>1869</v>
      </c>
      <c r="M288" s="11" t="s">
        <v>3918</v>
      </c>
      <c r="N288" t="s">
        <v>1860</v>
      </c>
      <c r="O288" s="7" t="s">
        <v>3920</v>
      </c>
      <c r="P288" s="17" t="str">
        <f t="shared" ca="1" si="8"/>
        <v>50-74.9K</v>
      </c>
      <c r="Q288" s="17">
        <v>5</v>
      </c>
      <c r="R288">
        <v>2</v>
      </c>
      <c r="S288">
        <v>4</v>
      </c>
      <c r="T288">
        <v>1</v>
      </c>
      <c r="U288">
        <v>2</v>
      </c>
      <c r="V288" s="15">
        <f t="shared" ca="1" si="9"/>
        <v>4</v>
      </c>
    </row>
    <row r="289" spans="1:22">
      <c r="A289" t="s">
        <v>439</v>
      </c>
      <c r="B289" s="1">
        <v>41057.961840277778</v>
      </c>
      <c r="C289" s="2" t="s">
        <v>440</v>
      </c>
      <c r="D289">
        <v>216000</v>
      </c>
      <c r="E289" t="s">
        <v>2490</v>
      </c>
      <c r="F289" s="5">
        <v>58799.349940520107</v>
      </c>
      <c r="G289" s="5">
        <v>40816.326530612248</v>
      </c>
      <c r="H289" s="5">
        <f ca="1">OFFSET(F289,0,Brains!$D$1,1,1)</f>
        <v>40816.326530612248</v>
      </c>
      <c r="I289" t="s">
        <v>2693</v>
      </c>
      <c r="J289" t="s">
        <v>1858</v>
      </c>
      <c r="K289" t="s">
        <v>2491</v>
      </c>
      <c r="L289" t="s">
        <v>2491</v>
      </c>
      <c r="M289" s="11" t="s">
        <v>3918</v>
      </c>
      <c r="N289" t="s">
        <v>1860</v>
      </c>
      <c r="O289" s="7" t="s">
        <v>3920</v>
      </c>
      <c r="P289" s="17" t="str">
        <f t="shared" ca="1" si="8"/>
        <v>30-49.9K</v>
      </c>
      <c r="Q289" s="17">
        <v>5</v>
      </c>
      <c r="R289">
        <v>2</v>
      </c>
      <c r="S289">
        <v>4</v>
      </c>
      <c r="T289">
        <v>1</v>
      </c>
      <c r="U289">
        <v>2</v>
      </c>
      <c r="V289" s="15">
        <f t="shared" ca="1" si="9"/>
        <v>3</v>
      </c>
    </row>
    <row r="290" spans="1:22">
      <c r="A290" t="s">
        <v>923</v>
      </c>
      <c r="B290" s="1">
        <v>41059.059328703705</v>
      </c>
      <c r="C290" s="2">
        <v>57678.400000000001</v>
      </c>
      <c r="D290">
        <v>57678</v>
      </c>
      <c r="E290" t="s">
        <v>1856</v>
      </c>
      <c r="F290" s="5">
        <v>57678</v>
      </c>
      <c r="G290" s="5">
        <v>57678</v>
      </c>
      <c r="H290" s="5">
        <f ca="1">OFFSET(F290,0,Brains!$D$1,1,1)</f>
        <v>57678</v>
      </c>
      <c r="I290" t="s">
        <v>1868</v>
      </c>
      <c r="J290" t="s">
        <v>1858</v>
      </c>
      <c r="K290" t="s">
        <v>1869</v>
      </c>
      <c r="L290" t="s">
        <v>1869</v>
      </c>
      <c r="M290" s="11" t="s">
        <v>3918</v>
      </c>
      <c r="N290" t="s">
        <v>1860</v>
      </c>
      <c r="O290" s="7" t="s">
        <v>3920</v>
      </c>
      <c r="P290" s="17" t="str">
        <f t="shared" ca="1" si="8"/>
        <v>50-74.9K</v>
      </c>
      <c r="Q290" s="17">
        <v>5</v>
      </c>
      <c r="R290">
        <v>2</v>
      </c>
      <c r="S290">
        <v>4</v>
      </c>
      <c r="T290">
        <v>1</v>
      </c>
      <c r="U290">
        <v>2</v>
      </c>
      <c r="V290" s="15">
        <f t="shared" ca="1" si="9"/>
        <v>4</v>
      </c>
    </row>
    <row r="291" spans="1:22">
      <c r="A291" t="s">
        <v>1274</v>
      </c>
      <c r="B291" s="1">
        <v>41062.100451388891</v>
      </c>
      <c r="C291" s="2">
        <v>55000</v>
      </c>
      <c r="D291">
        <v>55000</v>
      </c>
      <c r="E291" t="s">
        <v>1856</v>
      </c>
      <c r="F291" s="5">
        <v>55000</v>
      </c>
      <c r="G291" s="5">
        <v>55000</v>
      </c>
      <c r="H291" s="5">
        <f ca="1">OFFSET(F291,0,Brains!$D$1,1,1)</f>
        <v>55000</v>
      </c>
      <c r="I291" t="s">
        <v>2195</v>
      </c>
      <c r="J291" t="s">
        <v>1858</v>
      </c>
      <c r="K291" t="s">
        <v>1869</v>
      </c>
      <c r="L291" t="s">
        <v>1869</v>
      </c>
      <c r="M291" s="11" t="s">
        <v>3918</v>
      </c>
      <c r="N291" t="s">
        <v>1860</v>
      </c>
      <c r="O291" s="7" t="s">
        <v>3920</v>
      </c>
      <c r="P291" s="17" t="str">
        <f t="shared" ca="1" si="8"/>
        <v>50-74.9K</v>
      </c>
      <c r="Q291" s="17">
        <v>5</v>
      </c>
      <c r="R291">
        <v>2</v>
      </c>
      <c r="S291">
        <v>4</v>
      </c>
      <c r="T291">
        <v>1</v>
      </c>
      <c r="U291">
        <v>2</v>
      </c>
      <c r="V291" s="15">
        <f t="shared" ca="1" si="9"/>
        <v>4</v>
      </c>
    </row>
    <row r="292" spans="1:22">
      <c r="A292" t="s">
        <v>3072</v>
      </c>
      <c r="B292" s="1">
        <v>41055.278460648151</v>
      </c>
      <c r="C292" s="2">
        <v>45000</v>
      </c>
      <c r="D292">
        <v>45000</v>
      </c>
      <c r="E292" t="s">
        <v>1856</v>
      </c>
      <c r="F292" s="5">
        <v>45000</v>
      </c>
      <c r="G292" s="5">
        <v>45000</v>
      </c>
      <c r="H292" s="5">
        <f ca="1">OFFSET(F292,0,Brains!$D$1,1,1)</f>
        <v>45000</v>
      </c>
      <c r="I292" t="s">
        <v>3073</v>
      </c>
      <c r="J292" t="s">
        <v>1858</v>
      </c>
      <c r="K292" t="s">
        <v>1869</v>
      </c>
      <c r="L292" t="s">
        <v>1869</v>
      </c>
      <c r="M292" s="11" t="s">
        <v>3918</v>
      </c>
      <c r="N292" t="s">
        <v>1860</v>
      </c>
      <c r="O292" s="7" t="s">
        <v>3920</v>
      </c>
      <c r="P292" s="17" t="str">
        <f t="shared" ca="1" si="8"/>
        <v>30-49.9K</v>
      </c>
      <c r="Q292" s="17">
        <v>5</v>
      </c>
      <c r="R292">
        <v>2</v>
      </c>
      <c r="S292">
        <v>4</v>
      </c>
      <c r="T292">
        <v>1</v>
      </c>
      <c r="U292">
        <v>2</v>
      </c>
      <c r="V292" s="15">
        <f t="shared" ca="1" si="9"/>
        <v>3</v>
      </c>
    </row>
    <row r="293" spans="1:22">
      <c r="A293" t="s">
        <v>1491</v>
      </c>
      <c r="B293" s="1">
        <v>41067.265474537038</v>
      </c>
      <c r="C293" s="2" t="s">
        <v>1492</v>
      </c>
      <c r="D293">
        <v>27000</v>
      </c>
      <c r="E293" t="s">
        <v>1954</v>
      </c>
      <c r="F293" s="5">
        <v>42556.81334581667</v>
      </c>
      <c r="G293" s="5">
        <v>40059.347181008903</v>
      </c>
      <c r="H293" s="5">
        <f ca="1">OFFSET(F293,0,Brains!$D$1,1,1)</f>
        <v>40059.347181008903</v>
      </c>
      <c r="I293" t="s">
        <v>1493</v>
      </c>
      <c r="J293" t="s">
        <v>1858</v>
      </c>
      <c r="K293" t="s">
        <v>1956</v>
      </c>
      <c r="L293" t="s">
        <v>1956</v>
      </c>
      <c r="M293" s="11" t="s">
        <v>3918</v>
      </c>
      <c r="N293" t="s">
        <v>1860</v>
      </c>
      <c r="O293" s="7" t="s">
        <v>3920</v>
      </c>
      <c r="P293" s="17" t="str">
        <f t="shared" ca="1" si="8"/>
        <v>30-49.9K</v>
      </c>
      <c r="Q293" s="17">
        <v>5</v>
      </c>
      <c r="R293">
        <v>2</v>
      </c>
      <c r="S293">
        <v>4</v>
      </c>
      <c r="T293">
        <v>1</v>
      </c>
      <c r="U293">
        <v>2</v>
      </c>
      <c r="V293" s="15">
        <f t="shared" ca="1" si="9"/>
        <v>3</v>
      </c>
    </row>
    <row r="294" spans="1:22">
      <c r="A294" t="s">
        <v>1284</v>
      </c>
      <c r="B294" s="1">
        <v>41062.271770833337</v>
      </c>
      <c r="C294" s="2" t="s">
        <v>1285</v>
      </c>
      <c r="D294">
        <v>42000</v>
      </c>
      <c r="E294" t="s">
        <v>1856</v>
      </c>
      <c r="F294" s="5">
        <v>42000</v>
      </c>
      <c r="G294" s="5">
        <v>42000</v>
      </c>
      <c r="H294" s="5">
        <f ca="1">OFFSET(F294,0,Brains!$D$1,1,1)</f>
        <v>42000</v>
      </c>
      <c r="I294" t="s">
        <v>1286</v>
      </c>
      <c r="J294" t="s">
        <v>1858</v>
      </c>
      <c r="K294" t="s">
        <v>1869</v>
      </c>
      <c r="L294" t="s">
        <v>1869</v>
      </c>
      <c r="M294" s="11" t="s">
        <v>3918</v>
      </c>
      <c r="N294" t="s">
        <v>1860</v>
      </c>
      <c r="O294" s="7" t="s">
        <v>3920</v>
      </c>
      <c r="P294" s="17" t="str">
        <f t="shared" ca="1" si="8"/>
        <v>30-49.9K</v>
      </c>
      <c r="Q294" s="17">
        <v>5</v>
      </c>
      <c r="R294">
        <v>2</v>
      </c>
      <c r="S294">
        <v>4</v>
      </c>
      <c r="T294">
        <v>1</v>
      </c>
      <c r="U294">
        <v>2</v>
      </c>
      <c r="V294" s="15">
        <f t="shared" ca="1" si="9"/>
        <v>3</v>
      </c>
    </row>
    <row r="295" spans="1:22">
      <c r="A295" t="s">
        <v>532</v>
      </c>
      <c r="B295" s="1">
        <v>41058.092037037037</v>
      </c>
      <c r="C295" s="2" t="s">
        <v>533</v>
      </c>
      <c r="D295">
        <v>26000</v>
      </c>
      <c r="E295" t="s">
        <v>1954</v>
      </c>
      <c r="F295" s="5">
        <v>40980.635073749385</v>
      </c>
      <c r="G295" s="5">
        <v>38575.667655786347</v>
      </c>
      <c r="H295" s="5">
        <f ca="1">OFFSET(F295,0,Brains!$D$1,1,1)</f>
        <v>38575.667655786347</v>
      </c>
      <c r="I295" t="s">
        <v>2195</v>
      </c>
      <c r="J295" t="s">
        <v>1858</v>
      </c>
      <c r="K295" t="s">
        <v>1956</v>
      </c>
      <c r="L295" t="s">
        <v>1956</v>
      </c>
      <c r="M295" s="11" t="s">
        <v>3918</v>
      </c>
      <c r="N295" t="s">
        <v>1860</v>
      </c>
      <c r="O295" s="7" t="s">
        <v>3920</v>
      </c>
      <c r="P295" s="17" t="str">
        <f t="shared" ca="1" si="8"/>
        <v>30-49.9K</v>
      </c>
      <c r="Q295" s="17">
        <v>5</v>
      </c>
      <c r="R295">
        <v>2</v>
      </c>
      <c r="S295">
        <v>4</v>
      </c>
      <c r="T295">
        <v>1</v>
      </c>
      <c r="U295">
        <v>2</v>
      </c>
      <c r="V295" s="15">
        <f t="shared" ca="1" si="9"/>
        <v>3</v>
      </c>
    </row>
    <row r="296" spans="1:22">
      <c r="A296" t="s">
        <v>754</v>
      </c>
      <c r="B296" s="1">
        <v>41058.720289351855</v>
      </c>
      <c r="C296" s="2" t="s">
        <v>533</v>
      </c>
      <c r="D296">
        <v>26000</v>
      </c>
      <c r="E296" t="s">
        <v>1954</v>
      </c>
      <c r="F296" s="5">
        <v>40980.635073749385</v>
      </c>
      <c r="G296" s="5">
        <v>38575.667655786347</v>
      </c>
      <c r="H296" s="5">
        <f ca="1">OFFSET(F296,0,Brains!$D$1,1,1)</f>
        <v>38575.667655786347</v>
      </c>
      <c r="I296" t="s">
        <v>755</v>
      </c>
      <c r="J296" t="s">
        <v>1858</v>
      </c>
      <c r="K296" t="s">
        <v>1956</v>
      </c>
      <c r="L296" t="s">
        <v>1956</v>
      </c>
      <c r="M296" s="11" t="s">
        <v>3918</v>
      </c>
      <c r="N296" t="s">
        <v>1860</v>
      </c>
      <c r="O296" s="7" t="s">
        <v>3920</v>
      </c>
      <c r="P296" s="17" t="str">
        <f t="shared" ca="1" si="8"/>
        <v>30-49.9K</v>
      </c>
      <c r="Q296" s="17">
        <v>5</v>
      </c>
      <c r="R296">
        <v>2</v>
      </c>
      <c r="S296">
        <v>4</v>
      </c>
      <c r="T296">
        <v>1</v>
      </c>
      <c r="U296">
        <v>2</v>
      </c>
      <c r="V296" s="15">
        <f t="shared" ca="1" si="9"/>
        <v>3</v>
      </c>
    </row>
    <row r="297" spans="1:22">
      <c r="A297" t="s">
        <v>3692</v>
      </c>
      <c r="B297" s="1">
        <v>41056.188287037039</v>
      </c>
      <c r="C297" s="2" t="s">
        <v>3693</v>
      </c>
      <c r="D297">
        <v>134000</v>
      </c>
      <c r="E297" t="s">
        <v>2912</v>
      </c>
      <c r="F297" s="5">
        <v>16337.518501630093</v>
      </c>
      <c r="G297" s="5">
        <v>23624.823695345556</v>
      </c>
      <c r="H297" s="5">
        <f ca="1">OFFSET(F297,0,Brains!$D$1,1,1)</f>
        <v>23624.823695345556</v>
      </c>
      <c r="I297" t="s">
        <v>2099</v>
      </c>
      <c r="J297" t="s">
        <v>1858</v>
      </c>
      <c r="K297" t="s">
        <v>1922</v>
      </c>
      <c r="L297" t="s">
        <v>1922</v>
      </c>
      <c r="M297" s="11" t="s">
        <v>3918</v>
      </c>
      <c r="N297" t="s">
        <v>1860</v>
      </c>
      <c r="O297" s="7" t="s">
        <v>3920</v>
      </c>
      <c r="P297" s="17" t="str">
        <f t="shared" ca="1" si="8"/>
        <v>15-29.9K</v>
      </c>
      <c r="Q297" s="17">
        <v>5</v>
      </c>
      <c r="R297">
        <v>2</v>
      </c>
      <c r="S297">
        <v>4</v>
      </c>
      <c r="T297">
        <v>1</v>
      </c>
      <c r="U297">
        <v>2</v>
      </c>
      <c r="V297" s="15">
        <f t="shared" ca="1" si="9"/>
        <v>2</v>
      </c>
    </row>
    <row r="298" spans="1:22">
      <c r="A298" t="s">
        <v>3568</v>
      </c>
      <c r="B298" s="1">
        <v>41055.893761574072</v>
      </c>
      <c r="C298" s="2">
        <v>850000</v>
      </c>
      <c r="D298">
        <v>850000</v>
      </c>
      <c r="E298" t="s">
        <v>1908</v>
      </c>
      <c r="F298" s="5">
        <v>15136.729184326183</v>
      </c>
      <c r="G298" s="5">
        <v>42326.461507817949</v>
      </c>
      <c r="H298" s="5">
        <f ca="1">OFFSET(F298,0,Brains!$D$1,1,1)</f>
        <v>42326.461507817949</v>
      </c>
      <c r="I298" t="s">
        <v>3569</v>
      </c>
      <c r="J298" t="s">
        <v>1858</v>
      </c>
      <c r="K298" t="s">
        <v>1859</v>
      </c>
      <c r="L298" t="s">
        <v>1859</v>
      </c>
      <c r="M298" s="11" t="s">
        <v>3918</v>
      </c>
      <c r="N298" t="s">
        <v>1860</v>
      </c>
      <c r="O298" s="7" t="s">
        <v>3920</v>
      </c>
      <c r="P298" s="17" t="str">
        <f t="shared" ca="1" si="8"/>
        <v>30-49.9K</v>
      </c>
      <c r="Q298" s="17">
        <v>5</v>
      </c>
      <c r="R298">
        <v>2</v>
      </c>
      <c r="S298">
        <v>4</v>
      </c>
      <c r="T298">
        <v>1</v>
      </c>
      <c r="U298">
        <v>2</v>
      </c>
      <c r="V298" s="15">
        <f t="shared" ca="1" si="9"/>
        <v>3</v>
      </c>
    </row>
    <row r="299" spans="1:22">
      <c r="A299" t="s">
        <v>3794</v>
      </c>
      <c r="B299" s="1">
        <v>41056.688125000001</v>
      </c>
      <c r="C299" s="2">
        <v>775000</v>
      </c>
      <c r="D299">
        <v>775000</v>
      </c>
      <c r="E299" t="s">
        <v>1908</v>
      </c>
      <c r="F299" s="5">
        <v>13801.135432767991</v>
      </c>
      <c r="G299" s="5">
        <v>38591.773727716361</v>
      </c>
      <c r="H299" s="5">
        <f ca="1">OFFSET(F299,0,Brains!$D$1,1,1)</f>
        <v>38591.773727716361</v>
      </c>
      <c r="I299" t="s">
        <v>1858</v>
      </c>
      <c r="J299" t="s">
        <v>1858</v>
      </c>
      <c r="K299" t="s">
        <v>1859</v>
      </c>
      <c r="L299" t="s">
        <v>1859</v>
      </c>
      <c r="M299" s="11" t="s">
        <v>3918</v>
      </c>
      <c r="N299" t="s">
        <v>1860</v>
      </c>
      <c r="O299" s="7" t="s">
        <v>3920</v>
      </c>
      <c r="P299" s="17" t="str">
        <f t="shared" ca="1" si="8"/>
        <v>30-49.9K</v>
      </c>
      <c r="Q299" s="17">
        <v>5</v>
      </c>
      <c r="R299">
        <v>2</v>
      </c>
      <c r="S299">
        <v>4</v>
      </c>
      <c r="T299">
        <v>1</v>
      </c>
      <c r="U299">
        <v>2</v>
      </c>
      <c r="V299" s="15">
        <f t="shared" ca="1" si="9"/>
        <v>3</v>
      </c>
    </row>
    <row r="300" spans="1:22">
      <c r="A300" t="s">
        <v>1606</v>
      </c>
      <c r="B300" s="1">
        <v>41071.830972222226</v>
      </c>
      <c r="C300" s="2">
        <v>11000</v>
      </c>
      <c r="D300">
        <v>11000</v>
      </c>
      <c r="E300" t="s">
        <v>1856</v>
      </c>
      <c r="F300" s="5">
        <v>11000</v>
      </c>
      <c r="G300" s="5">
        <v>11000</v>
      </c>
      <c r="H300" s="5">
        <f ca="1">OFFSET(F300,0,Brains!$D$1,1,1)</f>
        <v>11000</v>
      </c>
      <c r="I300" t="s">
        <v>755</v>
      </c>
      <c r="J300" t="s">
        <v>1858</v>
      </c>
      <c r="K300" t="s">
        <v>1859</v>
      </c>
      <c r="L300" t="s">
        <v>1859</v>
      </c>
      <c r="M300" s="11" t="s">
        <v>3918</v>
      </c>
      <c r="N300" t="s">
        <v>1860</v>
      </c>
      <c r="O300" s="7" t="s">
        <v>3920</v>
      </c>
      <c r="P300" s="17" t="str">
        <f t="shared" ca="1" si="8"/>
        <v>0-14.9K</v>
      </c>
      <c r="Q300" s="17">
        <v>5</v>
      </c>
      <c r="R300">
        <v>2</v>
      </c>
      <c r="S300">
        <v>4</v>
      </c>
      <c r="T300">
        <v>1</v>
      </c>
      <c r="U300">
        <v>2</v>
      </c>
      <c r="V300" s="15">
        <f t="shared" ca="1" si="9"/>
        <v>1</v>
      </c>
    </row>
    <row r="301" spans="1:22">
      <c r="A301" t="s">
        <v>1462</v>
      </c>
      <c r="B301" s="1">
        <v>41066.311666666668</v>
      </c>
      <c r="C301" s="2">
        <v>10000</v>
      </c>
      <c r="D301">
        <v>10000</v>
      </c>
      <c r="E301" t="s">
        <v>1856</v>
      </c>
      <c r="F301" s="5">
        <v>10000</v>
      </c>
      <c r="G301" s="5">
        <v>10000</v>
      </c>
      <c r="H301" s="5">
        <f ca="1">OFFSET(F301,0,Brains!$D$1,1,1)</f>
        <v>10000</v>
      </c>
      <c r="I301" t="s">
        <v>1463</v>
      </c>
      <c r="J301" t="s">
        <v>1858</v>
      </c>
      <c r="K301" t="s">
        <v>1869</v>
      </c>
      <c r="L301" t="s">
        <v>1869</v>
      </c>
      <c r="M301" s="11" t="s">
        <v>3918</v>
      </c>
      <c r="N301" t="s">
        <v>1860</v>
      </c>
      <c r="O301" s="7" t="s">
        <v>3920</v>
      </c>
      <c r="P301" s="17" t="str">
        <f t="shared" ca="1" si="8"/>
        <v>0-14.9K</v>
      </c>
      <c r="Q301" s="17">
        <v>5</v>
      </c>
      <c r="R301">
        <v>2</v>
      </c>
      <c r="S301">
        <v>4</v>
      </c>
      <c r="T301">
        <v>1</v>
      </c>
      <c r="U301">
        <v>2</v>
      </c>
      <c r="V301" s="15">
        <f t="shared" ca="1" si="9"/>
        <v>1</v>
      </c>
    </row>
    <row r="302" spans="1:22">
      <c r="A302" t="s">
        <v>3398</v>
      </c>
      <c r="B302" s="1">
        <v>41055.626782407409</v>
      </c>
      <c r="C302" s="2">
        <v>800</v>
      </c>
      <c r="D302">
        <v>9600</v>
      </c>
      <c r="E302" t="s">
        <v>1856</v>
      </c>
      <c r="F302" s="5">
        <v>9600</v>
      </c>
      <c r="G302" s="5">
        <v>9600</v>
      </c>
      <c r="H302" s="5">
        <f ca="1">OFFSET(F302,0,Brains!$D$1,1,1)</f>
        <v>9600</v>
      </c>
      <c r="I302" t="s">
        <v>2088</v>
      </c>
      <c r="J302" t="s">
        <v>1858</v>
      </c>
      <c r="K302" t="s">
        <v>1922</v>
      </c>
      <c r="L302" t="s">
        <v>1922</v>
      </c>
      <c r="M302" s="11" t="s">
        <v>3918</v>
      </c>
      <c r="N302" t="s">
        <v>1860</v>
      </c>
      <c r="O302" s="7" t="s">
        <v>3920</v>
      </c>
      <c r="P302" s="17" t="str">
        <f t="shared" ca="1" si="8"/>
        <v>0-14.9K</v>
      </c>
      <c r="Q302" s="17">
        <v>5</v>
      </c>
      <c r="R302">
        <v>2</v>
      </c>
      <c r="S302">
        <v>4</v>
      </c>
      <c r="T302">
        <v>1</v>
      </c>
      <c r="U302">
        <v>2</v>
      </c>
      <c r="V302" s="15">
        <f t="shared" ca="1" si="9"/>
        <v>1</v>
      </c>
    </row>
    <row r="303" spans="1:22">
      <c r="A303" t="s">
        <v>1489</v>
      </c>
      <c r="B303" s="1">
        <v>41067.022499999999</v>
      </c>
      <c r="C303" s="2" t="s">
        <v>1490</v>
      </c>
      <c r="D303">
        <v>500000</v>
      </c>
      <c r="E303" t="s">
        <v>1908</v>
      </c>
      <c r="F303" s="5">
        <v>8903.9583437212841</v>
      </c>
      <c r="G303" s="5">
        <v>24897.918534010558</v>
      </c>
      <c r="H303" s="5">
        <f ca="1">OFFSET(F303,0,Brains!$D$1,1,1)</f>
        <v>24897.918534010558</v>
      </c>
      <c r="I303" t="s">
        <v>2195</v>
      </c>
      <c r="J303" t="s">
        <v>1858</v>
      </c>
      <c r="K303" t="s">
        <v>1859</v>
      </c>
      <c r="L303" t="s">
        <v>1859</v>
      </c>
      <c r="M303" s="11" t="s">
        <v>3918</v>
      </c>
      <c r="N303" t="s">
        <v>1860</v>
      </c>
      <c r="O303" s="7" t="s">
        <v>3920</v>
      </c>
      <c r="P303" s="17" t="str">
        <f t="shared" ca="1" si="8"/>
        <v>15-29.9K</v>
      </c>
      <c r="Q303" s="17">
        <v>5</v>
      </c>
      <c r="R303">
        <v>2</v>
      </c>
      <c r="S303">
        <v>4</v>
      </c>
      <c r="T303">
        <v>1</v>
      </c>
      <c r="U303">
        <v>2</v>
      </c>
      <c r="V303" s="15">
        <f t="shared" ca="1" si="9"/>
        <v>2</v>
      </c>
    </row>
    <row r="304" spans="1:22">
      <c r="A304" t="s">
        <v>383</v>
      </c>
      <c r="B304" s="1">
        <v>41057.92597222222</v>
      </c>
      <c r="C304" s="2">
        <v>8600</v>
      </c>
      <c r="D304">
        <v>8600</v>
      </c>
      <c r="E304" t="s">
        <v>1856</v>
      </c>
      <c r="F304" s="5">
        <v>8600</v>
      </c>
      <c r="G304" s="5">
        <v>8600</v>
      </c>
      <c r="H304" s="5">
        <f ca="1">OFFSET(F304,0,Brains!$D$1,1,1)</f>
        <v>8600</v>
      </c>
      <c r="I304" t="s">
        <v>384</v>
      </c>
      <c r="J304" t="s">
        <v>1858</v>
      </c>
      <c r="K304" t="s">
        <v>1859</v>
      </c>
      <c r="L304" t="s">
        <v>1859</v>
      </c>
      <c r="M304" s="11" t="s">
        <v>3918</v>
      </c>
      <c r="N304" t="s">
        <v>1860</v>
      </c>
      <c r="O304" s="7" t="s">
        <v>3920</v>
      </c>
      <c r="P304" s="17" t="str">
        <f t="shared" ca="1" si="8"/>
        <v>0-14.9K</v>
      </c>
      <c r="Q304" s="17">
        <v>5</v>
      </c>
      <c r="R304">
        <v>2</v>
      </c>
      <c r="S304">
        <v>4</v>
      </c>
      <c r="T304">
        <v>1</v>
      </c>
      <c r="U304">
        <v>2</v>
      </c>
      <c r="V304" s="15">
        <f t="shared" ca="1" si="9"/>
        <v>1</v>
      </c>
    </row>
    <row r="305" spans="1:22">
      <c r="A305" t="s">
        <v>1806</v>
      </c>
      <c r="B305" s="1">
        <v>41079.875937500001</v>
      </c>
      <c r="C305" s="2">
        <v>420000</v>
      </c>
      <c r="D305">
        <v>420000</v>
      </c>
      <c r="E305" t="s">
        <v>1908</v>
      </c>
      <c r="F305" s="5">
        <v>7479.3250087258784</v>
      </c>
      <c r="G305" s="5">
        <v>20914.251568568867</v>
      </c>
      <c r="H305" s="5">
        <f ca="1">OFFSET(F305,0,Brains!$D$1,1,1)</f>
        <v>20914.251568568867</v>
      </c>
      <c r="I305" t="s">
        <v>1858</v>
      </c>
      <c r="J305" t="s">
        <v>1858</v>
      </c>
      <c r="K305" t="s">
        <v>1859</v>
      </c>
      <c r="L305" t="s">
        <v>1859</v>
      </c>
      <c r="M305" s="11" t="s">
        <v>3918</v>
      </c>
      <c r="N305" t="s">
        <v>1860</v>
      </c>
      <c r="O305" s="7" t="s">
        <v>3920</v>
      </c>
      <c r="P305" s="17" t="str">
        <f t="shared" ca="1" si="8"/>
        <v>15-29.9K</v>
      </c>
      <c r="Q305" s="17">
        <v>5</v>
      </c>
      <c r="R305">
        <v>2</v>
      </c>
      <c r="S305">
        <v>4</v>
      </c>
      <c r="T305">
        <v>1</v>
      </c>
      <c r="U305">
        <v>2</v>
      </c>
      <c r="V305" s="15">
        <f t="shared" ca="1" si="9"/>
        <v>2</v>
      </c>
    </row>
    <row r="306" spans="1:22">
      <c r="A306" t="s">
        <v>1260</v>
      </c>
      <c r="B306" s="1">
        <v>41061.841921296298</v>
      </c>
      <c r="C306" s="2" t="s">
        <v>1261</v>
      </c>
      <c r="D306">
        <v>6000</v>
      </c>
      <c r="E306" t="s">
        <v>1856</v>
      </c>
      <c r="F306" s="5">
        <v>6000</v>
      </c>
      <c r="G306" s="5">
        <v>6000</v>
      </c>
      <c r="H306" s="5">
        <f ca="1">OFFSET(F306,0,Brains!$D$1,1,1)</f>
        <v>6000</v>
      </c>
      <c r="I306" t="s">
        <v>2195</v>
      </c>
      <c r="J306" t="s">
        <v>1858</v>
      </c>
      <c r="K306" t="s">
        <v>1859</v>
      </c>
      <c r="L306" t="s">
        <v>1859</v>
      </c>
      <c r="M306" s="11" t="s">
        <v>3918</v>
      </c>
      <c r="N306" t="s">
        <v>1860</v>
      </c>
      <c r="O306" s="7" t="s">
        <v>3920</v>
      </c>
      <c r="P306" s="17" t="str">
        <f t="shared" ca="1" si="8"/>
        <v>0-14.9K</v>
      </c>
      <c r="Q306" s="17">
        <v>5</v>
      </c>
      <c r="R306">
        <v>2</v>
      </c>
      <c r="S306">
        <v>4</v>
      </c>
      <c r="T306">
        <v>1</v>
      </c>
      <c r="U306">
        <v>2</v>
      </c>
      <c r="V306" s="15">
        <f t="shared" ca="1" si="9"/>
        <v>1</v>
      </c>
    </row>
    <row r="307" spans="1:22">
      <c r="A307" t="s">
        <v>3427</v>
      </c>
      <c r="B307" s="1">
        <v>41055.664548611108</v>
      </c>
      <c r="C307" s="2" t="s">
        <v>3428</v>
      </c>
      <c r="D307">
        <v>4800</v>
      </c>
      <c r="E307" t="s">
        <v>1856</v>
      </c>
      <c r="F307" s="5">
        <v>4800</v>
      </c>
      <c r="G307" s="5">
        <v>4800</v>
      </c>
      <c r="H307" s="5">
        <f ca="1">OFFSET(F307,0,Brains!$D$1,1,1)</f>
        <v>4800</v>
      </c>
      <c r="I307" t="s">
        <v>3429</v>
      </c>
      <c r="J307" t="s">
        <v>1858</v>
      </c>
      <c r="K307" t="s">
        <v>3430</v>
      </c>
      <c r="L307" t="s">
        <v>3430</v>
      </c>
      <c r="M307" s="11" t="s">
        <v>3918</v>
      </c>
      <c r="N307" t="s">
        <v>1860</v>
      </c>
      <c r="O307" s="7" t="s">
        <v>3920</v>
      </c>
      <c r="P307" s="17" t="str">
        <f t="shared" ca="1" si="8"/>
        <v>0-14.9K</v>
      </c>
      <c r="Q307" s="17">
        <v>5</v>
      </c>
      <c r="R307">
        <v>2</v>
      </c>
      <c r="S307">
        <v>4</v>
      </c>
      <c r="T307">
        <v>1</v>
      </c>
      <c r="U307">
        <v>2</v>
      </c>
      <c r="V307" s="15">
        <f t="shared" ca="1" si="9"/>
        <v>1</v>
      </c>
    </row>
    <row r="308" spans="1:22">
      <c r="A308" t="s">
        <v>3303</v>
      </c>
      <c r="B308" s="1">
        <v>41055.549317129633</v>
      </c>
      <c r="C308" s="2" t="s">
        <v>3304</v>
      </c>
      <c r="D308">
        <v>260000</v>
      </c>
      <c r="E308" t="s">
        <v>1908</v>
      </c>
      <c r="F308" s="5">
        <v>4630.058338735068</v>
      </c>
      <c r="G308" s="5">
        <v>12946.917637685488</v>
      </c>
      <c r="H308" s="5">
        <f ca="1">OFFSET(F308,0,Brains!$D$1,1,1)</f>
        <v>12946.917637685488</v>
      </c>
      <c r="I308" t="s">
        <v>1858</v>
      </c>
      <c r="J308" t="s">
        <v>1858</v>
      </c>
      <c r="K308" t="s">
        <v>1859</v>
      </c>
      <c r="L308" t="s">
        <v>1859</v>
      </c>
      <c r="M308" s="11" t="s">
        <v>3918</v>
      </c>
      <c r="N308" t="s">
        <v>1860</v>
      </c>
      <c r="O308" s="7" t="s">
        <v>3920</v>
      </c>
      <c r="P308" s="17" t="str">
        <f t="shared" ca="1" si="8"/>
        <v>0-14.9K</v>
      </c>
      <c r="Q308" s="17">
        <v>5</v>
      </c>
      <c r="R308">
        <v>2</v>
      </c>
      <c r="S308">
        <v>4</v>
      </c>
      <c r="T308">
        <v>1</v>
      </c>
      <c r="U308">
        <v>2</v>
      </c>
      <c r="V308" s="15">
        <f t="shared" ca="1" si="9"/>
        <v>1</v>
      </c>
    </row>
    <row r="309" spans="1:22">
      <c r="A309" t="s">
        <v>3660</v>
      </c>
      <c r="B309" s="1">
        <v>41056.057013888887</v>
      </c>
      <c r="C309" s="2" t="s">
        <v>3661</v>
      </c>
      <c r="D309">
        <v>200000</v>
      </c>
      <c r="E309" t="s">
        <v>1908</v>
      </c>
      <c r="F309" s="5">
        <v>3561.5833374885137</v>
      </c>
      <c r="G309" s="5">
        <v>9959.167413604222</v>
      </c>
      <c r="H309" s="5">
        <f ca="1">OFFSET(F309,0,Brains!$D$1,1,1)</f>
        <v>9959.167413604222</v>
      </c>
      <c r="I309" t="s">
        <v>2022</v>
      </c>
      <c r="J309" t="s">
        <v>1858</v>
      </c>
      <c r="K309" t="s">
        <v>1859</v>
      </c>
      <c r="L309" t="s">
        <v>1859</v>
      </c>
      <c r="M309" s="11" t="s">
        <v>3918</v>
      </c>
      <c r="N309" t="s">
        <v>1860</v>
      </c>
      <c r="O309" s="7" t="s">
        <v>3920</v>
      </c>
      <c r="P309" s="17" t="str">
        <f t="shared" ca="1" si="8"/>
        <v>0-14.9K</v>
      </c>
      <c r="Q309" s="17">
        <v>5</v>
      </c>
      <c r="R309">
        <v>2</v>
      </c>
      <c r="S309">
        <v>4</v>
      </c>
      <c r="T309">
        <v>1</v>
      </c>
      <c r="U309">
        <v>2</v>
      </c>
      <c r="V309" s="15">
        <f t="shared" ca="1" si="9"/>
        <v>1</v>
      </c>
    </row>
    <row r="310" spans="1:22">
      <c r="A310" t="s">
        <v>3545</v>
      </c>
      <c r="B310" s="1">
        <v>41055.855208333334</v>
      </c>
      <c r="C310" s="2" t="s">
        <v>3546</v>
      </c>
      <c r="D310">
        <v>150000</v>
      </c>
      <c r="E310" t="s">
        <v>1908</v>
      </c>
      <c r="F310" s="5">
        <v>2671.1875031163854</v>
      </c>
      <c r="G310" s="5">
        <v>7469.375560203167</v>
      </c>
      <c r="H310" s="5">
        <f ca="1">OFFSET(F310,0,Brains!$D$1,1,1)</f>
        <v>7469.375560203167</v>
      </c>
      <c r="I310" t="s">
        <v>3547</v>
      </c>
      <c r="J310" t="s">
        <v>1858</v>
      </c>
      <c r="K310" t="s">
        <v>1859</v>
      </c>
      <c r="L310" t="s">
        <v>1859</v>
      </c>
      <c r="M310" s="11" t="s">
        <v>3918</v>
      </c>
      <c r="N310" t="s">
        <v>1860</v>
      </c>
      <c r="O310" s="7" t="s">
        <v>3920</v>
      </c>
      <c r="P310" s="17" t="str">
        <f t="shared" ca="1" si="8"/>
        <v>0-14.9K</v>
      </c>
      <c r="Q310" s="17">
        <v>5</v>
      </c>
      <c r="R310">
        <v>2</v>
      </c>
      <c r="S310">
        <v>4</v>
      </c>
      <c r="T310">
        <v>1</v>
      </c>
      <c r="U310">
        <v>2</v>
      </c>
      <c r="V310" s="15">
        <f t="shared" ca="1" si="9"/>
        <v>1</v>
      </c>
    </row>
    <row r="311" spans="1:22">
      <c r="A311" t="s">
        <v>1515</v>
      </c>
      <c r="B311" s="1">
        <v>41068.001261574071</v>
      </c>
      <c r="C311" s="2">
        <v>68000</v>
      </c>
      <c r="D311">
        <v>68000</v>
      </c>
      <c r="E311" t="s">
        <v>1856</v>
      </c>
      <c r="F311" s="5">
        <v>68000</v>
      </c>
      <c r="G311" s="5">
        <v>68000</v>
      </c>
      <c r="H311" s="5">
        <f ca="1">OFFSET(F311,0,Brains!$D$1,1,1)</f>
        <v>68000</v>
      </c>
      <c r="I311" t="s">
        <v>1516</v>
      </c>
      <c r="J311" t="s">
        <v>1858</v>
      </c>
      <c r="K311" t="s">
        <v>1869</v>
      </c>
      <c r="L311" t="s">
        <v>1869</v>
      </c>
      <c r="M311" s="11" t="s">
        <v>3918</v>
      </c>
      <c r="N311" t="s">
        <v>1860</v>
      </c>
      <c r="O311" s="7" t="s">
        <v>3920</v>
      </c>
      <c r="P311" s="17" t="str">
        <f t="shared" ca="1" si="8"/>
        <v>50-74.9K</v>
      </c>
      <c r="Q311" s="17">
        <v>5</v>
      </c>
      <c r="R311">
        <v>2.5</v>
      </c>
      <c r="S311">
        <v>4</v>
      </c>
      <c r="T311">
        <v>1</v>
      </c>
      <c r="U311">
        <v>2</v>
      </c>
      <c r="V311" s="15">
        <f t="shared" ca="1" si="9"/>
        <v>4</v>
      </c>
    </row>
    <row r="312" spans="1:22">
      <c r="A312" t="s">
        <v>78</v>
      </c>
      <c r="B312" s="1">
        <v>41057.48133101852</v>
      </c>
      <c r="C312" s="2" t="s">
        <v>79</v>
      </c>
      <c r="D312">
        <v>350000</v>
      </c>
      <c r="E312" t="s">
        <v>1908</v>
      </c>
      <c r="F312" s="5">
        <v>6232.7708406048987</v>
      </c>
      <c r="G312" s="5">
        <v>17428.542973807391</v>
      </c>
      <c r="H312" s="5">
        <f ca="1">OFFSET(F312,0,Brains!$D$1,1,1)</f>
        <v>17428.542973807391</v>
      </c>
      <c r="I312" t="s">
        <v>2099</v>
      </c>
      <c r="J312" t="s">
        <v>1858</v>
      </c>
      <c r="K312" t="s">
        <v>1859</v>
      </c>
      <c r="L312" t="s">
        <v>1859</v>
      </c>
      <c r="M312" s="11" t="s">
        <v>3918</v>
      </c>
      <c r="N312" t="s">
        <v>1860</v>
      </c>
      <c r="O312" s="7" t="s">
        <v>3920</v>
      </c>
      <c r="P312" s="17" t="str">
        <f t="shared" ca="1" si="8"/>
        <v>15-29.9K</v>
      </c>
      <c r="Q312" s="17">
        <v>5</v>
      </c>
      <c r="R312">
        <v>2.5</v>
      </c>
      <c r="S312">
        <v>4</v>
      </c>
      <c r="T312">
        <v>1</v>
      </c>
      <c r="U312">
        <v>2</v>
      </c>
      <c r="V312" s="15">
        <f t="shared" ca="1" si="9"/>
        <v>2</v>
      </c>
    </row>
    <row r="313" spans="1:22">
      <c r="A313" t="s">
        <v>1371</v>
      </c>
      <c r="B313" s="1">
        <v>41064.788819444446</v>
      </c>
      <c r="C313" s="2" t="s">
        <v>1372</v>
      </c>
      <c r="D313">
        <v>320000</v>
      </c>
      <c r="E313" t="s">
        <v>1908</v>
      </c>
      <c r="F313" s="5">
        <v>5698.5333399816218</v>
      </c>
      <c r="G313" s="5">
        <v>15934.667861766757</v>
      </c>
      <c r="H313" s="5">
        <f ca="1">OFFSET(F313,0,Brains!$D$1,1,1)</f>
        <v>15934.667861766757</v>
      </c>
      <c r="I313" t="s">
        <v>3038</v>
      </c>
      <c r="J313" t="s">
        <v>1858</v>
      </c>
      <c r="K313" t="s">
        <v>1859</v>
      </c>
      <c r="L313" t="s">
        <v>1859</v>
      </c>
      <c r="M313" s="11" t="s">
        <v>3918</v>
      </c>
      <c r="N313" t="s">
        <v>1860</v>
      </c>
      <c r="O313" s="7" t="s">
        <v>3920</v>
      </c>
      <c r="P313" s="17" t="str">
        <f t="shared" ca="1" si="8"/>
        <v>15-29.9K</v>
      </c>
      <c r="Q313" s="17">
        <v>5</v>
      </c>
      <c r="R313">
        <v>2.5</v>
      </c>
      <c r="S313">
        <v>4</v>
      </c>
      <c r="T313">
        <v>1</v>
      </c>
      <c r="U313">
        <v>2</v>
      </c>
      <c r="V313" s="15">
        <f t="shared" ca="1" si="9"/>
        <v>2</v>
      </c>
    </row>
    <row r="314" spans="1:22">
      <c r="A314" t="s">
        <v>1091</v>
      </c>
      <c r="B314" s="1">
        <v>41060.053657407407</v>
      </c>
      <c r="C314" s="2">
        <v>74300</v>
      </c>
      <c r="D314">
        <v>74300</v>
      </c>
      <c r="E314" t="s">
        <v>1856</v>
      </c>
      <c r="F314" s="5">
        <v>74300</v>
      </c>
      <c r="G314" s="5">
        <v>74300</v>
      </c>
      <c r="H314" s="5">
        <f ca="1">OFFSET(F314,0,Brains!$D$1,1,1)</f>
        <v>74300</v>
      </c>
      <c r="I314" t="s">
        <v>1092</v>
      </c>
      <c r="J314" t="s">
        <v>1858</v>
      </c>
      <c r="K314" t="s">
        <v>1869</v>
      </c>
      <c r="L314" t="s">
        <v>1869</v>
      </c>
      <c r="M314" s="11" t="s">
        <v>3918</v>
      </c>
      <c r="N314" t="s">
        <v>1860</v>
      </c>
      <c r="O314" s="7" t="s">
        <v>3920</v>
      </c>
      <c r="P314" s="17" t="str">
        <f t="shared" ca="1" si="8"/>
        <v>50-74.9K</v>
      </c>
      <c r="Q314" s="17">
        <v>5</v>
      </c>
      <c r="R314">
        <v>3</v>
      </c>
      <c r="S314">
        <v>4</v>
      </c>
      <c r="T314">
        <v>1</v>
      </c>
      <c r="U314">
        <v>2</v>
      </c>
      <c r="V314" s="15">
        <f t="shared" ca="1" si="9"/>
        <v>4</v>
      </c>
    </row>
    <row r="315" spans="1:22">
      <c r="A315" t="s">
        <v>3111</v>
      </c>
      <c r="B315" s="1">
        <v>41055.328622685185</v>
      </c>
      <c r="C315" s="2">
        <v>70000</v>
      </c>
      <c r="D315">
        <v>70000</v>
      </c>
      <c r="E315" t="s">
        <v>1856</v>
      </c>
      <c r="F315" s="5">
        <v>70000</v>
      </c>
      <c r="G315" s="5">
        <v>70000</v>
      </c>
      <c r="H315" s="5">
        <f ca="1">OFFSET(F315,0,Brains!$D$1,1,1)</f>
        <v>70000</v>
      </c>
      <c r="I315" t="s">
        <v>1868</v>
      </c>
      <c r="J315" t="s">
        <v>1858</v>
      </c>
      <c r="K315" t="s">
        <v>1869</v>
      </c>
      <c r="L315" t="s">
        <v>1869</v>
      </c>
      <c r="M315" s="11" t="s">
        <v>3918</v>
      </c>
      <c r="N315" t="s">
        <v>1860</v>
      </c>
      <c r="O315" s="7" t="s">
        <v>3920</v>
      </c>
      <c r="P315" s="17" t="str">
        <f t="shared" ca="1" si="8"/>
        <v>50-74.9K</v>
      </c>
      <c r="Q315" s="17">
        <v>5</v>
      </c>
      <c r="R315">
        <v>3</v>
      </c>
      <c r="S315">
        <v>4</v>
      </c>
      <c r="T315">
        <v>1</v>
      </c>
      <c r="U315">
        <v>2</v>
      </c>
      <c r="V315" s="15">
        <f t="shared" ca="1" si="9"/>
        <v>4</v>
      </c>
    </row>
    <row r="316" spans="1:22">
      <c r="A316" t="s">
        <v>3118</v>
      </c>
      <c r="B316" s="1">
        <v>41055.337256944447</v>
      </c>
      <c r="C316" s="2">
        <v>65000</v>
      </c>
      <c r="D316">
        <v>65000</v>
      </c>
      <c r="E316" t="s">
        <v>1856</v>
      </c>
      <c r="F316" s="5">
        <v>65000</v>
      </c>
      <c r="G316" s="5">
        <v>65000</v>
      </c>
      <c r="H316" s="5">
        <f ca="1">OFFSET(F316,0,Brains!$D$1,1,1)</f>
        <v>65000</v>
      </c>
      <c r="I316" t="s">
        <v>2099</v>
      </c>
      <c r="J316" t="s">
        <v>1858</v>
      </c>
      <c r="K316" t="s">
        <v>1869</v>
      </c>
      <c r="L316" t="s">
        <v>1869</v>
      </c>
      <c r="M316" s="11" t="s">
        <v>3918</v>
      </c>
      <c r="N316" t="s">
        <v>1860</v>
      </c>
      <c r="O316" s="7" t="s">
        <v>3920</v>
      </c>
      <c r="P316" s="17" t="str">
        <f t="shared" ca="1" si="8"/>
        <v>50-74.9K</v>
      </c>
      <c r="Q316" s="17">
        <v>5</v>
      </c>
      <c r="R316">
        <v>3</v>
      </c>
      <c r="S316">
        <v>4</v>
      </c>
      <c r="T316">
        <v>1</v>
      </c>
      <c r="U316">
        <v>2</v>
      </c>
      <c r="V316" s="15">
        <f t="shared" ca="1" si="9"/>
        <v>4</v>
      </c>
    </row>
    <row r="317" spans="1:22">
      <c r="A317" t="s">
        <v>13</v>
      </c>
      <c r="B317" s="1">
        <v>41057.319004629629</v>
      </c>
      <c r="C317" s="2">
        <v>62000</v>
      </c>
      <c r="D317">
        <v>62000</v>
      </c>
      <c r="E317" t="s">
        <v>1973</v>
      </c>
      <c r="F317" s="5">
        <v>63234.398696963413</v>
      </c>
      <c r="G317" s="5">
        <v>39440.203562340968</v>
      </c>
      <c r="H317" s="5">
        <f ca="1">OFFSET(F317,0,Brains!$D$1,1,1)</f>
        <v>39440.203562340968</v>
      </c>
      <c r="I317" t="s">
        <v>2195</v>
      </c>
      <c r="J317" t="s">
        <v>1858</v>
      </c>
      <c r="K317" t="s">
        <v>1975</v>
      </c>
      <c r="L317" t="s">
        <v>1975</v>
      </c>
      <c r="M317" s="11" t="s">
        <v>3918</v>
      </c>
      <c r="N317" t="s">
        <v>1860</v>
      </c>
      <c r="O317" s="7" t="s">
        <v>3920</v>
      </c>
      <c r="P317" s="17" t="str">
        <f t="shared" ca="1" si="8"/>
        <v>30-49.9K</v>
      </c>
      <c r="Q317" s="17">
        <v>5</v>
      </c>
      <c r="R317">
        <v>3</v>
      </c>
      <c r="S317">
        <v>4</v>
      </c>
      <c r="T317">
        <v>1</v>
      </c>
      <c r="U317">
        <v>2</v>
      </c>
      <c r="V317" s="15">
        <f t="shared" ca="1" si="9"/>
        <v>3</v>
      </c>
    </row>
    <row r="318" spans="1:22">
      <c r="A318" t="s">
        <v>1165</v>
      </c>
      <c r="B318" s="1">
        <v>41060.843287037038</v>
      </c>
      <c r="C318" s="2" t="s">
        <v>1953</v>
      </c>
      <c r="D318">
        <v>35000</v>
      </c>
      <c r="E318" t="s">
        <v>1954</v>
      </c>
      <c r="F318" s="5">
        <v>55166.239522354947</v>
      </c>
      <c r="G318" s="5">
        <v>51928.783382789312</v>
      </c>
      <c r="H318" s="5">
        <f ca="1">OFFSET(F318,0,Brains!$D$1,1,1)</f>
        <v>51928.783382789312</v>
      </c>
      <c r="I318" t="s">
        <v>2182</v>
      </c>
      <c r="J318" t="s">
        <v>1858</v>
      </c>
      <c r="K318" t="s">
        <v>1956</v>
      </c>
      <c r="L318" t="s">
        <v>1956</v>
      </c>
      <c r="M318" s="11" t="s">
        <v>3918</v>
      </c>
      <c r="N318" t="s">
        <v>1860</v>
      </c>
      <c r="O318" s="7" t="s">
        <v>3920</v>
      </c>
      <c r="P318" s="17" t="str">
        <f t="shared" ca="1" si="8"/>
        <v>50-74.9K</v>
      </c>
      <c r="Q318" s="17">
        <v>5</v>
      </c>
      <c r="R318">
        <v>3</v>
      </c>
      <c r="S318">
        <v>4</v>
      </c>
      <c r="T318">
        <v>1</v>
      </c>
      <c r="U318">
        <v>2</v>
      </c>
      <c r="V318" s="15">
        <f t="shared" ca="1" si="9"/>
        <v>4</v>
      </c>
    </row>
    <row r="319" spans="1:22">
      <c r="A319" t="s">
        <v>245</v>
      </c>
      <c r="B319" s="1">
        <v>41057.670636574076</v>
      </c>
      <c r="C319" s="2" t="s">
        <v>246</v>
      </c>
      <c r="D319">
        <v>40000</v>
      </c>
      <c r="E319" t="s">
        <v>1880</v>
      </c>
      <c r="F319" s="5">
        <v>50815.977559664309</v>
      </c>
      <c r="G319" s="5">
        <v>50247.973750458514</v>
      </c>
      <c r="H319" s="5">
        <f ca="1">OFFSET(F319,0,Brains!$D$1,1,1)</f>
        <v>50247.973750458514</v>
      </c>
      <c r="I319" t="s">
        <v>247</v>
      </c>
      <c r="J319" t="s">
        <v>1858</v>
      </c>
      <c r="K319" t="s">
        <v>2998</v>
      </c>
      <c r="L319" t="s">
        <v>2998</v>
      </c>
      <c r="M319" s="11" t="s">
        <v>3918</v>
      </c>
      <c r="N319" t="s">
        <v>1860</v>
      </c>
      <c r="O319" s="7" t="s">
        <v>3920</v>
      </c>
      <c r="P319" s="17" t="str">
        <f t="shared" ca="1" si="8"/>
        <v>50-74.9K</v>
      </c>
      <c r="Q319" s="17">
        <v>5</v>
      </c>
      <c r="R319">
        <v>3</v>
      </c>
      <c r="S319">
        <v>4</v>
      </c>
      <c r="T319">
        <v>1</v>
      </c>
      <c r="U319">
        <v>2</v>
      </c>
      <c r="V319" s="15">
        <f t="shared" ca="1" si="9"/>
        <v>4</v>
      </c>
    </row>
    <row r="320" spans="1:22">
      <c r="A320" t="s">
        <v>632</v>
      </c>
      <c r="B320" s="1">
        <v>41058.45244212963</v>
      </c>
      <c r="C320" s="2">
        <v>50000</v>
      </c>
      <c r="D320">
        <v>50000</v>
      </c>
      <c r="E320" t="s">
        <v>1856</v>
      </c>
      <c r="F320" s="5">
        <v>50000</v>
      </c>
      <c r="G320" s="5">
        <v>50000</v>
      </c>
      <c r="H320" s="5">
        <f ca="1">OFFSET(F320,0,Brains!$D$1,1,1)</f>
        <v>50000</v>
      </c>
      <c r="I320" t="s">
        <v>2099</v>
      </c>
      <c r="J320" t="s">
        <v>1858</v>
      </c>
      <c r="K320" t="s">
        <v>1869</v>
      </c>
      <c r="L320" t="s">
        <v>1869</v>
      </c>
      <c r="M320" s="11" t="s">
        <v>3918</v>
      </c>
      <c r="N320" t="s">
        <v>1860</v>
      </c>
      <c r="O320" s="7" t="s">
        <v>3920</v>
      </c>
      <c r="P320" s="17" t="str">
        <f t="shared" ca="1" si="8"/>
        <v>50-74.9K</v>
      </c>
      <c r="Q320" s="17">
        <v>5</v>
      </c>
      <c r="R320">
        <v>3</v>
      </c>
      <c r="S320">
        <v>4</v>
      </c>
      <c r="T320">
        <v>1</v>
      </c>
      <c r="U320">
        <v>2</v>
      </c>
      <c r="V320" s="15">
        <f t="shared" ca="1" si="9"/>
        <v>4</v>
      </c>
    </row>
    <row r="321" spans="1:22">
      <c r="A321" t="s">
        <v>1118</v>
      </c>
      <c r="B321" s="1">
        <v>41060.406354166669</v>
      </c>
      <c r="C321" s="2">
        <v>50000</v>
      </c>
      <c r="D321">
        <v>50000</v>
      </c>
      <c r="E321" t="s">
        <v>1979</v>
      </c>
      <c r="F321" s="5">
        <v>49168.076151516347</v>
      </c>
      <c r="G321" s="5">
        <v>40032.025620496395</v>
      </c>
      <c r="H321" s="5">
        <f ca="1">OFFSET(F321,0,Brains!$D$1,1,1)</f>
        <v>40032.025620496395</v>
      </c>
      <c r="I321" t="s">
        <v>2195</v>
      </c>
      <c r="J321" t="s">
        <v>1858</v>
      </c>
      <c r="K321" t="s">
        <v>1981</v>
      </c>
      <c r="L321" t="s">
        <v>1981</v>
      </c>
      <c r="M321" s="11" t="s">
        <v>3918</v>
      </c>
      <c r="N321" t="s">
        <v>1860</v>
      </c>
      <c r="O321" s="7" t="s">
        <v>3920</v>
      </c>
      <c r="P321" s="17" t="str">
        <f t="shared" ca="1" si="8"/>
        <v>30-49.9K</v>
      </c>
      <c r="Q321" s="17">
        <v>5</v>
      </c>
      <c r="R321">
        <v>3</v>
      </c>
      <c r="S321">
        <v>4</v>
      </c>
      <c r="T321">
        <v>1</v>
      </c>
      <c r="U321">
        <v>2</v>
      </c>
      <c r="V321" s="15">
        <f t="shared" ca="1" si="9"/>
        <v>3</v>
      </c>
    </row>
    <row r="322" spans="1:22">
      <c r="A322" t="s">
        <v>3103</v>
      </c>
      <c r="B322" s="1">
        <v>41055.316932870373</v>
      </c>
      <c r="C322" s="2">
        <v>45000</v>
      </c>
      <c r="D322">
        <v>45000</v>
      </c>
      <c r="E322" t="s">
        <v>1856</v>
      </c>
      <c r="F322" s="5">
        <v>45000</v>
      </c>
      <c r="G322" s="5">
        <v>45000</v>
      </c>
      <c r="H322" s="5">
        <f ca="1">OFFSET(F322,0,Brains!$D$1,1,1)</f>
        <v>45000</v>
      </c>
      <c r="I322" t="s">
        <v>1911</v>
      </c>
      <c r="J322" t="s">
        <v>1858</v>
      </c>
      <c r="K322" t="s">
        <v>1869</v>
      </c>
      <c r="L322" t="s">
        <v>1869</v>
      </c>
      <c r="M322" s="11" t="s">
        <v>3918</v>
      </c>
      <c r="N322" t="s">
        <v>1860</v>
      </c>
      <c r="O322" s="7" t="s">
        <v>3920</v>
      </c>
      <c r="P322" s="17" t="str">
        <f t="shared" ref="P322:P385" ca="1" si="10">IF(H322&lt;15000,"0-14.9K",IF(H322&lt;30000,"15-29.9K",IF(H322&lt;50000,"30-49.9K",IF(H322&lt;75000,"50-74.9K",IF(H322&lt;100000,"75-99.9K",IF(H322&lt;150000,"100-149.9K",IF(H322&lt;250000,"150-249.9K","250K+")))))))</f>
        <v>30-49.9K</v>
      </c>
      <c r="Q322" s="17">
        <v>5</v>
      </c>
      <c r="R322">
        <v>3</v>
      </c>
      <c r="S322">
        <v>4</v>
      </c>
      <c r="T322">
        <v>1</v>
      </c>
      <c r="U322">
        <v>2</v>
      </c>
      <c r="V322" s="15">
        <f t="shared" ref="V322:V385" ca="1" si="11">IF(H322&lt;15000,1,IF(H322&lt;30000,2,IF(H322&lt;50000,3,IF(H322&lt;75000,4,IF(H322&lt;100000,5,IF(H322&lt;150000,6,IF(H322&lt;250000,7,8)))))))</f>
        <v>3</v>
      </c>
    </row>
    <row r="323" spans="1:22">
      <c r="A323" t="s">
        <v>287</v>
      </c>
      <c r="B323" s="1">
        <v>41057.715046296296</v>
      </c>
      <c r="C323" s="2" t="s">
        <v>288</v>
      </c>
      <c r="D323">
        <v>25000</v>
      </c>
      <c r="E323" t="s">
        <v>1954</v>
      </c>
      <c r="F323" s="5">
        <v>39404.456801682099</v>
      </c>
      <c r="G323" s="5">
        <v>37091.988130563797</v>
      </c>
      <c r="H323" s="5">
        <f ca="1">OFFSET(F323,0,Brains!$D$1,1,1)</f>
        <v>37091.988130563797</v>
      </c>
      <c r="I323" t="s">
        <v>289</v>
      </c>
      <c r="J323" t="s">
        <v>1858</v>
      </c>
      <c r="K323" t="s">
        <v>1956</v>
      </c>
      <c r="L323" t="s">
        <v>1956</v>
      </c>
      <c r="M323" s="11" t="s">
        <v>3918</v>
      </c>
      <c r="N323" t="s">
        <v>1860</v>
      </c>
      <c r="O323" s="7" t="s">
        <v>3920</v>
      </c>
      <c r="P323" s="17" t="str">
        <f t="shared" ca="1" si="10"/>
        <v>30-49.9K</v>
      </c>
      <c r="Q323" s="17">
        <v>5</v>
      </c>
      <c r="R323">
        <v>3</v>
      </c>
      <c r="S323">
        <v>4</v>
      </c>
      <c r="T323">
        <v>1</v>
      </c>
      <c r="U323">
        <v>2</v>
      </c>
      <c r="V323" s="15">
        <f t="shared" ca="1" si="11"/>
        <v>3</v>
      </c>
    </row>
    <row r="324" spans="1:22">
      <c r="A324" t="s">
        <v>1802</v>
      </c>
      <c r="B324" s="1">
        <v>41079.762291666666</v>
      </c>
      <c r="C324" s="2">
        <v>25000</v>
      </c>
      <c r="D324">
        <v>25000</v>
      </c>
      <c r="E324" t="s">
        <v>1954</v>
      </c>
      <c r="F324" s="5">
        <v>39404.456801682099</v>
      </c>
      <c r="G324" s="5">
        <v>37091.988130563797</v>
      </c>
      <c r="H324" s="5">
        <f ca="1">OFFSET(F324,0,Brains!$D$1,1,1)</f>
        <v>37091.988130563797</v>
      </c>
      <c r="I324" t="s">
        <v>2099</v>
      </c>
      <c r="J324" t="s">
        <v>1858</v>
      </c>
      <c r="K324" t="s">
        <v>1956</v>
      </c>
      <c r="L324" t="s">
        <v>1956</v>
      </c>
      <c r="M324" s="11" t="s">
        <v>3918</v>
      </c>
      <c r="N324" t="s">
        <v>1860</v>
      </c>
      <c r="O324" s="7" t="s">
        <v>3920</v>
      </c>
      <c r="P324" s="17" t="str">
        <f t="shared" ca="1" si="10"/>
        <v>30-49.9K</v>
      </c>
      <c r="Q324" s="17">
        <v>5</v>
      </c>
      <c r="R324">
        <v>3</v>
      </c>
      <c r="S324">
        <v>4</v>
      </c>
      <c r="T324">
        <v>1</v>
      </c>
      <c r="U324">
        <v>2</v>
      </c>
      <c r="V324" s="15">
        <f t="shared" ca="1" si="11"/>
        <v>3</v>
      </c>
    </row>
    <row r="325" spans="1:22">
      <c r="A325" t="s">
        <v>3830</v>
      </c>
      <c r="B325" s="1">
        <v>41056.920312499999</v>
      </c>
      <c r="C325" s="2">
        <v>24000</v>
      </c>
      <c r="D325">
        <v>24000</v>
      </c>
      <c r="E325" t="s">
        <v>1856</v>
      </c>
      <c r="F325" s="5">
        <v>24000</v>
      </c>
      <c r="G325" s="5">
        <v>24000</v>
      </c>
      <c r="H325" s="5">
        <f ca="1">OFFSET(F325,0,Brains!$D$1,1,1)</f>
        <v>24000</v>
      </c>
      <c r="I325" t="s">
        <v>1911</v>
      </c>
      <c r="J325" t="s">
        <v>1858</v>
      </c>
      <c r="K325" t="s">
        <v>1859</v>
      </c>
      <c r="L325" t="s">
        <v>1859</v>
      </c>
      <c r="M325" s="11" t="s">
        <v>3918</v>
      </c>
      <c r="N325" t="s">
        <v>1860</v>
      </c>
      <c r="O325" s="7" t="s">
        <v>3920</v>
      </c>
      <c r="P325" s="17" t="str">
        <f t="shared" ca="1" si="10"/>
        <v>15-29.9K</v>
      </c>
      <c r="Q325" s="17">
        <v>5</v>
      </c>
      <c r="R325">
        <v>3</v>
      </c>
      <c r="S325">
        <v>4</v>
      </c>
      <c r="T325">
        <v>1</v>
      </c>
      <c r="U325">
        <v>2</v>
      </c>
      <c r="V325" s="15">
        <f t="shared" ca="1" si="11"/>
        <v>2</v>
      </c>
    </row>
    <row r="326" spans="1:22">
      <c r="A326" t="s">
        <v>1218</v>
      </c>
      <c r="B326" s="1">
        <v>41061.244571759256</v>
      </c>
      <c r="C326" s="2">
        <v>17728.57</v>
      </c>
      <c r="D326">
        <v>17728</v>
      </c>
      <c r="E326" t="s">
        <v>1856</v>
      </c>
      <c r="F326" s="5">
        <v>17728</v>
      </c>
      <c r="G326" s="5">
        <v>17728</v>
      </c>
      <c r="H326" s="5">
        <f ca="1">OFFSET(F326,0,Brains!$D$1,1,1)</f>
        <v>17728</v>
      </c>
      <c r="I326" t="s">
        <v>2693</v>
      </c>
      <c r="J326" t="s">
        <v>1858</v>
      </c>
      <c r="K326" t="s">
        <v>2123</v>
      </c>
      <c r="L326" t="s">
        <v>2123</v>
      </c>
      <c r="M326" s="11" t="s">
        <v>3918</v>
      </c>
      <c r="N326" t="s">
        <v>1860</v>
      </c>
      <c r="O326" s="7" t="s">
        <v>3920</v>
      </c>
      <c r="P326" s="17" t="str">
        <f t="shared" ca="1" si="10"/>
        <v>15-29.9K</v>
      </c>
      <c r="Q326" s="17">
        <v>5</v>
      </c>
      <c r="R326">
        <v>3</v>
      </c>
      <c r="S326">
        <v>4</v>
      </c>
      <c r="T326">
        <v>1</v>
      </c>
      <c r="U326">
        <v>2</v>
      </c>
      <c r="V326" s="15">
        <f t="shared" ca="1" si="11"/>
        <v>2</v>
      </c>
    </row>
    <row r="327" spans="1:22">
      <c r="A327" t="s">
        <v>1024</v>
      </c>
      <c r="B327" s="1">
        <v>41059.721273148149</v>
      </c>
      <c r="C327" s="2" t="s">
        <v>1025</v>
      </c>
      <c r="D327">
        <v>720000</v>
      </c>
      <c r="E327" t="s">
        <v>1908</v>
      </c>
      <c r="F327" s="5">
        <v>12821.700014958649</v>
      </c>
      <c r="G327" s="5">
        <v>35853.002688975197</v>
      </c>
      <c r="H327" s="5">
        <f ca="1">OFFSET(F327,0,Brains!$D$1,1,1)</f>
        <v>35853.002688975197</v>
      </c>
      <c r="I327" t="s">
        <v>1026</v>
      </c>
      <c r="J327" t="s">
        <v>1858</v>
      </c>
      <c r="K327" t="s">
        <v>1859</v>
      </c>
      <c r="L327" t="s">
        <v>1859</v>
      </c>
      <c r="M327" s="11" t="s">
        <v>3918</v>
      </c>
      <c r="N327" t="s">
        <v>1860</v>
      </c>
      <c r="O327" s="7" t="s">
        <v>3920</v>
      </c>
      <c r="P327" s="17" t="str">
        <f t="shared" ca="1" si="10"/>
        <v>30-49.9K</v>
      </c>
      <c r="Q327" s="17">
        <v>5</v>
      </c>
      <c r="R327">
        <v>3</v>
      </c>
      <c r="S327">
        <v>4</v>
      </c>
      <c r="T327">
        <v>1</v>
      </c>
      <c r="U327">
        <v>2</v>
      </c>
      <c r="V327" s="15">
        <f t="shared" ca="1" si="11"/>
        <v>3</v>
      </c>
    </row>
    <row r="328" spans="1:22">
      <c r="A328" t="s">
        <v>3161</v>
      </c>
      <c r="B328" s="1">
        <v>41055.43246527778</v>
      </c>
      <c r="C328" s="2" t="s">
        <v>3162</v>
      </c>
      <c r="D328">
        <v>420000</v>
      </c>
      <c r="E328" t="s">
        <v>1908</v>
      </c>
      <c r="F328" s="5">
        <v>7479.3250087258784</v>
      </c>
      <c r="G328" s="5">
        <v>20914.251568568867</v>
      </c>
      <c r="H328" s="5">
        <f ca="1">OFFSET(F328,0,Brains!$D$1,1,1)</f>
        <v>20914.251568568867</v>
      </c>
      <c r="I328" t="s">
        <v>3163</v>
      </c>
      <c r="J328" t="s">
        <v>1858</v>
      </c>
      <c r="K328" t="s">
        <v>1859</v>
      </c>
      <c r="L328" t="s">
        <v>1859</v>
      </c>
      <c r="M328" s="11" t="s">
        <v>3918</v>
      </c>
      <c r="N328" t="s">
        <v>1860</v>
      </c>
      <c r="O328" s="7" t="s">
        <v>3920</v>
      </c>
      <c r="P328" s="17" t="str">
        <f t="shared" ca="1" si="10"/>
        <v>15-29.9K</v>
      </c>
      <c r="Q328" s="17">
        <v>5</v>
      </c>
      <c r="R328">
        <v>3</v>
      </c>
      <c r="S328">
        <v>4</v>
      </c>
      <c r="T328">
        <v>1</v>
      </c>
      <c r="U328">
        <v>2</v>
      </c>
      <c r="V328" s="15">
        <f t="shared" ca="1" si="11"/>
        <v>2</v>
      </c>
    </row>
    <row r="329" spans="1:22">
      <c r="A329" t="s">
        <v>91</v>
      </c>
      <c r="B329" s="1">
        <v>41057.500162037039</v>
      </c>
      <c r="C329" s="2">
        <v>3.65</v>
      </c>
      <c r="D329">
        <v>365000</v>
      </c>
      <c r="E329" t="s">
        <v>1908</v>
      </c>
      <c r="F329" s="5">
        <v>6499.8895909165376</v>
      </c>
      <c r="G329" s="5">
        <v>18175.480529827706</v>
      </c>
      <c r="H329" s="5">
        <f ca="1">OFFSET(F329,0,Brains!$D$1,1,1)</f>
        <v>18175.480529827706</v>
      </c>
      <c r="I329" t="s">
        <v>92</v>
      </c>
      <c r="J329" t="s">
        <v>1858</v>
      </c>
      <c r="K329" t="s">
        <v>1859</v>
      </c>
      <c r="L329" t="s">
        <v>1859</v>
      </c>
      <c r="M329" s="11" t="s">
        <v>3918</v>
      </c>
      <c r="N329" t="s">
        <v>1860</v>
      </c>
      <c r="O329" s="7" t="s">
        <v>3920</v>
      </c>
      <c r="P329" s="17" t="str">
        <f t="shared" ca="1" si="10"/>
        <v>15-29.9K</v>
      </c>
      <c r="Q329" s="17">
        <v>5</v>
      </c>
      <c r="R329">
        <v>3</v>
      </c>
      <c r="S329">
        <v>4</v>
      </c>
      <c r="T329">
        <v>1</v>
      </c>
      <c r="U329">
        <v>2</v>
      </c>
      <c r="V329" s="15">
        <f t="shared" ca="1" si="11"/>
        <v>2</v>
      </c>
    </row>
    <row r="330" spans="1:22">
      <c r="A330" t="s">
        <v>1828</v>
      </c>
      <c r="B330" s="1">
        <v>41080.537453703706</v>
      </c>
      <c r="C330" s="2">
        <v>180000</v>
      </c>
      <c r="D330">
        <v>180000</v>
      </c>
      <c r="E330" t="s">
        <v>1908</v>
      </c>
      <c r="F330" s="5">
        <v>3205.4250037396623</v>
      </c>
      <c r="G330" s="5">
        <v>8963.2506722437993</v>
      </c>
      <c r="H330" s="5">
        <f ca="1">OFFSET(F330,0,Brains!$D$1,1,1)</f>
        <v>8963.2506722437993</v>
      </c>
      <c r="I330" t="s">
        <v>1829</v>
      </c>
      <c r="J330" t="s">
        <v>1858</v>
      </c>
      <c r="K330" t="s">
        <v>1859</v>
      </c>
      <c r="L330" t="s">
        <v>1859</v>
      </c>
      <c r="M330" s="11" t="s">
        <v>3918</v>
      </c>
      <c r="N330" t="s">
        <v>1860</v>
      </c>
      <c r="O330" s="7" t="s">
        <v>3920</v>
      </c>
      <c r="P330" s="17" t="str">
        <f t="shared" ca="1" si="10"/>
        <v>0-14.9K</v>
      </c>
      <c r="Q330" s="17">
        <v>5</v>
      </c>
      <c r="R330">
        <v>3</v>
      </c>
      <c r="S330">
        <v>4</v>
      </c>
      <c r="T330">
        <v>1</v>
      </c>
      <c r="U330">
        <v>2</v>
      </c>
      <c r="V330" s="15">
        <f t="shared" ca="1" si="11"/>
        <v>1</v>
      </c>
    </row>
    <row r="331" spans="1:22">
      <c r="A331" t="s">
        <v>1238</v>
      </c>
      <c r="B331" s="1">
        <v>41061.543958333335</v>
      </c>
      <c r="C331" s="2">
        <v>44000</v>
      </c>
      <c r="D331">
        <v>44000</v>
      </c>
      <c r="E331" t="s">
        <v>1856</v>
      </c>
      <c r="F331" s="5">
        <v>44000</v>
      </c>
      <c r="G331" s="5">
        <v>44000</v>
      </c>
      <c r="H331" s="5">
        <f ca="1">OFFSET(F331,0,Brains!$D$1,1,1)</f>
        <v>44000</v>
      </c>
      <c r="I331" t="s">
        <v>1239</v>
      </c>
      <c r="J331" t="s">
        <v>1858</v>
      </c>
      <c r="K331" t="s">
        <v>1869</v>
      </c>
      <c r="L331" t="s">
        <v>1869</v>
      </c>
      <c r="M331" s="11" t="s">
        <v>3918</v>
      </c>
      <c r="N331" t="s">
        <v>1860</v>
      </c>
      <c r="O331" s="7" t="s">
        <v>3920</v>
      </c>
      <c r="P331" s="17" t="str">
        <f t="shared" ca="1" si="10"/>
        <v>30-49.9K</v>
      </c>
      <c r="Q331" s="17">
        <v>5</v>
      </c>
      <c r="R331">
        <v>3.5</v>
      </c>
      <c r="S331">
        <v>4</v>
      </c>
      <c r="T331">
        <v>1</v>
      </c>
      <c r="U331">
        <v>2</v>
      </c>
      <c r="V331" s="15">
        <f t="shared" ca="1" si="11"/>
        <v>3</v>
      </c>
    </row>
    <row r="332" spans="1:22">
      <c r="A332" t="s">
        <v>3874</v>
      </c>
      <c r="B332" s="1">
        <v>41057.100844907407</v>
      </c>
      <c r="C332" s="2">
        <v>75000</v>
      </c>
      <c r="D332">
        <v>75000</v>
      </c>
      <c r="E332" t="s">
        <v>1880</v>
      </c>
      <c r="F332" s="5">
        <v>95279.957924370581</v>
      </c>
      <c r="G332" s="5">
        <v>94214.950782109721</v>
      </c>
      <c r="H332" s="5">
        <f ca="1">OFFSET(F332,0,Brains!$D$1,1,1)</f>
        <v>94214.950782109721</v>
      </c>
      <c r="I332" t="s">
        <v>3875</v>
      </c>
      <c r="J332" t="s">
        <v>1858</v>
      </c>
      <c r="K332" t="s">
        <v>2998</v>
      </c>
      <c r="L332" t="s">
        <v>2998</v>
      </c>
      <c r="M332" s="11" t="s">
        <v>3918</v>
      </c>
      <c r="N332" t="s">
        <v>1860</v>
      </c>
      <c r="O332" s="7" t="s">
        <v>3920</v>
      </c>
      <c r="P332" s="17" t="str">
        <f t="shared" ca="1" si="10"/>
        <v>75-99.9K</v>
      </c>
      <c r="Q332" s="17">
        <v>5</v>
      </c>
      <c r="R332">
        <v>4</v>
      </c>
      <c r="S332">
        <v>4</v>
      </c>
      <c r="T332">
        <v>1</v>
      </c>
      <c r="U332">
        <v>2</v>
      </c>
      <c r="V332" s="15">
        <f t="shared" ca="1" si="11"/>
        <v>5</v>
      </c>
    </row>
    <row r="333" spans="1:22">
      <c r="A333" t="s">
        <v>385</v>
      </c>
      <c r="B333" s="1">
        <v>41057.934074074074</v>
      </c>
      <c r="C333" s="2" t="s">
        <v>386</v>
      </c>
      <c r="D333">
        <v>81600</v>
      </c>
      <c r="E333" t="s">
        <v>1856</v>
      </c>
      <c r="F333" s="5">
        <v>81600</v>
      </c>
      <c r="G333" s="5">
        <v>81600</v>
      </c>
      <c r="H333" s="5">
        <f ca="1">OFFSET(F333,0,Brains!$D$1,1,1)</f>
        <v>81600</v>
      </c>
      <c r="I333" t="s">
        <v>387</v>
      </c>
      <c r="J333" t="s">
        <v>1858</v>
      </c>
      <c r="K333" t="s">
        <v>1956</v>
      </c>
      <c r="L333" t="s">
        <v>1956</v>
      </c>
      <c r="M333" s="11" t="s">
        <v>3918</v>
      </c>
      <c r="N333" t="s">
        <v>1860</v>
      </c>
      <c r="O333" s="7" t="s">
        <v>3920</v>
      </c>
      <c r="P333" s="17" t="str">
        <f t="shared" ca="1" si="10"/>
        <v>75-99.9K</v>
      </c>
      <c r="Q333" s="17">
        <v>5</v>
      </c>
      <c r="R333">
        <v>4</v>
      </c>
      <c r="S333">
        <v>4</v>
      </c>
      <c r="T333">
        <v>1</v>
      </c>
      <c r="U333">
        <v>2</v>
      </c>
      <c r="V333" s="15">
        <f t="shared" ca="1" si="11"/>
        <v>5</v>
      </c>
    </row>
    <row r="334" spans="1:22">
      <c r="A334" t="s">
        <v>12</v>
      </c>
      <c r="B334" s="1">
        <v>41057.314918981479</v>
      </c>
      <c r="C334" s="2">
        <v>65000</v>
      </c>
      <c r="D334">
        <v>65000</v>
      </c>
      <c r="E334" t="s">
        <v>1973</v>
      </c>
      <c r="F334" s="5">
        <v>66294.12766617132</v>
      </c>
      <c r="G334" s="5">
        <v>41348.600508905853</v>
      </c>
      <c r="H334" s="5">
        <f ca="1">OFFSET(F334,0,Brains!$D$1,1,1)</f>
        <v>41348.600508905853</v>
      </c>
      <c r="I334" t="s">
        <v>2099</v>
      </c>
      <c r="J334" t="s">
        <v>1858</v>
      </c>
      <c r="K334" t="s">
        <v>1975</v>
      </c>
      <c r="L334" t="s">
        <v>1975</v>
      </c>
      <c r="M334" s="11" t="s">
        <v>3918</v>
      </c>
      <c r="N334" t="s">
        <v>1860</v>
      </c>
      <c r="O334" s="7" t="s">
        <v>3920</v>
      </c>
      <c r="P334" s="17" t="str">
        <f t="shared" ca="1" si="10"/>
        <v>30-49.9K</v>
      </c>
      <c r="Q334" s="17">
        <v>5</v>
      </c>
      <c r="R334">
        <v>4</v>
      </c>
      <c r="S334">
        <v>4</v>
      </c>
      <c r="T334">
        <v>1</v>
      </c>
      <c r="U334">
        <v>2</v>
      </c>
      <c r="V334" s="15">
        <f t="shared" ca="1" si="11"/>
        <v>3</v>
      </c>
    </row>
    <row r="335" spans="1:22">
      <c r="A335" t="s">
        <v>1807</v>
      </c>
      <c r="B335" s="1">
        <v>41079.879351851851</v>
      </c>
      <c r="C335" s="2">
        <v>62000</v>
      </c>
      <c r="D335">
        <v>62000</v>
      </c>
      <c r="E335" t="s">
        <v>1856</v>
      </c>
      <c r="F335" s="5">
        <v>62000</v>
      </c>
      <c r="G335" s="5">
        <v>62000</v>
      </c>
      <c r="H335" s="5">
        <f ca="1">OFFSET(F335,0,Brains!$D$1,1,1)</f>
        <v>62000</v>
      </c>
      <c r="I335" t="s">
        <v>1858</v>
      </c>
      <c r="J335" t="s">
        <v>1858</v>
      </c>
      <c r="K335" t="s">
        <v>1869</v>
      </c>
      <c r="L335" t="s">
        <v>1869</v>
      </c>
      <c r="M335" s="11" t="s">
        <v>3918</v>
      </c>
      <c r="N335" t="s">
        <v>1860</v>
      </c>
      <c r="O335" s="7" t="s">
        <v>3920</v>
      </c>
      <c r="P335" s="17" t="str">
        <f t="shared" ca="1" si="10"/>
        <v>50-74.9K</v>
      </c>
      <c r="Q335" s="17">
        <v>5</v>
      </c>
      <c r="R335">
        <v>4</v>
      </c>
      <c r="S335">
        <v>4</v>
      </c>
      <c r="T335">
        <v>1</v>
      </c>
      <c r="U335">
        <v>2</v>
      </c>
      <c r="V335" s="15">
        <f t="shared" ca="1" si="11"/>
        <v>4</v>
      </c>
    </row>
    <row r="336" spans="1:22">
      <c r="A336" t="s">
        <v>28</v>
      </c>
      <c r="B336" s="1">
        <v>41057.366423611114</v>
      </c>
      <c r="C336" s="2" t="s">
        <v>29</v>
      </c>
      <c r="D336">
        <v>52000</v>
      </c>
      <c r="E336" t="s">
        <v>1973</v>
      </c>
      <c r="F336" s="5">
        <v>53035.30213293706</v>
      </c>
      <c r="G336" s="5">
        <v>33078.880407124685</v>
      </c>
      <c r="H336" s="5">
        <f ca="1">OFFSET(F336,0,Brains!$D$1,1,1)</f>
        <v>33078.880407124685</v>
      </c>
      <c r="I336" t="s">
        <v>30</v>
      </c>
      <c r="J336" t="s">
        <v>1858</v>
      </c>
      <c r="K336" t="s">
        <v>1975</v>
      </c>
      <c r="L336" t="s">
        <v>1975</v>
      </c>
      <c r="M336" s="11" t="s">
        <v>3918</v>
      </c>
      <c r="N336" t="s">
        <v>1860</v>
      </c>
      <c r="O336" s="7" t="s">
        <v>3920</v>
      </c>
      <c r="P336" s="17" t="str">
        <f t="shared" ca="1" si="10"/>
        <v>30-49.9K</v>
      </c>
      <c r="Q336" s="17">
        <v>5</v>
      </c>
      <c r="R336">
        <v>4</v>
      </c>
      <c r="S336">
        <v>4</v>
      </c>
      <c r="T336">
        <v>1</v>
      </c>
      <c r="U336">
        <v>2</v>
      </c>
      <c r="V336" s="15">
        <f t="shared" ca="1" si="11"/>
        <v>3</v>
      </c>
    </row>
    <row r="337" spans="1:22">
      <c r="A337" t="s">
        <v>168</v>
      </c>
      <c r="B337" s="1">
        <v>41057.598229166666</v>
      </c>
      <c r="C337" s="2">
        <v>50000</v>
      </c>
      <c r="D337">
        <v>50000</v>
      </c>
      <c r="E337" t="s">
        <v>1973</v>
      </c>
      <c r="F337" s="5">
        <v>50995.482820131787</v>
      </c>
      <c r="G337" s="5">
        <v>31806.615776081428</v>
      </c>
      <c r="H337" s="5">
        <f ca="1">OFFSET(F337,0,Brains!$D$1,1,1)</f>
        <v>31806.615776081428</v>
      </c>
      <c r="I337" t="s">
        <v>169</v>
      </c>
      <c r="J337" t="s">
        <v>1858</v>
      </c>
      <c r="K337" t="s">
        <v>1975</v>
      </c>
      <c r="L337" t="s">
        <v>1975</v>
      </c>
      <c r="M337" s="11" t="s">
        <v>3918</v>
      </c>
      <c r="N337" t="s">
        <v>1860</v>
      </c>
      <c r="O337" s="7" t="s">
        <v>3920</v>
      </c>
      <c r="P337" s="17" t="str">
        <f t="shared" ca="1" si="10"/>
        <v>30-49.9K</v>
      </c>
      <c r="Q337" s="17">
        <v>5</v>
      </c>
      <c r="R337">
        <v>4</v>
      </c>
      <c r="S337">
        <v>4</v>
      </c>
      <c r="T337">
        <v>1</v>
      </c>
      <c r="U337">
        <v>2</v>
      </c>
      <c r="V337" s="15">
        <f t="shared" ca="1" si="11"/>
        <v>3</v>
      </c>
    </row>
    <row r="338" spans="1:22">
      <c r="A338" t="s">
        <v>3730</v>
      </c>
      <c r="B338" s="1">
        <v>41056.525717592594</v>
      </c>
      <c r="C338" s="2">
        <v>40000</v>
      </c>
      <c r="D338">
        <v>40000</v>
      </c>
      <c r="E338" t="s">
        <v>1880</v>
      </c>
      <c r="F338" s="5">
        <v>50815.977559664309</v>
      </c>
      <c r="G338" s="5">
        <v>50247.973750458514</v>
      </c>
      <c r="H338" s="5">
        <f ca="1">OFFSET(F338,0,Brains!$D$1,1,1)</f>
        <v>50247.973750458514</v>
      </c>
      <c r="I338" t="s">
        <v>3731</v>
      </c>
      <c r="J338" t="s">
        <v>1858</v>
      </c>
      <c r="K338" t="s">
        <v>2998</v>
      </c>
      <c r="L338" t="s">
        <v>2998</v>
      </c>
      <c r="M338" s="11" t="s">
        <v>3918</v>
      </c>
      <c r="N338" t="s">
        <v>1860</v>
      </c>
      <c r="O338" s="7" t="s">
        <v>3920</v>
      </c>
      <c r="P338" s="17" t="str">
        <f t="shared" ca="1" si="10"/>
        <v>50-74.9K</v>
      </c>
      <c r="Q338" s="17">
        <v>5</v>
      </c>
      <c r="R338">
        <v>4</v>
      </c>
      <c r="S338">
        <v>4</v>
      </c>
      <c r="T338">
        <v>1</v>
      </c>
      <c r="U338">
        <v>2</v>
      </c>
      <c r="V338" s="15">
        <f t="shared" ca="1" si="11"/>
        <v>4</v>
      </c>
    </row>
    <row r="339" spans="1:22">
      <c r="A339" t="s">
        <v>407</v>
      </c>
      <c r="B339" s="1">
        <v>41057.947777777779</v>
      </c>
      <c r="C339" s="2" t="s">
        <v>408</v>
      </c>
      <c r="D339">
        <v>32000</v>
      </c>
      <c r="E339" t="s">
        <v>1954</v>
      </c>
      <c r="F339" s="5">
        <v>50437.70470615309</v>
      </c>
      <c r="G339" s="5">
        <v>47477.744807121657</v>
      </c>
      <c r="H339" s="5">
        <f ca="1">OFFSET(F339,0,Brains!$D$1,1,1)</f>
        <v>47477.744807121657</v>
      </c>
      <c r="I339" t="s">
        <v>409</v>
      </c>
      <c r="J339" t="s">
        <v>1858</v>
      </c>
      <c r="K339" t="s">
        <v>1956</v>
      </c>
      <c r="L339" t="s">
        <v>1956</v>
      </c>
      <c r="M339" s="11" t="s">
        <v>3918</v>
      </c>
      <c r="N339" t="s">
        <v>1860</v>
      </c>
      <c r="O339" s="7" t="s">
        <v>3920</v>
      </c>
      <c r="P339" s="17" t="str">
        <f t="shared" ca="1" si="10"/>
        <v>30-49.9K</v>
      </c>
      <c r="Q339" s="17">
        <v>5</v>
      </c>
      <c r="R339">
        <v>4</v>
      </c>
      <c r="S339">
        <v>4</v>
      </c>
      <c r="T339">
        <v>1</v>
      </c>
      <c r="U339">
        <v>2</v>
      </c>
      <c r="V339" s="15">
        <f t="shared" ca="1" si="11"/>
        <v>3</v>
      </c>
    </row>
    <row r="340" spans="1:22">
      <c r="A340" t="s">
        <v>248</v>
      </c>
      <c r="B340" s="1">
        <v>41057.672118055554</v>
      </c>
      <c r="C340" s="2" t="s">
        <v>2071</v>
      </c>
      <c r="D340">
        <v>30000</v>
      </c>
      <c r="E340" t="s">
        <v>1954</v>
      </c>
      <c r="F340" s="5">
        <v>47285.348162018527</v>
      </c>
      <c r="G340" s="5">
        <v>44510.385756676558</v>
      </c>
      <c r="H340" s="5">
        <f ca="1">OFFSET(F340,0,Brains!$D$1,1,1)</f>
        <v>44510.385756676558</v>
      </c>
      <c r="I340" t="s">
        <v>2554</v>
      </c>
      <c r="J340" t="s">
        <v>1858</v>
      </c>
      <c r="K340" t="s">
        <v>1956</v>
      </c>
      <c r="L340" t="s">
        <v>1956</v>
      </c>
      <c r="M340" s="11" t="s">
        <v>3918</v>
      </c>
      <c r="N340" t="s">
        <v>1860</v>
      </c>
      <c r="O340" s="7" t="s">
        <v>3920</v>
      </c>
      <c r="P340" s="17" t="str">
        <f t="shared" ca="1" si="10"/>
        <v>30-49.9K</v>
      </c>
      <c r="Q340" s="17">
        <v>5</v>
      </c>
      <c r="R340">
        <v>4</v>
      </c>
      <c r="S340">
        <v>4</v>
      </c>
      <c r="T340">
        <v>1</v>
      </c>
      <c r="U340">
        <v>2</v>
      </c>
      <c r="V340" s="15">
        <f t="shared" ca="1" si="11"/>
        <v>3</v>
      </c>
    </row>
    <row r="341" spans="1:22">
      <c r="A341" t="s">
        <v>1627</v>
      </c>
      <c r="B341" s="1">
        <v>41072.365451388891</v>
      </c>
      <c r="C341" s="2">
        <v>45000</v>
      </c>
      <c r="D341">
        <v>45000</v>
      </c>
      <c r="E341" t="s">
        <v>1856</v>
      </c>
      <c r="F341" s="5">
        <v>45000</v>
      </c>
      <c r="G341" s="5">
        <v>45000</v>
      </c>
      <c r="H341" s="5">
        <f ca="1">OFFSET(F341,0,Brains!$D$1,1,1)</f>
        <v>45000</v>
      </c>
      <c r="I341" t="s">
        <v>1628</v>
      </c>
      <c r="J341" t="s">
        <v>1858</v>
      </c>
      <c r="K341" t="s">
        <v>1869</v>
      </c>
      <c r="L341" t="s">
        <v>1869</v>
      </c>
      <c r="M341" s="11" t="s">
        <v>3918</v>
      </c>
      <c r="N341" t="s">
        <v>1860</v>
      </c>
      <c r="O341" s="7" t="s">
        <v>3920</v>
      </c>
      <c r="P341" s="17" t="str">
        <f t="shared" ca="1" si="10"/>
        <v>30-49.9K</v>
      </c>
      <c r="Q341" s="17">
        <v>5</v>
      </c>
      <c r="R341">
        <v>4</v>
      </c>
      <c r="S341">
        <v>4</v>
      </c>
      <c r="T341">
        <v>1</v>
      </c>
      <c r="U341">
        <v>2</v>
      </c>
      <c r="V341" s="15">
        <f t="shared" ca="1" si="11"/>
        <v>3</v>
      </c>
    </row>
    <row r="342" spans="1:22">
      <c r="A342" t="s">
        <v>1514</v>
      </c>
      <c r="B342" s="1">
        <v>41067.992002314815</v>
      </c>
      <c r="C342" s="2">
        <v>36000</v>
      </c>
      <c r="D342">
        <v>36000</v>
      </c>
      <c r="E342" t="s">
        <v>1856</v>
      </c>
      <c r="F342" s="5">
        <v>36000</v>
      </c>
      <c r="G342" s="5">
        <v>36000</v>
      </c>
      <c r="H342" s="5">
        <f ca="1">OFFSET(F342,0,Brains!$D$1,1,1)</f>
        <v>36000</v>
      </c>
      <c r="I342" t="s">
        <v>2882</v>
      </c>
      <c r="J342" t="s">
        <v>1858</v>
      </c>
      <c r="K342" t="s">
        <v>1869</v>
      </c>
      <c r="L342" t="s">
        <v>1869</v>
      </c>
      <c r="M342" s="11" t="s">
        <v>3918</v>
      </c>
      <c r="N342" t="s">
        <v>1860</v>
      </c>
      <c r="O342" s="7" t="s">
        <v>3920</v>
      </c>
      <c r="P342" s="17" t="str">
        <f t="shared" ca="1" si="10"/>
        <v>30-49.9K</v>
      </c>
      <c r="Q342" s="17">
        <v>5</v>
      </c>
      <c r="R342">
        <v>4</v>
      </c>
      <c r="S342">
        <v>4</v>
      </c>
      <c r="T342">
        <v>1</v>
      </c>
      <c r="U342">
        <v>2</v>
      </c>
      <c r="V342" s="15">
        <f t="shared" ca="1" si="11"/>
        <v>3</v>
      </c>
    </row>
    <row r="343" spans="1:22">
      <c r="A343" t="s">
        <v>1529</v>
      </c>
      <c r="B343" s="1">
        <v>41068.344375000001</v>
      </c>
      <c r="C343" s="2">
        <v>31200</v>
      </c>
      <c r="D343">
        <v>31200</v>
      </c>
      <c r="E343" t="s">
        <v>1856</v>
      </c>
      <c r="F343" s="5">
        <v>31200</v>
      </c>
      <c r="G343" s="5">
        <v>31200</v>
      </c>
      <c r="H343" s="5">
        <f ca="1">OFFSET(F343,0,Brains!$D$1,1,1)</f>
        <v>31200</v>
      </c>
      <c r="I343" t="s">
        <v>3875</v>
      </c>
      <c r="J343" t="s">
        <v>1858</v>
      </c>
      <c r="K343" t="s">
        <v>2081</v>
      </c>
      <c r="L343" t="s">
        <v>2081</v>
      </c>
      <c r="M343" s="11" t="s">
        <v>3918</v>
      </c>
      <c r="N343" t="s">
        <v>1860</v>
      </c>
      <c r="O343" s="7" t="s">
        <v>3920</v>
      </c>
      <c r="P343" s="17" t="str">
        <f t="shared" ca="1" si="10"/>
        <v>30-49.9K</v>
      </c>
      <c r="Q343" s="17">
        <v>5</v>
      </c>
      <c r="R343">
        <v>4</v>
      </c>
      <c r="S343">
        <v>4</v>
      </c>
      <c r="T343">
        <v>1</v>
      </c>
      <c r="U343">
        <v>2</v>
      </c>
      <c r="V343" s="15">
        <f t="shared" ca="1" si="11"/>
        <v>3</v>
      </c>
    </row>
    <row r="344" spans="1:22">
      <c r="A344" t="s">
        <v>3826</v>
      </c>
      <c r="B344" s="1">
        <v>41056.906006944446</v>
      </c>
      <c r="C344" s="2" t="s">
        <v>2955</v>
      </c>
      <c r="D344">
        <v>15000</v>
      </c>
      <c r="E344" t="s">
        <v>1880</v>
      </c>
      <c r="F344" s="5">
        <v>19055.991584874118</v>
      </c>
      <c r="G344" s="5">
        <v>18842.990156421944</v>
      </c>
      <c r="H344" s="5">
        <f ca="1">OFFSET(F344,0,Brains!$D$1,1,1)</f>
        <v>18842.990156421944</v>
      </c>
      <c r="I344" t="s">
        <v>3827</v>
      </c>
      <c r="J344" t="s">
        <v>1858</v>
      </c>
      <c r="K344" t="s">
        <v>3828</v>
      </c>
      <c r="L344" t="s">
        <v>3828</v>
      </c>
      <c r="M344" s="11" t="s">
        <v>3918</v>
      </c>
      <c r="N344" t="s">
        <v>1860</v>
      </c>
      <c r="O344" s="7" t="s">
        <v>3920</v>
      </c>
      <c r="P344" s="17" t="str">
        <f t="shared" ca="1" si="10"/>
        <v>15-29.9K</v>
      </c>
      <c r="Q344" s="17">
        <v>5</v>
      </c>
      <c r="R344">
        <v>4</v>
      </c>
      <c r="S344">
        <v>4</v>
      </c>
      <c r="T344">
        <v>1</v>
      </c>
      <c r="U344">
        <v>2</v>
      </c>
      <c r="V344" s="15">
        <f t="shared" ca="1" si="11"/>
        <v>2</v>
      </c>
    </row>
    <row r="345" spans="1:22">
      <c r="A345" t="s">
        <v>966</v>
      </c>
      <c r="B345" s="1">
        <v>41059.524398148147</v>
      </c>
      <c r="C345" s="2" t="s">
        <v>967</v>
      </c>
      <c r="D345">
        <v>900000</v>
      </c>
      <c r="E345" t="s">
        <v>1908</v>
      </c>
      <c r="F345" s="5">
        <v>16027.125018698311</v>
      </c>
      <c r="G345" s="5">
        <v>44816.253361219002</v>
      </c>
      <c r="H345" s="5">
        <f ca="1">OFFSET(F345,0,Brains!$D$1,1,1)</f>
        <v>44816.253361219002</v>
      </c>
      <c r="I345" t="s">
        <v>2099</v>
      </c>
      <c r="J345" t="s">
        <v>1858</v>
      </c>
      <c r="K345" t="s">
        <v>1859</v>
      </c>
      <c r="L345" t="s">
        <v>1859</v>
      </c>
      <c r="M345" s="11" t="s">
        <v>3918</v>
      </c>
      <c r="N345" t="s">
        <v>1860</v>
      </c>
      <c r="O345" s="7" t="s">
        <v>3920</v>
      </c>
      <c r="P345" s="17" t="str">
        <f t="shared" ca="1" si="10"/>
        <v>30-49.9K</v>
      </c>
      <c r="Q345" s="17">
        <v>5</v>
      </c>
      <c r="R345">
        <v>4</v>
      </c>
      <c r="S345">
        <v>4</v>
      </c>
      <c r="T345">
        <v>1</v>
      </c>
      <c r="U345">
        <v>2</v>
      </c>
      <c r="V345" s="15">
        <f t="shared" ca="1" si="11"/>
        <v>3</v>
      </c>
    </row>
    <row r="346" spans="1:22">
      <c r="A346" t="s">
        <v>1469</v>
      </c>
      <c r="B346" s="1">
        <v>41066.66920138889</v>
      </c>
      <c r="C346" s="2">
        <v>500000</v>
      </c>
      <c r="D346">
        <v>500000</v>
      </c>
      <c r="E346" t="s">
        <v>1908</v>
      </c>
      <c r="F346" s="5">
        <v>8903.9583437212841</v>
      </c>
      <c r="G346" s="5">
        <v>24897.918534010558</v>
      </c>
      <c r="H346" s="5">
        <f ca="1">OFFSET(F346,0,Brains!$D$1,1,1)</f>
        <v>24897.918534010558</v>
      </c>
      <c r="I346" t="s">
        <v>2264</v>
      </c>
      <c r="J346" t="s">
        <v>1858</v>
      </c>
      <c r="K346" t="s">
        <v>1859</v>
      </c>
      <c r="L346" t="s">
        <v>1859</v>
      </c>
      <c r="M346" s="11" t="s">
        <v>3918</v>
      </c>
      <c r="N346" t="s">
        <v>1860</v>
      </c>
      <c r="O346" s="7" t="s">
        <v>3920</v>
      </c>
      <c r="P346" s="17" t="str">
        <f t="shared" ca="1" si="10"/>
        <v>15-29.9K</v>
      </c>
      <c r="Q346" s="17">
        <v>5</v>
      </c>
      <c r="R346">
        <v>4</v>
      </c>
      <c r="S346">
        <v>4</v>
      </c>
      <c r="T346">
        <v>1</v>
      </c>
      <c r="U346">
        <v>2</v>
      </c>
      <c r="V346" s="15">
        <f t="shared" ca="1" si="11"/>
        <v>2</v>
      </c>
    </row>
    <row r="347" spans="1:22">
      <c r="A347" t="s">
        <v>3357</v>
      </c>
      <c r="B347" s="1">
        <v>41055.590868055559</v>
      </c>
      <c r="C347" s="2" t="s">
        <v>3358</v>
      </c>
      <c r="D347">
        <v>480000</v>
      </c>
      <c r="E347" t="s">
        <v>1908</v>
      </c>
      <c r="F347" s="5">
        <v>8547.8000099724322</v>
      </c>
      <c r="G347" s="5">
        <v>23902.001792650135</v>
      </c>
      <c r="H347" s="5">
        <f ca="1">OFFSET(F347,0,Brains!$D$1,1,1)</f>
        <v>23902.001792650135</v>
      </c>
      <c r="I347" t="s">
        <v>2195</v>
      </c>
      <c r="J347" t="s">
        <v>1858</v>
      </c>
      <c r="K347" t="s">
        <v>1859</v>
      </c>
      <c r="L347" t="s">
        <v>1859</v>
      </c>
      <c r="M347" s="11" t="s">
        <v>3918</v>
      </c>
      <c r="N347" t="s">
        <v>1860</v>
      </c>
      <c r="O347" s="7" t="s">
        <v>3920</v>
      </c>
      <c r="P347" s="17" t="str">
        <f t="shared" ca="1" si="10"/>
        <v>15-29.9K</v>
      </c>
      <c r="Q347" s="17">
        <v>5</v>
      </c>
      <c r="R347">
        <v>4</v>
      </c>
      <c r="S347">
        <v>4</v>
      </c>
      <c r="T347">
        <v>1</v>
      </c>
      <c r="U347">
        <v>2</v>
      </c>
      <c r="V347" s="15">
        <f t="shared" ca="1" si="11"/>
        <v>2</v>
      </c>
    </row>
    <row r="348" spans="1:22">
      <c r="A348" t="s">
        <v>1502</v>
      </c>
      <c r="B348" s="1">
        <v>41067.697928240741</v>
      </c>
      <c r="C348" s="2">
        <v>421000</v>
      </c>
      <c r="D348">
        <v>421000</v>
      </c>
      <c r="E348" t="s">
        <v>1908</v>
      </c>
      <c r="F348" s="5">
        <v>7497.1329254133216</v>
      </c>
      <c r="G348" s="5">
        <v>20964.047405636888</v>
      </c>
      <c r="H348" s="5">
        <f ca="1">OFFSET(F348,0,Brains!$D$1,1,1)</f>
        <v>20964.047405636888</v>
      </c>
      <c r="I348" t="s">
        <v>1503</v>
      </c>
      <c r="J348" t="s">
        <v>1858</v>
      </c>
      <c r="K348" t="s">
        <v>1859</v>
      </c>
      <c r="L348" t="s">
        <v>1859</v>
      </c>
      <c r="M348" s="11" t="s">
        <v>3918</v>
      </c>
      <c r="N348" t="s">
        <v>1860</v>
      </c>
      <c r="O348" s="7" t="s">
        <v>3920</v>
      </c>
      <c r="P348" s="17" t="str">
        <f t="shared" ca="1" si="10"/>
        <v>15-29.9K</v>
      </c>
      <c r="Q348" s="17">
        <v>5</v>
      </c>
      <c r="R348">
        <v>4</v>
      </c>
      <c r="S348">
        <v>4</v>
      </c>
      <c r="T348">
        <v>1</v>
      </c>
      <c r="U348">
        <v>2</v>
      </c>
      <c r="V348" s="15">
        <f t="shared" ca="1" si="11"/>
        <v>2</v>
      </c>
    </row>
    <row r="349" spans="1:22">
      <c r="A349" t="s">
        <v>1446</v>
      </c>
      <c r="B349" s="1">
        <v>41066.044849537036</v>
      </c>
      <c r="C349" s="2" t="s">
        <v>1447</v>
      </c>
      <c r="D349">
        <v>400000</v>
      </c>
      <c r="E349" t="s">
        <v>1908</v>
      </c>
      <c r="F349" s="5">
        <v>7123.1666749770275</v>
      </c>
      <c r="G349" s="5">
        <v>19918.334827208444</v>
      </c>
      <c r="H349" s="5">
        <f ca="1">OFFSET(F349,0,Brains!$D$1,1,1)</f>
        <v>19918.334827208444</v>
      </c>
      <c r="I349" t="s">
        <v>1858</v>
      </c>
      <c r="J349" t="s">
        <v>1858</v>
      </c>
      <c r="K349" t="s">
        <v>1859</v>
      </c>
      <c r="L349" t="s">
        <v>1859</v>
      </c>
      <c r="M349" s="11" t="s">
        <v>3918</v>
      </c>
      <c r="N349" t="s">
        <v>1860</v>
      </c>
      <c r="O349" s="7" t="s">
        <v>3920</v>
      </c>
      <c r="P349" s="17" t="str">
        <f t="shared" ca="1" si="10"/>
        <v>15-29.9K</v>
      </c>
      <c r="Q349" s="17">
        <v>5</v>
      </c>
      <c r="R349">
        <v>4</v>
      </c>
      <c r="S349">
        <v>4</v>
      </c>
      <c r="T349">
        <v>1</v>
      </c>
      <c r="U349">
        <v>2</v>
      </c>
      <c r="V349" s="15">
        <f t="shared" ca="1" si="11"/>
        <v>2</v>
      </c>
    </row>
    <row r="350" spans="1:22">
      <c r="A350" t="s">
        <v>1520</v>
      </c>
      <c r="B350" s="1">
        <v>41068.103298611109</v>
      </c>
      <c r="C350" s="2" t="s">
        <v>1521</v>
      </c>
      <c r="D350">
        <v>258000</v>
      </c>
      <c r="E350" t="s">
        <v>1908</v>
      </c>
      <c r="F350" s="5">
        <v>4594.4425053601826</v>
      </c>
      <c r="G350" s="5">
        <v>12847.325963549447</v>
      </c>
      <c r="H350" s="5">
        <f ca="1">OFFSET(F350,0,Brains!$D$1,1,1)</f>
        <v>12847.325963549447</v>
      </c>
      <c r="I350" t="s">
        <v>1522</v>
      </c>
      <c r="J350" t="s">
        <v>1858</v>
      </c>
      <c r="K350" t="s">
        <v>1859</v>
      </c>
      <c r="L350" t="s">
        <v>1859</v>
      </c>
      <c r="M350" s="11" t="s">
        <v>3918</v>
      </c>
      <c r="N350" t="s">
        <v>1860</v>
      </c>
      <c r="O350" s="7" t="s">
        <v>3920</v>
      </c>
      <c r="P350" s="17" t="str">
        <f t="shared" ca="1" si="10"/>
        <v>0-14.9K</v>
      </c>
      <c r="Q350" s="17">
        <v>5</v>
      </c>
      <c r="R350">
        <v>4</v>
      </c>
      <c r="S350">
        <v>4</v>
      </c>
      <c r="T350">
        <v>1</v>
      </c>
      <c r="U350">
        <v>2</v>
      </c>
      <c r="V350" s="15">
        <f t="shared" ca="1" si="11"/>
        <v>1</v>
      </c>
    </row>
    <row r="351" spans="1:22">
      <c r="A351" t="s">
        <v>768</v>
      </c>
      <c r="B351" s="1">
        <v>41058.741712962961</v>
      </c>
      <c r="C351" s="2">
        <v>49500</v>
      </c>
      <c r="D351">
        <v>49500</v>
      </c>
      <c r="E351" t="s">
        <v>1856</v>
      </c>
      <c r="F351" s="5">
        <v>49500</v>
      </c>
      <c r="G351" s="5">
        <v>49500</v>
      </c>
      <c r="H351" s="5">
        <f ca="1">OFFSET(F351,0,Brains!$D$1,1,1)</f>
        <v>49500</v>
      </c>
      <c r="I351" t="s">
        <v>2039</v>
      </c>
      <c r="J351" t="s">
        <v>1858</v>
      </c>
      <c r="K351" t="s">
        <v>1869</v>
      </c>
      <c r="L351" t="s">
        <v>1869</v>
      </c>
      <c r="M351" s="11" t="s">
        <v>3918</v>
      </c>
      <c r="N351" t="s">
        <v>1860</v>
      </c>
      <c r="O351" s="7" t="s">
        <v>3920</v>
      </c>
      <c r="P351" s="17" t="str">
        <f t="shared" ca="1" si="10"/>
        <v>30-49.9K</v>
      </c>
      <c r="Q351" s="17">
        <v>5</v>
      </c>
      <c r="R351">
        <v>4.5</v>
      </c>
      <c r="S351">
        <v>4</v>
      </c>
      <c r="T351">
        <v>1</v>
      </c>
      <c r="U351">
        <v>2</v>
      </c>
      <c r="V351" s="15">
        <f t="shared" ca="1" si="11"/>
        <v>3</v>
      </c>
    </row>
    <row r="352" spans="1:22">
      <c r="A352" t="s">
        <v>3288</v>
      </c>
      <c r="B352" s="1">
        <v>41055.541122685187</v>
      </c>
      <c r="C352" s="2">
        <v>10200</v>
      </c>
      <c r="D352">
        <v>10200</v>
      </c>
      <c r="E352" t="s">
        <v>1856</v>
      </c>
      <c r="F352" s="5">
        <v>10200</v>
      </c>
      <c r="G352" s="5">
        <v>10200</v>
      </c>
      <c r="H352" s="5">
        <f ca="1">OFFSET(F352,0,Brains!$D$1,1,1)</f>
        <v>10200</v>
      </c>
      <c r="I352" t="s">
        <v>1911</v>
      </c>
      <c r="J352" t="s">
        <v>1858</v>
      </c>
      <c r="K352" t="s">
        <v>1859</v>
      </c>
      <c r="L352" t="s">
        <v>1859</v>
      </c>
      <c r="M352" s="11" t="s">
        <v>3918</v>
      </c>
      <c r="N352" t="s">
        <v>1860</v>
      </c>
      <c r="O352" s="7" t="s">
        <v>3920</v>
      </c>
      <c r="P352" s="17" t="str">
        <f t="shared" ca="1" si="10"/>
        <v>0-14.9K</v>
      </c>
      <c r="Q352" s="17">
        <v>5</v>
      </c>
      <c r="R352">
        <v>4.5</v>
      </c>
      <c r="S352">
        <v>4</v>
      </c>
      <c r="T352">
        <v>1</v>
      </c>
      <c r="U352">
        <v>2</v>
      </c>
      <c r="V352" s="15">
        <f t="shared" ca="1" si="11"/>
        <v>1</v>
      </c>
    </row>
    <row r="353" spans="1:22">
      <c r="A353" t="s">
        <v>3263</v>
      </c>
      <c r="B353" s="1">
        <v>41055.523472222223</v>
      </c>
      <c r="C353" s="2" t="s">
        <v>3213</v>
      </c>
      <c r="D353">
        <v>300000</v>
      </c>
      <c r="E353" t="s">
        <v>1908</v>
      </c>
      <c r="F353" s="5">
        <v>5342.3750062327708</v>
      </c>
      <c r="G353" s="5">
        <v>14938.751120406334</v>
      </c>
      <c r="H353" s="5">
        <f ca="1">OFFSET(F353,0,Brains!$D$1,1,1)</f>
        <v>14938.751120406334</v>
      </c>
      <c r="I353" t="s">
        <v>3264</v>
      </c>
      <c r="J353" t="s">
        <v>1858</v>
      </c>
      <c r="K353" t="s">
        <v>1859</v>
      </c>
      <c r="L353" t="s">
        <v>1859</v>
      </c>
      <c r="M353" s="11" t="s">
        <v>3918</v>
      </c>
      <c r="N353" t="s">
        <v>1860</v>
      </c>
      <c r="O353" s="7" t="s">
        <v>3920</v>
      </c>
      <c r="P353" s="17" t="str">
        <f t="shared" ca="1" si="10"/>
        <v>0-14.9K</v>
      </c>
      <c r="Q353" s="17">
        <v>5</v>
      </c>
      <c r="R353">
        <v>4.5</v>
      </c>
      <c r="S353">
        <v>4</v>
      </c>
      <c r="T353">
        <v>1</v>
      </c>
      <c r="U353">
        <v>2</v>
      </c>
      <c r="V353" s="15">
        <f t="shared" ca="1" si="11"/>
        <v>1</v>
      </c>
    </row>
    <row r="354" spans="1:22">
      <c r="A354" t="s">
        <v>3153</v>
      </c>
      <c r="B354" s="1">
        <v>41055.410960648151</v>
      </c>
      <c r="C354" s="2">
        <v>160000</v>
      </c>
      <c r="D354">
        <v>160000</v>
      </c>
      <c r="E354" t="s">
        <v>1856</v>
      </c>
      <c r="F354" s="5">
        <v>160000</v>
      </c>
      <c r="G354" s="5">
        <v>160000</v>
      </c>
      <c r="H354" s="5">
        <f ca="1">OFFSET(F354,0,Brains!$D$1,1,1)</f>
        <v>160000</v>
      </c>
      <c r="I354" t="s">
        <v>3154</v>
      </c>
      <c r="J354" t="s">
        <v>1858</v>
      </c>
      <c r="K354" t="s">
        <v>1869</v>
      </c>
      <c r="L354" t="s">
        <v>1869</v>
      </c>
      <c r="M354" s="11" t="s">
        <v>3918</v>
      </c>
      <c r="N354" t="s">
        <v>1860</v>
      </c>
      <c r="O354" s="7" t="s">
        <v>3920</v>
      </c>
      <c r="P354" s="17" t="str">
        <f t="shared" ca="1" si="10"/>
        <v>150-249.9K</v>
      </c>
      <c r="Q354" s="17">
        <v>5</v>
      </c>
      <c r="R354">
        <v>5</v>
      </c>
      <c r="S354">
        <v>4</v>
      </c>
      <c r="T354">
        <v>1</v>
      </c>
      <c r="U354">
        <v>2</v>
      </c>
      <c r="V354" s="15">
        <f t="shared" ca="1" si="11"/>
        <v>7</v>
      </c>
    </row>
    <row r="355" spans="1:22">
      <c r="A355" t="s">
        <v>38</v>
      </c>
      <c r="B355" s="1">
        <v>41057.393171296295</v>
      </c>
      <c r="C355" s="2">
        <v>120000</v>
      </c>
      <c r="D355">
        <v>120000</v>
      </c>
      <c r="E355" t="s">
        <v>1973</v>
      </c>
      <c r="F355" s="5">
        <v>122389.15876831629</v>
      </c>
      <c r="G355" s="5">
        <v>76335.877862595429</v>
      </c>
      <c r="H355" s="5">
        <f ca="1">OFFSET(F355,0,Brains!$D$1,1,1)</f>
        <v>76335.877862595429</v>
      </c>
      <c r="I355" t="s">
        <v>39</v>
      </c>
      <c r="J355" t="s">
        <v>1858</v>
      </c>
      <c r="K355" t="s">
        <v>1975</v>
      </c>
      <c r="L355" t="s">
        <v>1975</v>
      </c>
      <c r="M355" s="11" t="s">
        <v>3918</v>
      </c>
      <c r="N355" t="s">
        <v>1860</v>
      </c>
      <c r="O355" s="7" t="s">
        <v>3920</v>
      </c>
      <c r="P355" s="17" t="str">
        <f t="shared" ca="1" si="10"/>
        <v>75-99.9K</v>
      </c>
      <c r="Q355" s="17">
        <v>5</v>
      </c>
      <c r="R355">
        <v>5</v>
      </c>
      <c r="S355">
        <v>4</v>
      </c>
      <c r="T355">
        <v>1</v>
      </c>
      <c r="U355">
        <v>2</v>
      </c>
      <c r="V355" s="15">
        <f t="shared" ca="1" si="11"/>
        <v>5</v>
      </c>
    </row>
    <row r="356" spans="1:22">
      <c r="A356" t="s">
        <v>957</v>
      </c>
      <c r="B356" s="1">
        <v>41059.456689814811</v>
      </c>
      <c r="C356" s="2">
        <v>8500</v>
      </c>
      <c r="D356">
        <v>102000</v>
      </c>
      <c r="E356" t="s">
        <v>1856</v>
      </c>
      <c r="F356" s="5">
        <v>102000</v>
      </c>
      <c r="G356" s="5">
        <v>102000</v>
      </c>
      <c r="H356" s="5">
        <f ca="1">OFFSET(F356,0,Brains!$D$1,1,1)</f>
        <v>102000</v>
      </c>
      <c r="I356" t="s">
        <v>2022</v>
      </c>
      <c r="J356" t="s">
        <v>1858</v>
      </c>
      <c r="K356" t="s">
        <v>1869</v>
      </c>
      <c r="L356" t="s">
        <v>1869</v>
      </c>
      <c r="M356" s="11" t="s">
        <v>3918</v>
      </c>
      <c r="N356" t="s">
        <v>1860</v>
      </c>
      <c r="O356" s="7" t="s">
        <v>3920</v>
      </c>
      <c r="P356" s="17" t="str">
        <f t="shared" ca="1" si="10"/>
        <v>100-149.9K</v>
      </c>
      <c r="Q356" s="17">
        <v>5</v>
      </c>
      <c r="R356">
        <v>5</v>
      </c>
      <c r="S356">
        <v>4</v>
      </c>
      <c r="T356">
        <v>1</v>
      </c>
      <c r="U356">
        <v>2</v>
      </c>
      <c r="V356" s="15">
        <f t="shared" ca="1" si="11"/>
        <v>6</v>
      </c>
    </row>
    <row r="357" spans="1:22">
      <c r="A357" t="s">
        <v>1316</v>
      </c>
      <c r="B357" s="1">
        <v>41063.088009259256</v>
      </c>
      <c r="C357" s="2" t="s">
        <v>2435</v>
      </c>
      <c r="D357">
        <v>60000</v>
      </c>
      <c r="E357" t="s">
        <v>1954</v>
      </c>
      <c r="F357" s="5">
        <v>94570.696324037053</v>
      </c>
      <c r="G357" s="5">
        <v>89020.771513353116</v>
      </c>
      <c r="H357" s="5">
        <f ca="1">OFFSET(F357,0,Brains!$D$1,1,1)</f>
        <v>89020.771513353116</v>
      </c>
      <c r="I357" t="s">
        <v>2099</v>
      </c>
      <c r="J357" t="s">
        <v>1858</v>
      </c>
      <c r="K357" t="s">
        <v>1956</v>
      </c>
      <c r="L357" t="s">
        <v>1956</v>
      </c>
      <c r="M357" s="11" t="s">
        <v>3918</v>
      </c>
      <c r="N357" t="s">
        <v>1860</v>
      </c>
      <c r="O357" s="7" t="s">
        <v>3920</v>
      </c>
      <c r="P357" s="17" t="str">
        <f t="shared" ca="1" si="10"/>
        <v>75-99.9K</v>
      </c>
      <c r="Q357" s="17">
        <v>5</v>
      </c>
      <c r="R357">
        <v>5</v>
      </c>
      <c r="S357">
        <v>4</v>
      </c>
      <c r="T357">
        <v>1</v>
      </c>
      <c r="U357">
        <v>2</v>
      </c>
      <c r="V357" s="15">
        <f t="shared" ca="1" si="11"/>
        <v>5</v>
      </c>
    </row>
    <row r="358" spans="1:22">
      <c r="A358" t="s">
        <v>598</v>
      </c>
      <c r="B358" s="1">
        <v>41058.361828703702</v>
      </c>
      <c r="C358" s="2">
        <v>90000</v>
      </c>
      <c r="D358">
        <v>90000</v>
      </c>
      <c r="E358" t="s">
        <v>1973</v>
      </c>
      <c r="F358" s="5">
        <v>91791.869076237213</v>
      </c>
      <c r="G358" s="5">
        <v>57251.908396946565</v>
      </c>
      <c r="H358" s="5">
        <f ca="1">OFFSET(F358,0,Brains!$D$1,1,1)</f>
        <v>57251.908396946565</v>
      </c>
      <c r="I358" t="s">
        <v>2195</v>
      </c>
      <c r="J358" t="s">
        <v>1858</v>
      </c>
      <c r="K358" t="s">
        <v>1975</v>
      </c>
      <c r="L358" t="s">
        <v>1975</v>
      </c>
      <c r="M358" s="11" t="s">
        <v>3918</v>
      </c>
      <c r="N358" t="s">
        <v>1860</v>
      </c>
      <c r="O358" s="7" t="s">
        <v>3920</v>
      </c>
      <c r="P358" s="17" t="str">
        <f t="shared" ca="1" si="10"/>
        <v>50-74.9K</v>
      </c>
      <c r="Q358" s="17">
        <v>5</v>
      </c>
      <c r="R358">
        <v>5</v>
      </c>
      <c r="S358">
        <v>4</v>
      </c>
      <c r="T358">
        <v>1</v>
      </c>
      <c r="U358">
        <v>2</v>
      </c>
      <c r="V358" s="15">
        <f t="shared" ca="1" si="11"/>
        <v>4</v>
      </c>
    </row>
    <row r="359" spans="1:22">
      <c r="A359" t="s">
        <v>565</v>
      </c>
      <c r="B359" s="1">
        <v>41058.214548611111</v>
      </c>
      <c r="C359" s="2" t="s">
        <v>566</v>
      </c>
      <c r="D359">
        <v>85000</v>
      </c>
      <c r="E359" t="s">
        <v>1856</v>
      </c>
      <c r="F359" s="5">
        <v>85000</v>
      </c>
      <c r="G359" s="5">
        <v>85000</v>
      </c>
      <c r="H359" s="5">
        <f ca="1">OFFSET(F359,0,Brains!$D$1,1,1)</f>
        <v>85000</v>
      </c>
      <c r="I359" t="s">
        <v>567</v>
      </c>
      <c r="J359" t="s">
        <v>1858</v>
      </c>
      <c r="K359" t="s">
        <v>1869</v>
      </c>
      <c r="L359" t="s">
        <v>1869</v>
      </c>
      <c r="M359" s="11" t="s">
        <v>3918</v>
      </c>
      <c r="N359" t="s">
        <v>1860</v>
      </c>
      <c r="O359" s="7" t="s">
        <v>3920</v>
      </c>
      <c r="P359" s="17" t="str">
        <f t="shared" ca="1" si="10"/>
        <v>75-99.9K</v>
      </c>
      <c r="Q359" s="17">
        <v>5</v>
      </c>
      <c r="R359">
        <v>5</v>
      </c>
      <c r="S359">
        <v>4</v>
      </c>
      <c r="T359">
        <v>1</v>
      </c>
      <c r="U359">
        <v>2</v>
      </c>
      <c r="V359" s="15">
        <f t="shared" ca="1" si="11"/>
        <v>5</v>
      </c>
    </row>
    <row r="360" spans="1:22">
      <c r="A360" t="s">
        <v>3131</v>
      </c>
      <c r="B360" s="1">
        <v>41055.364976851852</v>
      </c>
      <c r="C360" s="2">
        <v>75000</v>
      </c>
      <c r="D360">
        <v>75000</v>
      </c>
      <c r="E360" t="s">
        <v>1856</v>
      </c>
      <c r="F360" s="5">
        <v>75000</v>
      </c>
      <c r="G360" s="5">
        <v>75000</v>
      </c>
      <c r="H360" s="5">
        <f ca="1">OFFSET(F360,0,Brains!$D$1,1,1)</f>
        <v>75000</v>
      </c>
      <c r="I360" t="s">
        <v>1868</v>
      </c>
      <c r="J360" t="s">
        <v>1858</v>
      </c>
      <c r="K360" t="s">
        <v>1869</v>
      </c>
      <c r="L360" t="s">
        <v>1869</v>
      </c>
      <c r="M360" s="11" t="s">
        <v>3918</v>
      </c>
      <c r="N360" t="s">
        <v>1860</v>
      </c>
      <c r="O360" s="7" t="s">
        <v>3920</v>
      </c>
      <c r="P360" s="17" t="str">
        <f t="shared" ca="1" si="10"/>
        <v>75-99.9K</v>
      </c>
      <c r="Q360" s="17">
        <v>5</v>
      </c>
      <c r="R360">
        <v>5</v>
      </c>
      <c r="S360">
        <v>4</v>
      </c>
      <c r="T360">
        <v>1</v>
      </c>
      <c r="U360">
        <v>2</v>
      </c>
      <c r="V360" s="15">
        <f t="shared" ca="1" si="11"/>
        <v>5</v>
      </c>
    </row>
    <row r="361" spans="1:22">
      <c r="A361" t="s">
        <v>1183</v>
      </c>
      <c r="B361" s="1">
        <v>41060.96402777778</v>
      </c>
      <c r="C361" s="2">
        <v>71500</v>
      </c>
      <c r="D361">
        <v>71500</v>
      </c>
      <c r="E361" t="s">
        <v>1856</v>
      </c>
      <c r="F361" s="5">
        <v>71500</v>
      </c>
      <c r="G361" s="5">
        <v>71500</v>
      </c>
      <c r="H361" s="5">
        <f ca="1">OFFSET(F361,0,Brains!$D$1,1,1)</f>
        <v>71500</v>
      </c>
      <c r="I361" t="s">
        <v>1184</v>
      </c>
      <c r="J361" t="s">
        <v>1858</v>
      </c>
      <c r="K361" t="s">
        <v>1869</v>
      </c>
      <c r="L361" t="s">
        <v>1869</v>
      </c>
      <c r="M361" s="11" t="s">
        <v>3918</v>
      </c>
      <c r="N361" t="s">
        <v>1860</v>
      </c>
      <c r="O361" s="7" t="s">
        <v>3920</v>
      </c>
      <c r="P361" s="17" t="str">
        <f t="shared" ca="1" si="10"/>
        <v>50-74.9K</v>
      </c>
      <c r="Q361" s="17">
        <v>5</v>
      </c>
      <c r="R361">
        <v>5</v>
      </c>
      <c r="S361">
        <v>4</v>
      </c>
      <c r="T361">
        <v>1</v>
      </c>
      <c r="U361">
        <v>2</v>
      </c>
      <c r="V361" s="15">
        <f t="shared" ca="1" si="11"/>
        <v>4</v>
      </c>
    </row>
    <row r="362" spans="1:22">
      <c r="A362" t="s">
        <v>1508</v>
      </c>
      <c r="B362" s="1">
        <v>41067.717847222222</v>
      </c>
      <c r="C362" s="2">
        <v>40000</v>
      </c>
      <c r="D362">
        <v>40000</v>
      </c>
      <c r="E362" t="s">
        <v>1954</v>
      </c>
      <c r="F362" s="5">
        <v>63047.130882691366</v>
      </c>
      <c r="G362" s="5">
        <v>59347.181008902073</v>
      </c>
      <c r="H362" s="5">
        <f ca="1">OFFSET(F362,0,Brains!$D$1,1,1)</f>
        <v>59347.181008902073</v>
      </c>
      <c r="I362" t="s">
        <v>1858</v>
      </c>
      <c r="J362" t="s">
        <v>1858</v>
      </c>
      <c r="K362" t="s">
        <v>1956</v>
      </c>
      <c r="L362" t="s">
        <v>1956</v>
      </c>
      <c r="M362" s="11" t="s">
        <v>3918</v>
      </c>
      <c r="N362" t="s">
        <v>1860</v>
      </c>
      <c r="O362" s="7" t="s">
        <v>3920</v>
      </c>
      <c r="P362" s="17" t="str">
        <f t="shared" ca="1" si="10"/>
        <v>50-74.9K</v>
      </c>
      <c r="Q362" s="17">
        <v>5</v>
      </c>
      <c r="R362">
        <v>5</v>
      </c>
      <c r="S362">
        <v>4</v>
      </c>
      <c r="T362">
        <v>1</v>
      </c>
      <c r="U362">
        <v>2</v>
      </c>
      <c r="V362" s="15">
        <f t="shared" ca="1" si="11"/>
        <v>4</v>
      </c>
    </row>
    <row r="363" spans="1:22">
      <c r="A363" t="s">
        <v>1069</v>
      </c>
      <c r="B363" s="1">
        <v>41059.938599537039</v>
      </c>
      <c r="C363" s="2" t="s">
        <v>1070</v>
      </c>
      <c r="D363">
        <v>61000</v>
      </c>
      <c r="E363" t="s">
        <v>1856</v>
      </c>
      <c r="F363" s="5">
        <v>61000</v>
      </c>
      <c r="G363" s="5">
        <v>61000</v>
      </c>
      <c r="H363" s="5">
        <f ca="1">OFFSET(F363,0,Brains!$D$1,1,1)</f>
        <v>61000</v>
      </c>
      <c r="I363" t="s">
        <v>1868</v>
      </c>
      <c r="J363" t="s">
        <v>1858</v>
      </c>
      <c r="K363" t="s">
        <v>1869</v>
      </c>
      <c r="L363" t="s">
        <v>1869</v>
      </c>
      <c r="M363" s="11" t="s">
        <v>3918</v>
      </c>
      <c r="N363" t="s">
        <v>1860</v>
      </c>
      <c r="O363" s="7" t="s">
        <v>3920</v>
      </c>
      <c r="P363" s="17" t="str">
        <f t="shared" ca="1" si="10"/>
        <v>50-74.9K</v>
      </c>
      <c r="Q363" s="17">
        <v>5</v>
      </c>
      <c r="R363">
        <v>5</v>
      </c>
      <c r="S363">
        <v>4</v>
      </c>
      <c r="T363">
        <v>1</v>
      </c>
      <c r="U363">
        <v>2</v>
      </c>
      <c r="V363" s="15">
        <f t="shared" ca="1" si="11"/>
        <v>4</v>
      </c>
    </row>
    <row r="364" spans="1:22">
      <c r="A364" t="s">
        <v>1692</v>
      </c>
      <c r="B364" s="1">
        <v>41074.589560185188</v>
      </c>
      <c r="C364" s="2">
        <v>5000</v>
      </c>
      <c r="D364">
        <v>60000</v>
      </c>
      <c r="E364" t="s">
        <v>1856</v>
      </c>
      <c r="F364" s="5">
        <v>60000</v>
      </c>
      <c r="G364" s="5">
        <v>60000</v>
      </c>
      <c r="H364" s="5">
        <f ca="1">OFFSET(F364,0,Brains!$D$1,1,1)</f>
        <v>60000</v>
      </c>
      <c r="I364" t="s">
        <v>1858</v>
      </c>
      <c r="J364" t="s">
        <v>1858</v>
      </c>
      <c r="K364" t="s">
        <v>2143</v>
      </c>
      <c r="L364" t="s">
        <v>2143</v>
      </c>
      <c r="M364" s="11" t="s">
        <v>3918</v>
      </c>
      <c r="N364" t="s">
        <v>1860</v>
      </c>
      <c r="O364" s="7" t="s">
        <v>3920</v>
      </c>
      <c r="P364" s="17" t="str">
        <f t="shared" ca="1" si="10"/>
        <v>50-74.9K</v>
      </c>
      <c r="Q364" s="17">
        <v>5</v>
      </c>
      <c r="R364">
        <v>5</v>
      </c>
      <c r="S364">
        <v>4</v>
      </c>
      <c r="T364">
        <v>1</v>
      </c>
      <c r="U364">
        <v>2</v>
      </c>
      <c r="V364" s="15">
        <f t="shared" ca="1" si="11"/>
        <v>4</v>
      </c>
    </row>
    <row r="365" spans="1:22">
      <c r="A365" t="s">
        <v>1337</v>
      </c>
      <c r="B365" s="1">
        <v>41063.563043981485</v>
      </c>
      <c r="C365" s="2">
        <v>50000</v>
      </c>
      <c r="D365">
        <v>50000</v>
      </c>
      <c r="E365" t="s">
        <v>1979</v>
      </c>
      <c r="F365" s="5">
        <v>49168.076151516347</v>
      </c>
      <c r="G365" s="5">
        <v>40032.025620496395</v>
      </c>
      <c r="H365" s="5">
        <f ca="1">OFFSET(F365,0,Brains!$D$1,1,1)</f>
        <v>40032.025620496395</v>
      </c>
      <c r="I365" t="s">
        <v>3621</v>
      </c>
      <c r="J365" t="s">
        <v>1858</v>
      </c>
      <c r="K365" t="s">
        <v>1981</v>
      </c>
      <c r="L365" t="s">
        <v>1981</v>
      </c>
      <c r="M365" s="11" t="s">
        <v>3918</v>
      </c>
      <c r="N365" t="s">
        <v>1860</v>
      </c>
      <c r="O365" s="7" t="s">
        <v>3920</v>
      </c>
      <c r="P365" s="17" t="str">
        <f t="shared" ca="1" si="10"/>
        <v>30-49.9K</v>
      </c>
      <c r="Q365" s="17">
        <v>5</v>
      </c>
      <c r="R365">
        <v>5</v>
      </c>
      <c r="S365">
        <v>4</v>
      </c>
      <c r="T365">
        <v>1</v>
      </c>
      <c r="U365">
        <v>2</v>
      </c>
      <c r="V365" s="15">
        <f t="shared" ca="1" si="11"/>
        <v>3</v>
      </c>
    </row>
    <row r="366" spans="1:22">
      <c r="A366" t="s">
        <v>3682</v>
      </c>
      <c r="B366" s="1">
        <v>41056.15111111111</v>
      </c>
      <c r="C366" s="2">
        <v>43600</v>
      </c>
      <c r="D366">
        <v>43600</v>
      </c>
      <c r="E366" t="s">
        <v>1856</v>
      </c>
      <c r="F366" s="5">
        <v>43600</v>
      </c>
      <c r="G366" s="5">
        <v>43600</v>
      </c>
      <c r="H366" s="5">
        <f ca="1">OFFSET(F366,0,Brains!$D$1,1,1)</f>
        <v>43600</v>
      </c>
      <c r="I366" t="s">
        <v>2099</v>
      </c>
      <c r="J366" t="s">
        <v>1858</v>
      </c>
      <c r="K366" t="s">
        <v>1869</v>
      </c>
      <c r="L366" t="s">
        <v>1869</v>
      </c>
      <c r="M366" s="11" t="s">
        <v>3918</v>
      </c>
      <c r="N366" t="s">
        <v>1860</v>
      </c>
      <c r="O366" s="7" t="s">
        <v>3920</v>
      </c>
      <c r="P366" s="17" t="str">
        <f t="shared" ca="1" si="10"/>
        <v>30-49.9K</v>
      </c>
      <c r="Q366" s="17">
        <v>5</v>
      </c>
      <c r="R366">
        <v>5</v>
      </c>
      <c r="S366">
        <v>4</v>
      </c>
      <c r="T366">
        <v>1</v>
      </c>
      <c r="U366">
        <v>2</v>
      </c>
      <c r="V366" s="15">
        <f t="shared" ca="1" si="11"/>
        <v>3</v>
      </c>
    </row>
    <row r="367" spans="1:22">
      <c r="A367" t="s">
        <v>1789</v>
      </c>
      <c r="B367" s="1">
        <v>41079.142754629633</v>
      </c>
      <c r="C367" s="2">
        <v>43000</v>
      </c>
      <c r="D367">
        <v>43000</v>
      </c>
      <c r="E367" t="s">
        <v>1856</v>
      </c>
      <c r="F367" s="5">
        <v>43000</v>
      </c>
      <c r="G367" s="5">
        <v>43000</v>
      </c>
      <c r="H367" s="5">
        <f ca="1">OFFSET(F367,0,Brains!$D$1,1,1)</f>
        <v>43000</v>
      </c>
      <c r="I367" t="s">
        <v>3117</v>
      </c>
      <c r="J367" t="s">
        <v>1858</v>
      </c>
      <c r="K367" t="s">
        <v>1869</v>
      </c>
      <c r="L367" t="s">
        <v>1869</v>
      </c>
      <c r="M367" s="11" t="s">
        <v>3918</v>
      </c>
      <c r="N367" t="s">
        <v>1860</v>
      </c>
      <c r="O367" s="7" t="s">
        <v>3920</v>
      </c>
      <c r="P367" s="17" t="str">
        <f t="shared" ca="1" si="10"/>
        <v>30-49.9K</v>
      </c>
      <c r="Q367" s="17">
        <v>5</v>
      </c>
      <c r="R367">
        <v>5</v>
      </c>
      <c r="S367">
        <v>4</v>
      </c>
      <c r="T367">
        <v>1</v>
      </c>
      <c r="U367">
        <v>2</v>
      </c>
      <c r="V367" s="15">
        <f t="shared" ca="1" si="11"/>
        <v>3</v>
      </c>
    </row>
    <row r="368" spans="1:22">
      <c r="A368" t="s">
        <v>3886</v>
      </c>
      <c r="B368" s="1">
        <v>41057.213703703703</v>
      </c>
      <c r="C368" s="2">
        <v>40000</v>
      </c>
      <c r="D368">
        <v>40000</v>
      </c>
      <c r="E368" t="s">
        <v>1856</v>
      </c>
      <c r="F368" s="5">
        <v>40000</v>
      </c>
      <c r="G368" s="5">
        <v>40000</v>
      </c>
      <c r="H368" s="5">
        <f ca="1">OFFSET(F368,0,Brains!$D$1,1,1)</f>
        <v>40000</v>
      </c>
      <c r="I368" t="s">
        <v>2290</v>
      </c>
      <c r="J368" t="s">
        <v>1858</v>
      </c>
      <c r="K368" t="s">
        <v>3887</v>
      </c>
      <c r="L368" t="s">
        <v>3083</v>
      </c>
      <c r="M368" s="11" t="s">
        <v>3918</v>
      </c>
      <c r="N368" t="s">
        <v>1860</v>
      </c>
      <c r="O368" s="7" t="s">
        <v>3920</v>
      </c>
      <c r="P368" s="17" t="str">
        <f t="shared" ca="1" si="10"/>
        <v>30-49.9K</v>
      </c>
      <c r="Q368" s="17">
        <v>5</v>
      </c>
      <c r="R368">
        <v>5</v>
      </c>
      <c r="S368">
        <v>4</v>
      </c>
      <c r="T368">
        <v>1</v>
      </c>
      <c r="U368">
        <v>2</v>
      </c>
      <c r="V368" s="15">
        <f t="shared" ca="1" si="11"/>
        <v>3</v>
      </c>
    </row>
    <row r="369" spans="1:22">
      <c r="A369" t="s">
        <v>1558</v>
      </c>
      <c r="B369" s="1">
        <v>41069.034108796295</v>
      </c>
      <c r="C369" s="2">
        <v>40000</v>
      </c>
      <c r="D369">
        <v>40000</v>
      </c>
      <c r="E369" t="s">
        <v>1856</v>
      </c>
      <c r="F369" s="5">
        <v>40000</v>
      </c>
      <c r="G369" s="5">
        <v>40000</v>
      </c>
      <c r="H369" s="5">
        <f ca="1">OFFSET(F369,0,Brains!$D$1,1,1)</f>
        <v>40000</v>
      </c>
      <c r="I369" t="s">
        <v>2186</v>
      </c>
      <c r="J369" t="s">
        <v>1858</v>
      </c>
      <c r="K369" t="s">
        <v>1869</v>
      </c>
      <c r="L369" t="s">
        <v>1869</v>
      </c>
      <c r="M369" s="11" t="s">
        <v>3918</v>
      </c>
      <c r="N369" t="s">
        <v>1860</v>
      </c>
      <c r="O369" s="7" t="s">
        <v>3920</v>
      </c>
      <c r="P369" s="17" t="str">
        <f t="shared" ca="1" si="10"/>
        <v>30-49.9K</v>
      </c>
      <c r="Q369" s="17">
        <v>5</v>
      </c>
      <c r="R369">
        <v>5</v>
      </c>
      <c r="S369">
        <v>4</v>
      </c>
      <c r="T369">
        <v>1</v>
      </c>
      <c r="U369">
        <v>2</v>
      </c>
      <c r="V369" s="15">
        <f t="shared" ca="1" si="11"/>
        <v>3</v>
      </c>
    </row>
    <row r="370" spans="1:22">
      <c r="A370" t="s">
        <v>1424</v>
      </c>
      <c r="B370" s="1">
        <v>41065.802812499998</v>
      </c>
      <c r="C370" s="2">
        <v>21000</v>
      </c>
      <c r="D370">
        <v>21000</v>
      </c>
      <c r="E370" t="s">
        <v>1880</v>
      </c>
      <c r="F370" s="5">
        <v>26678.388218823762</v>
      </c>
      <c r="G370" s="5">
        <v>26380.186218990722</v>
      </c>
      <c r="H370" s="5">
        <f ca="1">OFFSET(F370,0,Brains!$D$1,1,1)</f>
        <v>26380.186218990722</v>
      </c>
      <c r="I370" t="s">
        <v>322</v>
      </c>
      <c r="J370" t="s">
        <v>1858</v>
      </c>
      <c r="K370" t="s">
        <v>1892</v>
      </c>
      <c r="L370" t="s">
        <v>1892</v>
      </c>
      <c r="M370" s="11" t="s">
        <v>3918</v>
      </c>
      <c r="N370" t="s">
        <v>1860</v>
      </c>
      <c r="O370" s="7" t="s">
        <v>3920</v>
      </c>
      <c r="P370" s="17" t="str">
        <f t="shared" ca="1" si="10"/>
        <v>15-29.9K</v>
      </c>
      <c r="Q370" s="17">
        <v>5</v>
      </c>
      <c r="R370">
        <v>5</v>
      </c>
      <c r="S370">
        <v>4</v>
      </c>
      <c r="T370">
        <v>1</v>
      </c>
      <c r="U370">
        <v>2</v>
      </c>
      <c r="V370" s="15">
        <f t="shared" ca="1" si="11"/>
        <v>2</v>
      </c>
    </row>
    <row r="371" spans="1:22">
      <c r="A371" t="s">
        <v>1208</v>
      </c>
      <c r="B371" s="1">
        <v>41061.130219907405</v>
      </c>
      <c r="C371" s="2" t="s">
        <v>1209</v>
      </c>
      <c r="D371">
        <v>850000</v>
      </c>
      <c r="E371" t="s">
        <v>1908</v>
      </c>
      <c r="F371" s="5">
        <v>15136.729184326183</v>
      </c>
      <c r="G371" s="5">
        <v>42326.461507817949</v>
      </c>
      <c r="H371" s="5">
        <f ca="1">OFFSET(F371,0,Brains!$D$1,1,1)</f>
        <v>42326.461507817949</v>
      </c>
      <c r="I371" t="s">
        <v>1210</v>
      </c>
      <c r="J371" t="s">
        <v>1858</v>
      </c>
      <c r="K371" t="s">
        <v>1859</v>
      </c>
      <c r="L371" t="s">
        <v>1859</v>
      </c>
      <c r="M371" s="11" t="s">
        <v>3918</v>
      </c>
      <c r="N371" t="s">
        <v>1860</v>
      </c>
      <c r="O371" s="7" t="s">
        <v>3920</v>
      </c>
      <c r="P371" s="17" t="str">
        <f t="shared" ca="1" si="10"/>
        <v>30-49.9K</v>
      </c>
      <c r="Q371" s="17">
        <v>5</v>
      </c>
      <c r="R371">
        <v>5</v>
      </c>
      <c r="S371">
        <v>4</v>
      </c>
      <c r="T371">
        <v>1</v>
      </c>
      <c r="U371">
        <v>2</v>
      </c>
      <c r="V371" s="15">
        <f t="shared" ca="1" si="11"/>
        <v>3</v>
      </c>
    </row>
    <row r="372" spans="1:22">
      <c r="A372" t="s">
        <v>1292</v>
      </c>
      <c r="B372" s="1">
        <v>41062.582476851851</v>
      </c>
      <c r="C372" s="2">
        <v>15000</v>
      </c>
      <c r="D372">
        <v>15000</v>
      </c>
      <c r="E372" t="s">
        <v>1856</v>
      </c>
      <c r="F372" s="5">
        <v>15000</v>
      </c>
      <c r="G372" s="5">
        <v>15000</v>
      </c>
      <c r="H372" s="5">
        <f ca="1">OFFSET(F372,0,Brains!$D$1,1,1)</f>
        <v>15000</v>
      </c>
      <c r="I372" t="s">
        <v>1293</v>
      </c>
      <c r="J372" t="s">
        <v>1858</v>
      </c>
      <c r="K372" t="s">
        <v>1859</v>
      </c>
      <c r="L372" t="s">
        <v>1859</v>
      </c>
      <c r="M372" s="11" t="s">
        <v>3918</v>
      </c>
      <c r="N372" t="s">
        <v>1860</v>
      </c>
      <c r="O372" s="7" t="s">
        <v>3920</v>
      </c>
      <c r="P372" s="17" t="str">
        <f t="shared" ca="1" si="10"/>
        <v>15-29.9K</v>
      </c>
      <c r="Q372" s="17">
        <v>5</v>
      </c>
      <c r="R372">
        <v>5</v>
      </c>
      <c r="S372">
        <v>4</v>
      </c>
      <c r="T372">
        <v>1</v>
      </c>
      <c r="U372">
        <v>2</v>
      </c>
      <c r="V372" s="15">
        <f t="shared" ca="1" si="11"/>
        <v>2</v>
      </c>
    </row>
    <row r="373" spans="1:22">
      <c r="A373" t="s">
        <v>1340</v>
      </c>
      <c r="B373" s="1">
        <v>41063.607592592591</v>
      </c>
      <c r="C373" s="2">
        <v>15000</v>
      </c>
      <c r="D373">
        <v>15000</v>
      </c>
      <c r="E373" t="s">
        <v>1856</v>
      </c>
      <c r="F373" s="5">
        <v>15000</v>
      </c>
      <c r="G373" s="5">
        <v>15000</v>
      </c>
      <c r="H373" s="5">
        <f ca="1">OFFSET(F373,0,Brains!$D$1,1,1)</f>
        <v>15000</v>
      </c>
      <c r="I373" t="s">
        <v>1341</v>
      </c>
      <c r="J373" t="s">
        <v>1858</v>
      </c>
      <c r="K373" t="s">
        <v>1872</v>
      </c>
      <c r="L373" t="s">
        <v>1872</v>
      </c>
      <c r="M373" s="11" t="s">
        <v>3918</v>
      </c>
      <c r="N373" t="s">
        <v>1860</v>
      </c>
      <c r="O373" s="7" t="s">
        <v>3920</v>
      </c>
      <c r="P373" s="17" t="str">
        <f t="shared" ca="1" si="10"/>
        <v>15-29.9K</v>
      </c>
      <c r="Q373" s="17">
        <v>5</v>
      </c>
      <c r="R373">
        <v>5</v>
      </c>
      <c r="S373">
        <v>4</v>
      </c>
      <c r="T373">
        <v>1</v>
      </c>
      <c r="U373">
        <v>2</v>
      </c>
      <c r="V373" s="15">
        <f t="shared" ca="1" si="11"/>
        <v>2</v>
      </c>
    </row>
    <row r="374" spans="1:22">
      <c r="A374" t="s">
        <v>1804</v>
      </c>
      <c r="B374" s="1">
        <v>41079.84479166667</v>
      </c>
      <c r="C374" s="2">
        <v>750000</v>
      </c>
      <c r="D374">
        <v>750000</v>
      </c>
      <c r="E374" t="s">
        <v>1908</v>
      </c>
      <c r="F374" s="5">
        <v>13355.937515581925</v>
      </c>
      <c r="G374" s="5">
        <v>37346.877801015835</v>
      </c>
      <c r="H374" s="5">
        <f ca="1">OFFSET(F374,0,Brains!$D$1,1,1)</f>
        <v>37346.877801015835</v>
      </c>
      <c r="I374" t="s">
        <v>1858</v>
      </c>
      <c r="J374" t="s">
        <v>1858</v>
      </c>
      <c r="K374" t="s">
        <v>1859</v>
      </c>
      <c r="L374" t="s">
        <v>1859</v>
      </c>
      <c r="M374" s="11" t="s">
        <v>3918</v>
      </c>
      <c r="N374" t="s">
        <v>1860</v>
      </c>
      <c r="O374" s="7" t="s">
        <v>3920</v>
      </c>
      <c r="P374" s="17" t="str">
        <f t="shared" ca="1" si="10"/>
        <v>30-49.9K</v>
      </c>
      <c r="Q374" s="17">
        <v>5</v>
      </c>
      <c r="R374">
        <v>5</v>
      </c>
      <c r="S374">
        <v>4</v>
      </c>
      <c r="T374">
        <v>1</v>
      </c>
      <c r="U374">
        <v>2</v>
      </c>
      <c r="V374" s="15">
        <f t="shared" ca="1" si="11"/>
        <v>3</v>
      </c>
    </row>
    <row r="375" spans="1:22">
      <c r="A375" t="s">
        <v>155</v>
      </c>
      <c r="B375" s="1">
        <v>41057.579826388886</v>
      </c>
      <c r="C375" s="2" t="s">
        <v>156</v>
      </c>
      <c r="D375">
        <v>700000</v>
      </c>
      <c r="E375" t="s">
        <v>1908</v>
      </c>
      <c r="F375" s="5">
        <v>12465.541681209797</v>
      </c>
      <c r="G375" s="5">
        <v>34857.085947614782</v>
      </c>
      <c r="H375" s="5">
        <f ca="1">OFFSET(F375,0,Brains!$D$1,1,1)</f>
        <v>34857.085947614782</v>
      </c>
      <c r="I375" t="s">
        <v>2763</v>
      </c>
      <c r="J375" t="s">
        <v>1858</v>
      </c>
      <c r="K375" t="s">
        <v>1859</v>
      </c>
      <c r="L375" t="s">
        <v>1859</v>
      </c>
      <c r="M375" s="11" t="s">
        <v>3918</v>
      </c>
      <c r="N375" t="s">
        <v>1860</v>
      </c>
      <c r="O375" s="7" t="s">
        <v>3920</v>
      </c>
      <c r="P375" s="17" t="str">
        <f t="shared" ca="1" si="10"/>
        <v>30-49.9K</v>
      </c>
      <c r="Q375" s="17">
        <v>5</v>
      </c>
      <c r="R375">
        <v>5</v>
      </c>
      <c r="S375">
        <v>4</v>
      </c>
      <c r="T375">
        <v>1</v>
      </c>
      <c r="U375">
        <v>2</v>
      </c>
      <c r="V375" s="15">
        <f t="shared" ca="1" si="11"/>
        <v>3</v>
      </c>
    </row>
    <row r="376" spans="1:22">
      <c r="A376" t="s">
        <v>1254</v>
      </c>
      <c r="B376" s="1">
        <v>41061.82136574074</v>
      </c>
      <c r="C376" s="2">
        <v>650000</v>
      </c>
      <c r="D376">
        <v>650000</v>
      </c>
      <c r="E376" t="s">
        <v>1908</v>
      </c>
      <c r="F376" s="5">
        <v>11575.14584683767</v>
      </c>
      <c r="G376" s="5">
        <v>32367.294094213721</v>
      </c>
      <c r="H376" s="5">
        <f ca="1">OFFSET(F376,0,Brains!$D$1,1,1)</f>
        <v>32367.294094213721</v>
      </c>
      <c r="I376" t="s">
        <v>2972</v>
      </c>
      <c r="J376" t="s">
        <v>1858</v>
      </c>
      <c r="K376" t="s">
        <v>1859</v>
      </c>
      <c r="L376" t="s">
        <v>1859</v>
      </c>
      <c r="M376" s="11" t="s">
        <v>3918</v>
      </c>
      <c r="N376" t="s">
        <v>1860</v>
      </c>
      <c r="O376" s="7" t="s">
        <v>3920</v>
      </c>
      <c r="P376" s="17" t="str">
        <f t="shared" ca="1" si="10"/>
        <v>30-49.9K</v>
      </c>
      <c r="Q376" s="17">
        <v>5</v>
      </c>
      <c r="R376">
        <v>5</v>
      </c>
      <c r="S376">
        <v>4</v>
      </c>
      <c r="T376">
        <v>1</v>
      </c>
      <c r="U376">
        <v>2</v>
      </c>
      <c r="V376" s="15">
        <f t="shared" ca="1" si="11"/>
        <v>3</v>
      </c>
    </row>
    <row r="377" spans="1:22">
      <c r="A377" t="s">
        <v>104</v>
      </c>
      <c r="B377" s="1">
        <v>41057.518067129633</v>
      </c>
      <c r="C377" s="2" t="s">
        <v>105</v>
      </c>
      <c r="D377">
        <v>570000</v>
      </c>
      <c r="E377" t="s">
        <v>1908</v>
      </c>
      <c r="F377" s="5">
        <v>10150.512511842264</v>
      </c>
      <c r="G377" s="5">
        <v>28383.627128772034</v>
      </c>
      <c r="H377" s="5">
        <f ca="1">OFFSET(F377,0,Brains!$D$1,1,1)</f>
        <v>28383.627128772034</v>
      </c>
      <c r="I377" t="s">
        <v>106</v>
      </c>
      <c r="J377" t="s">
        <v>1858</v>
      </c>
      <c r="K377" t="s">
        <v>1859</v>
      </c>
      <c r="L377" t="s">
        <v>1859</v>
      </c>
      <c r="M377" s="11" t="s">
        <v>3918</v>
      </c>
      <c r="N377" t="s">
        <v>1860</v>
      </c>
      <c r="O377" s="7" t="s">
        <v>3920</v>
      </c>
      <c r="P377" s="17" t="str">
        <f t="shared" ca="1" si="10"/>
        <v>15-29.9K</v>
      </c>
      <c r="Q377" s="17">
        <v>5</v>
      </c>
      <c r="R377">
        <v>5</v>
      </c>
      <c r="S377">
        <v>4</v>
      </c>
      <c r="T377">
        <v>1</v>
      </c>
      <c r="U377">
        <v>2</v>
      </c>
      <c r="V377" s="15">
        <f t="shared" ca="1" si="11"/>
        <v>2</v>
      </c>
    </row>
    <row r="378" spans="1:22">
      <c r="A378" t="s">
        <v>278</v>
      </c>
      <c r="B378" s="1">
        <v>41057.708194444444</v>
      </c>
      <c r="C378" s="2" t="s">
        <v>279</v>
      </c>
      <c r="D378">
        <v>300000</v>
      </c>
      <c r="E378" t="s">
        <v>1908</v>
      </c>
      <c r="F378" s="5">
        <v>5342.3750062327708</v>
      </c>
      <c r="G378" s="5">
        <v>14938.751120406334</v>
      </c>
      <c r="H378" s="5">
        <f ca="1">OFFSET(F378,0,Brains!$D$1,1,1)</f>
        <v>14938.751120406334</v>
      </c>
      <c r="I378" t="s">
        <v>1858</v>
      </c>
      <c r="J378" t="s">
        <v>1858</v>
      </c>
      <c r="K378" t="s">
        <v>1859</v>
      </c>
      <c r="L378" t="s">
        <v>1859</v>
      </c>
      <c r="M378" s="11" t="s">
        <v>3918</v>
      </c>
      <c r="N378" t="s">
        <v>1860</v>
      </c>
      <c r="O378" s="7" t="s">
        <v>3920</v>
      </c>
      <c r="P378" s="17" t="str">
        <f t="shared" ca="1" si="10"/>
        <v>0-14.9K</v>
      </c>
      <c r="Q378" s="17">
        <v>5</v>
      </c>
      <c r="R378">
        <v>5</v>
      </c>
      <c r="S378">
        <v>4</v>
      </c>
      <c r="T378">
        <v>1</v>
      </c>
      <c r="U378">
        <v>2</v>
      </c>
      <c r="V378" s="15">
        <f t="shared" ca="1" si="11"/>
        <v>1</v>
      </c>
    </row>
    <row r="379" spans="1:22">
      <c r="A379" t="s">
        <v>491</v>
      </c>
      <c r="B379" s="1">
        <v>41058.017893518518</v>
      </c>
      <c r="C379" s="2">
        <v>800</v>
      </c>
      <c r="D379">
        <v>4800</v>
      </c>
      <c r="E379" t="s">
        <v>1856</v>
      </c>
      <c r="F379" s="5">
        <v>4800</v>
      </c>
      <c r="G379" s="5">
        <v>4800</v>
      </c>
      <c r="H379" s="5">
        <f ca="1">OFFSET(F379,0,Brains!$D$1,1,1)</f>
        <v>4800</v>
      </c>
      <c r="I379" t="s">
        <v>1868</v>
      </c>
      <c r="J379" t="s">
        <v>1858</v>
      </c>
      <c r="K379" t="s">
        <v>1859</v>
      </c>
      <c r="L379" t="s">
        <v>1859</v>
      </c>
      <c r="M379" s="11" t="s">
        <v>3918</v>
      </c>
      <c r="N379" t="s">
        <v>1860</v>
      </c>
      <c r="O379" s="7" t="s">
        <v>3920</v>
      </c>
      <c r="P379" s="17" t="str">
        <f t="shared" ca="1" si="10"/>
        <v>0-14.9K</v>
      </c>
      <c r="Q379" s="17">
        <v>5</v>
      </c>
      <c r="R379">
        <v>5</v>
      </c>
      <c r="S379">
        <v>4</v>
      </c>
      <c r="T379">
        <v>1</v>
      </c>
      <c r="U379">
        <v>2</v>
      </c>
      <c r="V379" s="15">
        <f t="shared" ca="1" si="11"/>
        <v>1</v>
      </c>
    </row>
    <row r="380" spans="1:22">
      <c r="A380" t="s">
        <v>961</v>
      </c>
      <c r="B380" s="1">
        <v>41059.485335648147</v>
      </c>
      <c r="C380" s="2">
        <v>363</v>
      </c>
      <c r="D380">
        <v>4356</v>
      </c>
      <c r="E380" t="s">
        <v>1856</v>
      </c>
      <c r="F380" s="5">
        <v>4356</v>
      </c>
      <c r="G380" s="5">
        <v>4356</v>
      </c>
      <c r="H380" s="5">
        <f ca="1">OFFSET(F380,0,Brains!$D$1,1,1)</f>
        <v>4356</v>
      </c>
      <c r="I380" t="s">
        <v>2195</v>
      </c>
      <c r="J380" t="s">
        <v>1858</v>
      </c>
      <c r="K380" t="s">
        <v>1859</v>
      </c>
      <c r="L380" t="s">
        <v>1859</v>
      </c>
      <c r="M380" s="11" t="s">
        <v>3918</v>
      </c>
      <c r="N380" t="s">
        <v>1860</v>
      </c>
      <c r="O380" s="7" t="s">
        <v>3920</v>
      </c>
      <c r="P380" s="17" t="str">
        <f t="shared" ca="1" si="10"/>
        <v>0-14.9K</v>
      </c>
      <c r="Q380" s="17">
        <v>5</v>
      </c>
      <c r="R380">
        <v>5</v>
      </c>
      <c r="S380">
        <v>4</v>
      </c>
      <c r="T380">
        <v>1</v>
      </c>
      <c r="U380">
        <v>2</v>
      </c>
      <c r="V380" s="15">
        <f t="shared" ca="1" si="11"/>
        <v>1</v>
      </c>
    </row>
    <row r="381" spans="1:22">
      <c r="A381" t="s">
        <v>1413</v>
      </c>
      <c r="B381" s="1">
        <v>41065.295277777775</v>
      </c>
      <c r="C381" s="2" t="s">
        <v>1414</v>
      </c>
      <c r="D381">
        <v>192000</v>
      </c>
      <c r="E381" t="s">
        <v>1908</v>
      </c>
      <c r="F381" s="5">
        <v>3419.1200039889732</v>
      </c>
      <c r="G381" s="5">
        <v>9560.800717060054</v>
      </c>
      <c r="H381" s="5">
        <f ca="1">OFFSET(F381,0,Brains!$D$1,1,1)</f>
        <v>9560.800717060054</v>
      </c>
      <c r="I381" t="s">
        <v>3408</v>
      </c>
      <c r="J381" t="s">
        <v>1858</v>
      </c>
      <c r="K381" t="s">
        <v>1859</v>
      </c>
      <c r="L381" t="s">
        <v>1859</v>
      </c>
      <c r="M381" s="11" t="s">
        <v>3918</v>
      </c>
      <c r="N381" t="s">
        <v>1860</v>
      </c>
      <c r="O381" s="7" t="s">
        <v>3920</v>
      </c>
      <c r="P381" s="17" t="str">
        <f t="shared" ca="1" si="10"/>
        <v>0-14.9K</v>
      </c>
      <c r="Q381" s="17">
        <v>5</v>
      </c>
      <c r="R381">
        <v>5</v>
      </c>
      <c r="S381">
        <v>4</v>
      </c>
      <c r="T381">
        <v>1</v>
      </c>
      <c r="U381">
        <v>2</v>
      </c>
      <c r="V381" s="15">
        <f t="shared" ca="1" si="11"/>
        <v>1</v>
      </c>
    </row>
    <row r="382" spans="1:22">
      <c r="A382" t="s">
        <v>941</v>
      </c>
      <c r="B382" s="1">
        <v>41059.108101851853</v>
      </c>
      <c r="C382" s="2" t="s">
        <v>942</v>
      </c>
      <c r="D382">
        <v>3250000</v>
      </c>
      <c r="E382" t="s">
        <v>1908</v>
      </c>
      <c r="F382" s="5">
        <v>57875.729234188344</v>
      </c>
      <c r="G382" s="5">
        <v>161836.47047106861</v>
      </c>
      <c r="H382" s="5">
        <f ca="1">OFFSET(F382,0,Brains!$D$1,1,1)</f>
        <v>161836.47047106861</v>
      </c>
      <c r="I382" t="s">
        <v>943</v>
      </c>
      <c r="J382" t="s">
        <v>1858</v>
      </c>
      <c r="K382" t="s">
        <v>1859</v>
      </c>
      <c r="L382" t="s">
        <v>1859</v>
      </c>
      <c r="M382" s="11" t="s">
        <v>3918</v>
      </c>
      <c r="N382" t="s">
        <v>1860</v>
      </c>
      <c r="O382" s="7" t="s">
        <v>3920</v>
      </c>
      <c r="P382" s="17" t="str">
        <f t="shared" ca="1" si="10"/>
        <v>150-249.9K</v>
      </c>
      <c r="Q382" s="17">
        <v>5</v>
      </c>
      <c r="R382">
        <v>5.5</v>
      </c>
      <c r="S382">
        <v>4</v>
      </c>
      <c r="T382">
        <v>1</v>
      </c>
      <c r="U382">
        <v>2</v>
      </c>
      <c r="V382" s="15">
        <f t="shared" ca="1" si="11"/>
        <v>7</v>
      </c>
    </row>
    <row r="383" spans="1:22">
      <c r="A383" t="s">
        <v>1746</v>
      </c>
      <c r="B383" s="1">
        <v>41076.340960648151</v>
      </c>
      <c r="C383" s="2" t="s">
        <v>2612</v>
      </c>
      <c r="D383">
        <v>63000</v>
      </c>
      <c r="E383" t="s">
        <v>1856</v>
      </c>
      <c r="F383" s="5">
        <v>63000</v>
      </c>
      <c r="G383" s="5">
        <v>63000</v>
      </c>
      <c r="H383" s="5">
        <f ca="1">OFFSET(F383,0,Brains!$D$1,1,1)</f>
        <v>63000</v>
      </c>
      <c r="I383" t="s">
        <v>1868</v>
      </c>
      <c r="J383" t="s">
        <v>1858</v>
      </c>
      <c r="K383" t="s">
        <v>1869</v>
      </c>
      <c r="L383" t="s">
        <v>1869</v>
      </c>
      <c r="M383" t="s">
        <v>3941</v>
      </c>
      <c r="N383" t="s">
        <v>1866</v>
      </c>
      <c r="O383" s="7" t="s">
        <v>3920</v>
      </c>
      <c r="P383" s="17" t="str">
        <f t="shared" ca="1" si="10"/>
        <v>50-74.9K</v>
      </c>
      <c r="Q383" s="17">
        <v>8</v>
      </c>
      <c r="R383">
        <v>1</v>
      </c>
      <c r="S383">
        <v>5</v>
      </c>
      <c r="T383">
        <v>1</v>
      </c>
      <c r="U383">
        <v>2</v>
      </c>
      <c r="V383" s="15">
        <f t="shared" ca="1" si="11"/>
        <v>4</v>
      </c>
    </row>
    <row r="384" spans="1:22">
      <c r="A384" t="s">
        <v>1453</v>
      </c>
      <c r="B384" s="1">
        <v>41066.091643518521</v>
      </c>
      <c r="C384" s="2" t="s">
        <v>1454</v>
      </c>
      <c r="D384">
        <v>60000</v>
      </c>
      <c r="E384" t="s">
        <v>1856</v>
      </c>
      <c r="F384" s="5">
        <v>60000</v>
      </c>
      <c r="G384" s="5">
        <v>60000</v>
      </c>
      <c r="H384" s="5">
        <f ca="1">OFFSET(F384,0,Brains!$D$1,1,1)</f>
        <v>60000</v>
      </c>
      <c r="I384" t="s">
        <v>1858</v>
      </c>
      <c r="J384" t="s">
        <v>1858</v>
      </c>
      <c r="K384" t="s">
        <v>1869</v>
      </c>
      <c r="L384" t="s">
        <v>1869</v>
      </c>
      <c r="M384" t="s">
        <v>3941</v>
      </c>
      <c r="N384" t="s">
        <v>1866</v>
      </c>
      <c r="O384" s="7" t="s">
        <v>3920</v>
      </c>
      <c r="P384" s="17" t="str">
        <f t="shared" ca="1" si="10"/>
        <v>50-74.9K</v>
      </c>
      <c r="Q384" s="17">
        <v>8</v>
      </c>
      <c r="R384">
        <v>1</v>
      </c>
      <c r="S384">
        <v>5</v>
      </c>
      <c r="T384">
        <v>1</v>
      </c>
      <c r="U384">
        <v>2</v>
      </c>
      <c r="V384" s="15">
        <f t="shared" ca="1" si="11"/>
        <v>4</v>
      </c>
    </row>
    <row r="385" spans="1:22">
      <c r="A385" t="s">
        <v>888</v>
      </c>
      <c r="B385" s="1">
        <v>41058.967731481483</v>
      </c>
      <c r="C385" s="2">
        <v>55000</v>
      </c>
      <c r="D385">
        <v>55000</v>
      </c>
      <c r="E385" t="s">
        <v>1856</v>
      </c>
      <c r="F385" s="5">
        <v>55000</v>
      </c>
      <c r="G385" s="5">
        <v>55000</v>
      </c>
      <c r="H385" s="5">
        <f ca="1">OFFSET(F385,0,Brains!$D$1,1,1)</f>
        <v>55000</v>
      </c>
      <c r="I385" t="s">
        <v>889</v>
      </c>
      <c r="J385" t="s">
        <v>1858</v>
      </c>
      <c r="K385" t="s">
        <v>1869</v>
      </c>
      <c r="L385" t="s">
        <v>1869</v>
      </c>
      <c r="M385" t="s">
        <v>3941</v>
      </c>
      <c r="N385" t="s">
        <v>1866</v>
      </c>
      <c r="O385" s="7" t="s">
        <v>3920</v>
      </c>
      <c r="P385" s="17" t="str">
        <f t="shared" ca="1" si="10"/>
        <v>50-74.9K</v>
      </c>
      <c r="Q385" s="17">
        <v>8</v>
      </c>
      <c r="R385">
        <v>1</v>
      </c>
      <c r="S385">
        <v>5</v>
      </c>
      <c r="T385">
        <v>1</v>
      </c>
      <c r="U385">
        <v>2</v>
      </c>
      <c r="V385" s="15">
        <f t="shared" ca="1" si="11"/>
        <v>4</v>
      </c>
    </row>
    <row r="386" spans="1:22">
      <c r="A386" t="s">
        <v>1775</v>
      </c>
      <c r="B386" s="1">
        <v>41078.260127314818</v>
      </c>
      <c r="C386" s="2">
        <v>46000</v>
      </c>
      <c r="D386">
        <v>46000</v>
      </c>
      <c r="E386" t="s">
        <v>1856</v>
      </c>
      <c r="F386" s="5">
        <v>46000</v>
      </c>
      <c r="G386" s="5">
        <v>46000</v>
      </c>
      <c r="H386" s="5">
        <f ca="1">OFFSET(F386,0,Brains!$D$1,1,1)</f>
        <v>46000</v>
      </c>
      <c r="I386" t="s">
        <v>1776</v>
      </c>
      <c r="J386" t="s">
        <v>1858</v>
      </c>
      <c r="K386" t="s">
        <v>1869</v>
      </c>
      <c r="L386" t="s">
        <v>1869</v>
      </c>
      <c r="M386" t="s">
        <v>3941</v>
      </c>
      <c r="N386" t="s">
        <v>1866</v>
      </c>
      <c r="O386" s="7" t="s">
        <v>3920</v>
      </c>
      <c r="P386" s="17" t="str">
        <f t="shared" ref="P386:P449" ca="1" si="12">IF(H386&lt;15000,"0-14.9K",IF(H386&lt;30000,"15-29.9K",IF(H386&lt;50000,"30-49.9K",IF(H386&lt;75000,"50-74.9K",IF(H386&lt;100000,"75-99.9K",IF(H386&lt;150000,"100-149.9K",IF(H386&lt;250000,"150-249.9K","250K+")))))))</f>
        <v>30-49.9K</v>
      </c>
      <c r="Q386" s="17">
        <v>8</v>
      </c>
      <c r="R386">
        <v>1</v>
      </c>
      <c r="S386">
        <v>5</v>
      </c>
      <c r="T386">
        <v>1</v>
      </c>
      <c r="U386">
        <v>2</v>
      </c>
      <c r="V386" s="15">
        <f t="shared" ref="V386:V449" ca="1" si="13">IF(H386&lt;15000,1,IF(H386&lt;30000,2,IF(H386&lt;50000,3,IF(H386&lt;75000,4,IF(H386&lt;100000,5,IF(H386&lt;150000,6,IF(H386&lt;250000,7,8)))))))</f>
        <v>3</v>
      </c>
    </row>
    <row r="387" spans="1:22">
      <c r="A387" t="s">
        <v>1275</v>
      </c>
      <c r="B387" s="1">
        <v>41062.103125000001</v>
      </c>
      <c r="C387" s="2">
        <v>38000</v>
      </c>
      <c r="D387">
        <v>38000</v>
      </c>
      <c r="E387" t="s">
        <v>1856</v>
      </c>
      <c r="F387" s="5">
        <v>38000</v>
      </c>
      <c r="G387" s="5">
        <v>38000</v>
      </c>
      <c r="H387" s="5">
        <f ca="1">OFFSET(F387,0,Brains!$D$1,1,1)</f>
        <v>38000</v>
      </c>
      <c r="I387" t="s">
        <v>2195</v>
      </c>
      <c r="J387" t="s">
        <v>1858</v>
      </c>
      <c r="K387" t="s">
        <v>1869</v>
      </c>
      <c r="L387" t="s">
        <v>1869</v>
      </c>
      <c r="M387" t="s">
        <v>3941</v>
      </c>
      <c r="N387" t="s">
        <v>1866</v>
      </c>
      <c r="O387" s="7" t="s">
        <v>3920</v>
      </c>
      <c r="P387" s="17" t="str">
        <f t="shared" ca="1" si="12"/>
        <v>30-49.9K</v>
      </c>
      <c r="Q387" s="17">
        <v>8</v>
      </c>
      <c r="R387">
        <v>1</v>
      </c>
      <c r="S387">
        <v>5</v>
      </c>
      <c r="T387">
        <v>1</v>
      </c>
      <c r="U387">
        <v>2</v>
      </c>
      <c r="V387" s="15">
        <f t="shared" ca="1" si="13"/>
        <v>3</v>
      </c>
    </row>
    <row r="388" spans="1:22">
      <c r="A388" t="s">
        <v>3069</v>
      </c>
      <c r="B388" s="1">
        <v>41055.259872685187</v>
      </c>
      <c r="C388" s="2">
        <v>27500</v>
      </c>
      <c r="D388">
        <v>27500</v>
      </c>
      <c r="E388" t="s">
        <v>1856</v>
      </c>
      <c r="F388" s="5">
        <v>27500</v>
      </c>
      <c r="G388" s="5">
        <v>27500</v>
      </c>
      <c r="H388" s="5">
        <f ca="1">OFFSET(F388,0,Brains!$D$1,1,1)</f>
        <v>27500</v>
      </c>
      <c r="I388" t="s">
        <v>2972</v>
      </c>
      <c r="J388" t="s">
        <v>1858</v>
      </c>
      <c r="K388" t="s">
        <v>1869</v>
      </c>
      <c r="L388" t="s">
        <v>1869</v>
      </c>
      <c r="M388" t="s">
        <v>3941</v>
      </c>
      <c r="N388" t="s">
        <v>1866</v>
      </c>
      <c r="O388" s="7" t="s">
        <v>3920</v>
      </c>
      <c r="P388" s="17" t="str">
        <f t="shared" ca="1" si="12"/>
        <v>15-29.9K</v>
      </c>
      <c r="Q388" s="17">
        <v>8</v>
      </c>
      <c r="R388">
        <v>1</v>
      </c>
      <c r="S388">
        <v>5</v>
      </c>
      <c r="T388">
        <v>1</v>
      </c>
      <c r="U388">
        <v>2</v>
      </c>
      <c r="V388" s="15">
        <f t="shared" ca="1" si="13"/>
        <v>2</v>
      </c>
    </row>
    <row r="389" spans="1:22">
      <c r="A389" t="s">
        <v>1102</v>
      </c>
      <c r="B389" s="1">
        <v>41060.175219907411</v>
      </c>
      <c r="C389" s="2">
        <v>75000</v>
      </c>
      <c r="D389">
        <v>75000</v>
      </c>
      <c r="E389" t="s">
        <v>1856</v>
      </c>
      <c r="F389" s="5">
        <v>75000</v>
      </c>
      <c r="G389" s="5">
        <v>75000</v>
      </c>
      <c r="H389" s="5">
        <f ca="1">OFFSET(F389,0,Brains!$D$1,1,1)</f>
        <v>75000</v>
      </c>
      <c r="I389" t="s">
        <v>1868</v>
      </c>
      <c r="J389" t="s">
        <v>1858</v>
      </c>
      <c r="K389" t="s">
        <v>1869</v>
      </c>
      <c r="L389" t="s">
        <v>1869</v>
      </c>
      <c r="M389" t="s">
        <v>3941</v>
      </c>
      <c r="N389" t="s">
        <v>1866</v>
      </c>
      <c r="O389" s="7" t="s">
        <v>3920</v>
      </c>
      <c r="P389" s="17" t="str">
        <f t="shared" ca="1" si="12"/>
        <v>75-99.9K</v>
      </c>
      <c r="Q389" s="17">
        <v>8</v>
      </c>
      <c r="R389">
        <v>1.5</v>
      </c>
      <c r="S389">
        <v>5</v>
      </c>
      <c r="T389">
        <v>1</v>
      </c>
      <c r="U389">
        <v>2</v>
      </c>
      <c r="V389" s="15">
        <f t="shared" ca="1" si="13"/>
        <v>5</v>
      </c>
    </row>
    <row r="390" spans="1:22">
      <c r="A390" t="s">
        <v>1263</v>
      </c>
      <c r="B390" s="1">
        <v>41061.8596412037</v>
      </c>
      <c r="C390" s="2">
        <v>50000</v>
      </c>
      <c r="D390">
        <v>50000</v>
      </c>
      <c r="E390" t="s">
        <v>1856</v>
      </c>
      <c r="F390" s="5">
        <v>50000</v>
      </c>
      <c r="G390" s="5">
        <v>50000</v>
      </c>
      <c r="H390" s="5">
        <f ca="1">OFFSET(F390,0,Brains!$D$1,1,1)</f>
        <v>50000</v>
      </c>
      <c r="I390" t="s">
        <v>2721</v>
      </c>
      <c r="J390" t="s">
        <v>1858</v>
      </c>
      <c r="K390" t="s">
        <v>1869</v>
      </c>
      <c r="L390" t="s">
        <v>1869</v>
      </c>
      <c r="M390" t="s">
        <v>3941</v>
      </c>
      <c r="N390" t="s">
        <v>1866</v>
      </c>
      <c r="O390" s="7" t="s">
        <v>3920</v>
      </c>
      <c r="P390" s="17" t="str">
        <f t="shared" ca="1" si="12"/>
        <v>50-74.9K</v>
      </c>
      <c r="Q390" s="17">
        <v>8</v>
      </c>
      <c r="R390">
        <v>2</v>
      </c>
      <c r="S390">
        <v>5</v>
      </c>
      <c r="T390">
        <v>1</v>
      </c>
      <c r="U390">
        <v>2</v>
      </c>
      <c r="V390" s="15">
        <f t="shared" ca="1" si="13"/>
        <v>4</v>
      </c>
    </row>
    <row r="391" spans="1:22">
      <c r="A391" t="s">
        <v>1512</v>
      </c>
      <c r="B391" s="1">
        <v>41067.981516203705</v>
      </c>
      <c r="C391" s="2">
        <v>45000</v>
      </c>
      <c r="D391">
        <v>45000</v>
      </c>
      <c r="E391" t="s">
        <v>1856</v>
      </c>
      <c r="F391" s="5">
        <v>45000</v>
      </c>
      <c r="G391" s="5">
        <v>45000</v>
      </c>
      <c r="H391" s="5">
        <f ca="1">OFFSET(F391,0,Brains!$D$1,1,1)</f>
        <v>45000</v>
      </c>
      <c r="I391" t="s">
        <v>1513</v>
      </c>
      <c r="J391" t="s">
        <v>1858</v>
      </c>
      <c r="K391" t="s">
        <v>1869</v>
      </c>
      <c r="L391" t="s">
        <v>1869</v>
      </c>
      <c r="M391" t="s">
        <v>3941</v>
      </c>
      <c r="N391" t="s">
        <v>1866</v>
      </c>
      <c r="O391" s="7" t="s">
        <v>3920</v>
      </c>
      <c r="P391" s="17" t="str">
        <f t="shared" ca="1" si="12"/>
        <v>30-49.9K</v>
      </c>
      <c r="Q391" s="17">
        <v>8</v>
      </c>
      <c r="R391">
        <v>2</v>
      </c>
      <c r="S391">
        <v>5</v>
      </c>
      <c r="T391">
        <v>1</v>
      </c>
      <c r="U391">
        <v>2</v>
      </c>
      <c r="V391" s="15">
        <f t="shared" ca="1" si="13"/>
        <v>3</v>
      </c>
    </row>
    <row r="392" spans="1:22">
      <c r="A392" t="s">
        <v>1029</v>
      </c>
      <c r="B392" s="1">
        <v>41059.76116898148</v>
      </c>
      <c r="C392" s="2">
        <v>42000</v>
      </c>
      <c r="D392">
        <v>42000</v>
      </c>
      <c r="E392" t="s">
        <v>1856</v>
      </c>
      <c r="F392" s="5">
        <v>42000</v>
      </c>
      <c r="G392" s="5">
        <v>42000</v>
      </c>
      <c r="H392" s="5">
        <f ca="1">OFFSET(F392,0,Brains!$D$1,1,1)</f>
        <v>42000</v>
      </c>
      <c r="I392" t="s">
        <v>1030</v>
      </c>
      <c r="J392" t="s">
        <v>1858</v>
      </c>
      <c r="K392" t="s">
        <v>1869</v>
      </c>
      <c r="L392" t="s">
        <v>1869</v>
      </c>
      <c r="M392" t="s">
        <v>3941</v>
      </c>
      <c r="N392" t="s">
        <v>1866</v>
      </c>
      <c r="O392" s="7" t="s">
        <v>3920</v>
      </c>
      <c r="P392" s="17" t="str">
        <f t="shared" ca="1" si="12"/>
        <v>30-49.9K</v>
      </c>
      <c r="Q392" s="17">
        <v>8</v>
      </c>
      <c r="R392">
        <v>2</v>
      </c>
      <c r="S392">
        <v>5</v>
      </c>
      <c r="T392">
        <v>1</v>
      </c>
      <c r="U392">
        <v>2</v>
      </c>
      <c r="V392" s="15">
        <f t="shared" ca="1" si="13"/>
        <v>3</v>
      </c>
    </row>
    <row r="393" spans="1:22">
      <c r="A393" t="s">
        <v>3696</v>
      </c>
      <c r="B393" s="1">
        <v>41056.262280092589</v>
      </c>
      <c r="C393" s="2">
        <v>40000</v>
      </c>
      <c r="D393">
        <v>40000</v>
      </c>
      <c r="E393" t="s">
        <v>1856</v>
      </c>
      <c r="F393" s="5">
        <v>40000</v>
      </c>
      <c r="G393" s="5">
        <v>40000</v>
      </c>
      <c r="H393" s="5">
        <f ca="1">OFFSET(F393,0,Brains!$D$1,1,1)</f>
        <v>40000</v>
      </c>
      <c r="I393" t="s">
        <v>3697</v>
      </c>
      <c r="J393" t="s">
        <v>1858</v>
      </c>
      <c r="K393" t="s">
        <v>1869</v>
      </c>
      <c r="L393" t="s">
        <v>1869</v>
      </c>
      <c r="M393" t="s">
        <v>3941</v>
      </c>
      <c r="N393" t="s">
        <v>1866</v>
      </c>
      <c r="O393" s="7" t="s">
        <v>3920</v>
      </c>
      <c r="P393" s="17" t="str">
        <f t="shared" ca="1" si="12"/>
        <v>30-49.9K</v>
      </c>
      <c r="Q393" s="17">
        <v>8</v>
      </c>
      <c r="R393">
        <v>2</v>
      </c>
      <c r="S393">
        <v>5</v>
      </c>
      <c r="T393">
        <v>1</v>
      </c>
      <c r="U393">
        <v>2</v>
      </c>
      <c r="V393" s="15">
        <f t="shared" ca="1" si="13"/>
        <v>3</v>
      </c>
    </row>
    <row r="394" spans="1:22">
      <c r="A394" t="s">
        <v>1629</v>
      </c>
      <c r="B394" s="1">
        <v>41072.510949074072</v>
      </c>
      <c r="C394" s="2">
        <v>85000</v>
      </c>
      <c r="D394">
        <v>85000</v>
      </c>
      <c r="E394" t="s">
        <v>1856</v>
      </c>
      <c r="F394" s="5">
        <v>85000</v>
      </c>
      <c r="G394" s="5">
        <v>85000</v>
      </c>
      <c r="H394" s="5">
        <f ca="1">OFFSET(F394,0,Brains!$D$1,1,1)</f>
        <v>85000</v>
      </c>
      <c r="I394" t="s">
        <v>1630</v>
      </c>
      <c r="J394" t="s">
        <v>1858</v>
      </c>
      <c r="K394" t="s">
        <v>1869</v>
      </c>
      <c r="L394" t="s">
        <v>1869</v>
      </c>
      <c r="M394" t="s">
        <v>3941</v>
      </c>
      <c r="N394" t="s">
        <v>1866</v>
      </c>
      <c r="O394" s="7" t="s">
        <v>3920</v>
      </c>
      <c r="P394" s="17" t="str">
        <f t="shared" ca="1" si="12"/>
        <v>75-99.9K</v>
      </c>
      <c r="Q394" s="17">
        <v>8</v>
      </c>
      <c r="R394">
        <v>3</v>
      </c>
      <c r="S394">
        <v>5</v>
      </c>
      <c r="T394">
        <v>1</v>
      </c>
      <c r="U394">
        <v>2</v>
      </c>
      <c r="V394" s="15">
        <f t="shared" ca="1" si="13"/>
        <v>5</v>
      </c>
    </row>
    <row r="395" spans="1:22">
      <c r="A395" t="s">
        <v>3197</v>
      </c>
      <c r="B395" s="1">
        <v>41055.47078703704</v>
      </c>
      <c r="C395" s="2">
        <v>39000</v>
      </c>
      <c r="D395">
        <v>39000</v>
      </c>
      <c r="E395" t="s">
        <v>1856</v>
      </c>
      <c r="F395" s="5">
        <v>39000</v>
      </c>
      <c r="G395" s="5">
        <v>39000</v>
      </c>
      <c r="H395" s="5">
        <f ca="1">OFFSET(F395,0,Brains!$D$1,1,1)</f>
        <v>39000</v>
      </c>
      <c r="I395" t="s">
        <v>3198</v>
      </c>
      <c r="J395" t="s">
        <v>1858</v>
      </c>
      <c r="K395" t="s">
        <v>1869</v>
      </c>
      <c r="L395" t="s">
        <v>1869</v>
      </c>
      <c r="M395" t="s">
        <v>3941</v>
      </c>
      <c r="N395" t="s">
        <v>1866</v>
      </c>
      <c r="O395" s="7" t="s">
        <v>3920</v>
      </c>
      <c r="P395" s="17" t="str">
        <f t="shared" ca="1" si="12"/>
        <v>30-49.9K</v>
      </c>
      <c r="Q395" s="17">
        <v>8</v>
      </c>
      <c r="R395">
        <v>3</v>
      </c>
      <c r="S395">
        <v>5</v>
      </c>
      <c r="T395">
        <v>1</v>
      </c>
      <c r="U395">
        <v>2</v>
      </c>
      <c r="V395" s="15">
        <f t="shared" ca="1" si="13"/>
        <v>3</v>
      </c>
    </row>
    <row r="396" spans="1:22">
      <c r="A396" t="s">
        <v>1823</v>
      </c>
      <c r="B396" s="1">
        <v>41080.161574074074</v>
      </c>
      <c r="C396" s="2">
        <v>50000</v>
      </c>
      <c r="D396">
        <v>50000</v>
      </c>
      <c r="E396" t="s">
        <v>1856</v>
      </c>
      <c r="F396" s="5">
        <v>50000</v>
      </c>
      <c r="G396" s="5">
        <v>50000</v>
      </c>
      <c r="H396" s="5">
        <f ca="1">OFFSET(F396,0,Brains!$D$1,1,1)</f>
        <v>50000</v>
      </c>
      <c r="I396" t="s">
        <v>1824</v>
      </c>
      <c r="J396" t="s">
        <v>1858</v>
      </c>
      <c r="K396" t="s">
        <v>1869</v>
      </c>
      <c r="L396" t="s">
        <v>1869</v>
      </c>
      <c r="M396" t="s">
        <v>3941</v>
      </c>
      <c r="N396" t="s">
        <v>1866</v>
      </c>
      <c r="O396" s="7" t="s">
        <v>3920</v>
      </c>
      <c r="P396" s="17" t="str">
        <f t="shared" ca="1" si="12"/>
        <v>50-74.9K</v>
      </c>
      <c r="Q396" s="17">
        <v>8</v>
      </c>
      <c r="R396">
        <v>3.5</v>
      </c>
      <c r="S396">
        <v>5</v>
      </c>
      <c r="T396">
        <v>1</v>
      </c>
      <c r="U396">
        <v>2</v>
      </c>
      <c r="V396" s="15">
        <f t="shared" ca="1" si="13"/>
        <v>4</v>
      </c>
    </row>
    <row r="397" spans="1:22">
      <c r="A397" t="s">
        <v>1455</v>
      </c>
      <c r="B397" s="1">
        <v>41066.095300925925</v>
      </c>
      <c r="C397" s="2">
        <v>65000</v>
      </c>
      <c r="D397">
        <v>65000</v>
      </c>
      <c r="E397" t="s">
        <v>1856</v>
      </c>
      <c r="F397" s="5">
        <v>65000</v>
      </c>
      <c r="G397" s="5">
        <v>65000</v>
      </c>
      <c r="H397" s="5">
        <f ca="1">OFFSET(F397,0,Brains!$D$1,1,1)</f>
        <v>65000</v>
      </c>
      <c r="I397" t="s">
        <v>1456</v>
      </c>
      <c r="J397" t="s">
        <v>1858</v>
      </c>
      <c r="K397" t="s">
        <v>1869</v>
      </c>
      <c r="L397" t="s">
        <v>1869</v>
      </c>
      <c r="M397" t="s">
        <v>3941</v>
      </c>
      <c r="N397" t="s">
        <v>1866</v>
      </c>
      <c r="O397" s="7" t="s">
        <v>3920</v>
      </c>
      <c r="P397" s="17" t="str">
        <f t="shared" ca="1" si="12"/>
        <v>50-74.9K</v>
      </c>
      <c r="Q397" s="17">
        <v>8</v>
      </c>
      <c r="R397">
        <v>4</v>
      </c>
      <c r="S397">
        <v>5</v>
      </c>
      <c r="T397">
        <v>1</v>
      </c>
      <c r="U397">
        <v>2</v>
      </c>
      <c r="V397" s="15">
        <f t="shared" ca="1" si="13"/>
        <v>4</v>
      </c>
    </row>
    <row r="398" spans="1:22">
      <c r="A398" t="s">
        <v>3489</v>
      </c>
      <c r="B398" s="1">
        <v>41055.725474537037</v>
      </c>
      <c r="C398" s="2">
        <v>41000</v>
      </c>
      <c r="D398">
        <v>41000</v>
      </c>
      <c r="E398" t="s">
        <v>1856</v>
      </c>
      <c r="F398" s="5">
        <v>41000</v>
      </c>
      <c r="G398" s="5">
        <v>41000</v>
      </c>
      <c r="H398" s="5">
        <f ca="1">OFFSET(F398,0,Brains!$D$1,1,1)</f>
        <v>41000</v>
      </c>
      <c r="I398" t="s">
        <v>2195</v>
      </c>
      <c r="J398" t="s">
        <v>1858</v>
      </c>
      <c r="K398" t="s">
        <v>1869</v>
      </c>
      <c r="L398" t="s">
        <v>1869</v>
      </c>
      <c r="M398" t="s">
        <v>3941</v>
      </c>
      <c r="N398" t="s">
        <v>1866</v>
      </c>
      <c r="O398" s="7" t="s">
        <v>3920</v>
      </c>
      <c r="P398" s="17" t="str">
        <f t="shared" ca="1" si="12"/>
        <v>30-49.9K</v>
      </c>
      <c r="Q398" s="17">
        <v>8</v>
      </c>
      <c r="R398">
        <v>4</v>
      </c>
      <c r="S398">
        <v>5</v>
      </c>
      <c r="T398">
        <v>1</v>
      </c>
      <c r="U398">
        <v>2</v>
      </c>
      <c r="V398" s="15">
        <f t="shared" ca="1" si="13"/>
        <v>3</v>
      </c>
    </row>
    <row r="399" spans="1:22">
      <c r="A399" t="s">
        <v>3679</v>
      </c>
      <c r="B399" s="1">
        <v>41056.142974537041</v>
      </c>
      <c r="C399" s="2">
        <v>40000</v>
      </c>
      <c r="D399">
        <v>40000</v>
      </c>
      <c r="E399" t="s">
        <v>1856</v>
      </c>
      <c r="F399" s="5">
        <v>40000</v>
      </c>
      <c r="G399" s="5">
        <v>40000</v>
      </c>
      <c r="H399" s="5">
        <f ca="1">OFFSET(F399,0,Brains!$D$1,1,1)</f>
        <v>40000</v>
      </c>
      <c r="I399" t="s">
        <v>3680</v>
      </c>
      <c r="J399" t="s">
        <v>1858</v>
      </c>
      <c r="K399" t="s">
        <v>1869</v>
      </c>
      <c r="L399" t="s">
        <v>1869</v>
      </c>
      <c r="M399" t="s">
        <v>3941</v>
      </c>
      <c r="N399" t="s">
        <v>1866</v>
      </c>
      <c r="O399" s="7" t="s">
        <v>3920</v>
      </c>
      <c r="P399" s="17" t="str">
        <f t="shared" ca="1" si="12"/>
        <v>30-49.9K</v>
      </c>
      <c r="Q399" s="17">
        <v>8</v>
      </c>
      <c r="R399">
        <v>4</v>
      </c>
      <c r="S399">
        <v>5</v>
      </c>
      <c r="T399">
        <v>1</v>
      </c>
      <c r="U399">
        <v>2</v>
      </c>
      <c r="V399" s="15">
        <f t="shared" ca="1" si="13"/>
        <v>3</v>
      </c>
    </row>
    <row r="400" spans="1:22">
      <c r="A400" t="s">
        <v>1517</v>
      </c>
      <c r="B400" s="1">
        <v>41068.014849537038</v>
      </c>
      <c r="C400" s="2">
        <v>75000</v>
      </c>
      <c r="D400">
        <v>75000</v>
      </c>
      <c r="E400" t="s">
        <v>1856</v>
      </c>
      <c r="F400" s="5">
        <v>75000</v>
      </c>
      <c r="G400" s="5">
        <v>75000</v>
      </c>
      <c r="H400" s="5">
        <f ca="1">OFFSET(F400,0,Brains!$D$1,1,1)</f>
        <v>75000</v>
      </c>
      <c r="I400" t="s">
        <v>2614</v>
      </c>
      <c r="J400" t="s">
        <v>1858</v>
      </c>
      <c r="K400" t="s">
        <v>1869</v>
      </c>
      <c r="L400" t="s">
        <v>1869</v>
      </c>
      <c r="M400" t="s">
        <v>3941</v>
      </c>
      <c r="N400" t="s">
        <v>1866</v>
      </c>
      <c r="O400" s="7" t="s">
        <v>3920</v>
      </c>
      <c r="P400" s="17" t="str">
        <f t="shared" ca="1" si="12"/>
        <v>75-99.9K</v>
      </c>
      <c r="Q400" s="17">
        <v>8</v>
      </c>
      <c r="R400">
        <v>5</v>
      </c>
      <c r="S400">
        <v>5</v>
      </c>
      <c r="T400">
        <v>1</v>
      </c>
      <c r="U400">
        <v>2</v>
      </c>
      <c r="V400" s="15">
        <f t="shared" ca="1" si="13"/>
        <v>5</v>
      </c>
    </row>
    <row r="401" spans="1:22">
      <c r="A401" t="s">
        <v>1246</v>
      </c>
      <c r="B401" s="1">
        <v>41061.652314814812</v>
      </c>
      <c r="C401" s="2" t="s">
        <v>1247</v>
      </c>
      <c r="D401">
        <v>52000</v>
      </c>
      <c r="E401" t="s">
        <v>1856</v>
      </c>
      <c r="F401" s="5">
        <v>52000</v>
      </c>
      <c r="G401" s="5">
        <v>52000</v>
      </c>
      <c r="H401" s="5">
        <f ca="1">OFFSET(F401,0,Brains!$D$1,1,1)</f>
        <v>52000</v>
      </c>
      <c r="I401" t="s">
        <v>2798</v>
      </c>
      <c r="J401" t="s">
        <v>1858</v>
      </c>
      <c r="K401" t="s">
        <v>1869</v>
      </c>
      <c r="L401" t="s">
        <v>1869</v>
      </c>
      <c r="M401" t="s">
        <v>3941</v>
      </c>
      <c r="N401" t="s">
        <v>1866</v>
      </c>
      <c r="O401" s="7" t="s">
        <v>3920</v>
      </c>
      <c r="P401" s="17" t="str">
        <f t="shared" ca="1" si="12"/>
        <v>50-74.9K</v>
      </c>
      <c r="Q401" s="17">
        <v>8</v>
      </c>
      <c r="R401">
        <v>5</v>
      </c>
      <c r="S401">
        <v>5</v>
      </c>
      <c r="T401">
        <v>1</v>
      </c>
      <c r="U401">
        <v>2</v>
      </c>
      <c r="V401" s="15">
        <f t="shared" ca="1" si="13"/>
        <v>4</v>
      </c>
    </row>
    <row r="402" spans="1:22">
      <c r="A402" t="s">
        <v>1840</v>
      </c>
      <c r="B402" s="1">
        <v>41081.197453703702</v>
      </c>
      <c r="C402" s="2">
        <v>46359</v>
      </c>
      <c r="D402">
        <v>46359</v>
      </c>
      <c r="E402" t="s">
        <v>1856</v>
      </c>
      <c r="F402" s="5">
        <v>46359</v>
      </c>
      <c r="G402" s="5">
        <v>46359</v>
      </c>
      <c r="H402" s="5">
        <f ca="1">OFFSET(F402,0,Brains!$D$1,1,1)</f>
        <v>46359</v>
      </c>
      <c r="I402" t="s">
        <v>2099</v>
      </c>
      <c r="J402" t="s">
        <v>1858</v>
      </c>
      <c r="K402" t="s">
        <v>1869</v>
      </c>
      <c r="L402" t="s">
        <v>1869</v>
      </c>
      <c r="M402" t="s">
        <v>3941</v>
      </c>
      <c r="N402" t="s">
        <v>1866</v>
      </c>
      <c r="O402" s="7" t="s">
        <v>3920</v>
      </c>
      <c r="P402" s="17" t="str">
        <f t="shared" ca="1" si="12"/>
        <v>30-49.9K</v>
      </c>
      <c r="Q402" s="17">
        <v>8</v>
      </c>
      <c r="R402">
        <v>5</v>
      </c>
      <c r="S402">
        <v>5</v>
      </c>
      <c r="T402">
        <v>1</v>
      </c>
      <c r="U402">
        <v>2</v>
      </c>
      <c r="V402" s="15">
        <f t="shared" ca="1" si="13"/>
        <v>3</v>
      </c>
    </row>
    <row r="403" spans="1:22">
      <c r="A403" t="s">
        <v>1103</v>
      </c>
      <c r="B403" s="1">
        <v>41060.210405092592</v>
      </c>
      <c r="C403" s="2">
        <v>45000</v>
      </c>
      <c r="D403">
        <v>45000</v>
      </c>
      <c r="E403" t="s">
        <v>1856</v>
      </c>
      <c r="F403" s="5">
        <v>45000</v>
      </c>
      <c r="G403" s="5">
        <v>45000</v>
      </c>
      <c r="H403" s="5">
        <f ca="1">OFFSET(F403,0,Brains!$D$1,1,1)</f>
        <v>45000</v>
      </c>
      <c r="I403" t="s">
        <v>1104</v>
      </c>
      <c r="J403" t="s">
        <v>1858</v>
      </c>
      <c r="K403" t="s">
        <v>1869</v>
      </c>
      <c r="L403" t="s">
        <v>1869</v>
      </c>
      <c r="M403" t="s">
        <v>3941</v>
      </c>
      <c r="N403" t="s">
        <v>1866</v>
      </c>
      <c r="O403" s="7" t="s">
        <v>3920</v>
      </c>
      <c r="P403" s="17" t="str">
        <f t="shared" ca="1" si="12"/>
        <v>30-49.9K</v>
      </c>
      <c r="Q403" s="17">
        <v>8</v>
      </c>
      <c r="R403">
        <v>5</v>
      </c>
      <c r="S403">
        <v>5</v>
      </c>
      <c r="T403">
        <v>1</v>
      </c>
      <c r="U403">
        <v>2</v>
      </c>
      <c r="V403" s="15">
        <f t="shared" ca="1" si="13"/>
        <v>3</v>
      </c>
    </row>
    <row r="404" spans="1:22">
      <c r="A404" t="s">
        <v>1816</v>
      </c>
      <c r="B404" s="1">
        <v>41080.056122685186</v>
      </c>
      <c r="C404" s="2">
        <v>250000</v>
      </c>
      <c r="D404">
        <v>250000</v>
      </c>
      <c r="E404" t="s">
        <v>1908</v>
      </c>
      <c r="F404" s="5">
        <v>4451.9791718606421</v>
      </c>
      <c r="G404" s="5">
        <v>12448.959267005279</v>
      </c>
      <c r="H404" s="5">
        <f ca="1">OFFSET(F404,0,Brains!$D$1,1,1)</f>
        <v>12448.959267005279</v>
      </c>
      <c r="I404" t="s">
        <v>1817</v>
      </c>
      <c r="J404" t="s">
        <v>1858</v>
      </c>
      <c r="K404" t="s">
        <v>1859</v>
      </c>
      <c r="L404" t="s">
        <v>1859</v>
      </c>
      <c r="M404" s="11" t="s">
        <v>3919</v>
      </c>
      <c r="N404" t="s">
        <v>2155</v>
      </c>
      <c r="O404" s="7" t="s">
        <v>3920</v>
      </c>
      <c r="P404" s="17" t="str">
        <f t="shared" ca="1" si="12"/>
        <v>0-14.9K</v>
      </c>
      <c r="Q404" s="17">
        <v>0</v>
      </c>
      <c r="R404">
        <v>1.6</v>
      </c>
      <c r="S404">
        <v>1</v>
      </c>
      <c r="T404">
        <v>1</v>
      </c>
      <c r="U404">
        <v>2</v>
      </c>
      <c r="V404" s="15">
        <f t="shared" ca="1" si="13"/>
        <v>1</v>
      </c>
    </row>
    <row r="405" spans="1:22">
      <c r="A405" t="s">
        <v>543</v>
      </c>
      <c r="B405" s="1">
        <v>41058.144872685189</v>
      </c>
      <c r="C405" s="2" t="s">
        <v>544</v>
      </c>
      <c r="D405">
        <v>35000</v>
      </c>
      <c r="E405" t="s">
        <v>1880</v>
      </c>
      <c r="F405" s="5">
        <v>44463.980364706273</v>
      </c>
      <c r="G405" s="5">
        <v>43966.9770316512</v>
      </c>
      <c r="H405" s="5">
        <f ca="1">OFFSET(F405,0,Brains!$D$1,1,1)</f>
        <v>43966.9770316512</v>
      </c>
      <c r="I405" t="s">
        <v>2195</v>
      </c>
      <c r="J405" t="s">
        <v>1858</v>
      </c>
      <c r="K405" t="s">
        <v>1902</v>
      </c>
      <c r="L405" t="s">
        <v>1902</v>
      </c>
      <c r="M405" s="7" t="s">
        <v>3941</v>
      </c>
      <c r="N405" t="s">
        <v>1866</v>
      </c>
      <c r="O405" s="7" t="s">
        <v>3922</v>
      </c>
      <c r="P405" s="17" t="str">
        <f t="shared" ca="1" si="12"/>
        <v>30-49.9K</v>
      </c>
      <c r="Q405" s="17">
        <v>8</v>
      </c>
      <c r="R405">
        <v>12</v>
      </c>
      <c r="S405">
        <v>5</v>
      </c>
      <c r="T405">
        <v>3</v>
      </c>
      <c r="U405">
        <v>2</v>
      </c>
      <c r="V405" s="15">
        <f t="shared" ca="1" si="13"/>
        <v>3</v>
      </c>
    </row>
    <row r="406" spans="1:22">
      <c r="A406" t="s">
        <v>141</v>
      </c>
      <c r="B406" s="1">
        <v>41057.567476851851</v>
      </c>
      <c r="C406" s="2">
        <v>600000</v>
      </c>
      <c r="D406">
        <v>600000</v>
      </c>
      <c r="E406" t="s">
        <v>1908</v>
      </c>
      <c r="F406" s="5">
        <v>10684.750012465542</v>
      </c>
      <c r="G406" s="5">
        <v>29877.502240812668</v>
      </c>
      <c r="H406" s="5">
        <f ca="1">OFFSET(F406,0,Brains!$D$1,1,1)</f>
        <v>29877.502240812668</v>
      </c>
      <c r="I406" t="s">
        <v>2195</v>
      </c>
      <c r="J406" t="s">
        <v>1858</v>
      </c>
      <c r="K406" t="s">
        <v>1859</v>
      </c>
      <c r="L406" t="s">
        <v>1859</v>
      </c>
      <c r="M406" s="7" t="s">
        <v>3941</v>
      </c>
      <c r="N406" t="s">
        <v>1866</v>
      </c>
      <c r="O406" s="7" t="s">
        <v>3922</v>
      </c>
      <c r="P406" s="17" t="str">
        <f t="shared" ca="1" si="12"/>
        <v>15-29.9K</v>
      </c>
      <c r="Q406" s="17">
        <v>8</v>
      </c>
      <c r="R406">
        <v>12</v>
      </c>
      <c r="S406">
        <v>5</v>
      </c>
      <c r="T406">
        <v>3</v>
      </c>
      <c r="U406">
        <v>2</v>
      </c>
      <c r="V406" s="15">
        <f t="shared" ca="1" si="13"/>
        <v>2</v>
      </c>
    </row>
    <row r="407" spans="1:22">
      <c r="A407" t="s">
        <v>1041</v>
      </c>
      <c r="B407" s="1">
        <v>41059.81082175926</v>
      </c>
      <c r="C407" s="2" t="s">
        <v>1042</v>
      </c>
      <c r="D407">
        <v>60000</v>
      </c>
      <c r="E407" t="s">
        <v>1880</v>
      </c>
      <c r="F407" s="5">
        <v>76223.966339496474</v>
      </c>
      <c r="G407" s="5">
        <v>75371.960625687774</v>
      </c>
      <c r="H407" s="5">
        <f ca="1">OFFSET(F407,0,Brains!$D$1,1,1)</f>
        <v>75371.960625687774</v>
      </c>
      <c r="I407" t="s">
        <v>2022</v>
      </c>
      <c r="J407" t="s">
        <v>1858</v>
      </c>
      <c r="K407" t="s">
        <v>471</v>
      </c>
      <c r="L407" t="s">
        <v>471</v>
      </c>
      <c r="M407" s="7" t="s">
        <v>3941</v>
      </c>
      <c r="N407" t="s">
        <v>1866</v>
      </c>
      <c r="O407" s="7" t="s">
        <v>3922</v>
      </c>
      <c r="P407" s="17" t="str">
        <f t="shared" ca="1" si="12"/>
        <v>75-99.9K</v>
      </c>
      <c r="Q407" s="17">
        <v>8</v>
      </c>
      <c r="R407">
        <v>14</v>
      </c>
      <c r="S407">
        <v>5</v>
      </c>
      <c r="T407">
        <v>3</v>
      </c>
      <c r="U407">
        <v>2</v>
      </c>
      <c r="V407" s="15">
        <f t="shared" ca="1" si="13"/>
        <v>5</v>
      </c>
    </row>
    <row r="408" spans="1:22">
      <c r="A408" t="s">
        <v>213</v>
      </c>
      <c r="B408" s="1">
        <v>41057.645752314813</v>
      </c>
      <c r="C408" s="2" t="s">
        <v>2071</v>
      </c>
      <c r="D408">
        <v>30000</v>
      </c>
      <c r="E408" t="s">
        <v>1954</v>
      </c>
      <c r="F408" s="5">
        <v>47285.348162018527</v>
      </c>
      <c r="G408" s="5">
        <v>44510.385756676558</v>
      </c>
      <c r="H408" s="5">
        <f ca="1">OFFSET(F408,0,Brains!$D$1,1,1)</f>
        <v>44510.385756676558</v>
      </c>
      <c r="I408" t="s">
        <v>2099</v>
      </c>
      <c r="J408" t="s">
        <v>1858</v>
      </c>
      <c r="K408" t="s">
        <v>1956</v>
      </c>
      <c r="L408" t="s">
        <v>1956</v>
      </c>
      <c r="M408" s="7" t="s">
        <v>3941</v>
      </c>
      <c r="N408" t="s">
        <v>1866</v>
      </c>
      <c r="O408" s="7" t="s">
        <v>3922</v>
      </c>
      <c r="P408" s="17" t="str">
        <f t="shared" ca="1" si="12"/>
        <v>30-49.9K</v>
      </c>
      <c r="Q408" s="17">
        <v>8</v>
      </c>
      <c r="R408">
        <v>15</v>
      </c>
      <c r="S408">
        <v>5</v>
      </c>
      <c r="T408">
        <v>3</v>
      </c>
      <c r="U408">
        <v>2</v>
      </c>
      <c r="V408" s="15">
        <f t="shared" ca="1" si="13"/>
        <v>3</v>
      </c>
    </row>
    <row r="409" spans="1:22">
      <c r="A409" t="s">
        <v>1175</v>
      </c>
      <c r="B409" s="1">
        <v>41060.908738425926</v>
      </c>
      <c r="C409" s="2">
        <v>1200</v>
      </c>
      <c r="D409">
        <v>14400</v>
      </c>
      <c r="E409" t="s">
        <v>1856</v>
      </c>
      <c r="F409" s="5">
        <v>14400</v>
      </c>
      <c r="G409" s="5">
        <v>14400</v>
      </c>
      <c r="H409" s="5">
        <f ca="1">OFFSET(F409,0,Brains!$D$1,1,1)</f>
        <v>14400</v>
      </c>
      <c r="I409" t="s">
        <v>1176</v>
      </c>
      <c r="J409" t="s">
        <v>1858</v>
      </c>
      <c r="K409" t="s">
        <v>1177</v>
      </c>
      <c r="L409" t="s">
        <v>1177</v>
      </c>
      <c r="M409" s="7" t="s">
        <v>3941</v>
      </c>
      <c r="N409" t="s">
        <v>1866</v>
      </c>
      <c r="O409" s="7" t="s">
        <v>3922</v>
      </c>
      <c r="P409" s="17" t="str">
        <f t="shared" ca="1" si="12"/>
        <v>0-14.9K</v>
      </c>
      <c r="Q409" s="17">
        <v>8</v>
      </c>
      <c r="R409">
        <v>15</v>
      </c>
      <c r="S409">
        <v>5</v>
      </c>
      <c r="T409">
        <v>3</v>
      </c>
      <c r="U409">
        <v>2</v>
      </c>
      <c r="V409" s="15">
        <f t="shared" ca="1" si="13"/>
        <v>1</v>
      </c>
    </row>
    <row r="410" spans="1:22">
      <c r="A410" t="s">
        <v>735</v>
      </c>
      <c r="B410" s="1">
        <v>41058.688263888886</v>
      </c>
      <c r="C410" s="2">
        <v>75000</v>
      </c>
      <c r="D410">
        <v>75000</v>
      </c>
      <c r="E410" t="s">
        <v>1880</v>
      </c>
      <c r="F410" s="5">
        <v>95279.957924370581</v>
      </c>
      <c r="G410" s="5">
        <v>94214.950782109721</v>
      </c>
      <c r="H410" s="5">
        <f ca="1">OFFSET(F410,0,Brains!$D$1,1,1)</f>
        <v>94214.950782109721</v>
      </c>
      <c r="I410" t="s">
        <v>1868</v>
      </c>
      <c r="J410" t="s">
        <v>1858</v>
      </c>
      <c r="K410" t="s">
        <v>2998</v>
      </c>
      <c r="L410" t="s">
        <v>2998</v>
      </c>
      <c r="M410" s="7" t="s">
        <v>3941</v>
      </c>
      <c r="N410" t="s">
        <v>1866</v>
      </c>
      <c r="O410" s="7" t="s">
        <v>3922</v>
      </c>
      <c r="P410" s="17" t="str">
        <f t="shared" ca="1" si="12"/>
        <v>75-99.9K</v>
      </c>
      <c r="Q410" s="17">
        <v>8</v>
      </c>
      <c r="R410">
        <v>16</v>
      </c>
      <c r="S410">
        <v>5</v>
      </c>
      <c r="T410">
        <v>3</v>
      </c>
      <c r="U410">
        <v>2</v>
      </c>
      <c r="V410" s="15">
        <f t="shared" ca="1" si="13"/>
        <v>5</v>
      </c>
    </row>
    <row r="411" spans="1:22">
      <c r="A411" t="s">
        <v>1063</v>
      </c>
      <c r="B411" s="1">
        <v>41059.906319444446</v>
      </c>
      <c r="C411" s="2">
        <v>74000</v>
      </c>
      <c r="D411">
        <v>74000</v>
      </c>
      <c r="E411" t="s">
        <v>1973</v>
      </c>
      <c r="F411" s="5">
        <v>75473.31457379504</v>
      </c>
      <c r="G411" s="5">
        <v>47073.791348600513</v>
      </c>
      <c r="H411" s="5">
        <f ca="1">OFFSET(F411,0,Brains!$D$1,1,1)</f>
        <v>47073.791348600513</v>
      </c>
      <c r="I411" t="s">
        <v>1064</v>
      </c>
      <c r="J411" t="s">
        <v>1858</v>
      </c>
      <c r="K411" t="s">
        <v>1975</v>
      </c>
      <c r="L411" t="s">
        <v>1975</v>
      </c>
      <c r="M411" s="7" t="s">
        <v>3941</v>
      </c>
      <c r="N411" t="s">
        <v>1866</v>
      </c>
      <c r="O411" s="7" t="s">
        <v>3922</v>
      </c>
      <c r="P411" s="17" t="str">
        <f t="shared" ca="1" si="12"/>
        <v>30-49.9K</v>
      </c>
      <c r="Q411" s="17">
        <v>8</v>
      </c>
      <c r="R411">
        <v>20</v>
      </c>
      <c r="S411">
        <v>5</v>
      </c>
      <c r="T411">
        <v>3</v>
      </c>
      <c r="U411">
        <v>2</v>
      </c>
      <c r="V411" s="15">
        <f t="shared" ca="1" si="13"/>
        <v>3</v>
      </c>
    </row>
    <row r="412" spans="1:22">
      <c r="A412" t="s">
        <v>1546</v>
      </c>
      <c r="B412" s="1">
        <v>41068.866643518515</v>
      </c>
      <c r="C412" s="2">
        <v>45000</v>
      </c>
      <c r="D412">
        <v>45000</v>
      </c>
      <c r="E412" t="s">
        <v>1954</v>
      </c>
      <c r="F412" s="5">
        <v>70928.022243027779</v>
      </c>
      <c r="G412" s="5">
        <v>66765.578635014841</v>
      </c>
      <c r="H412" s="5">
        <f ca="1">OFFSET(F412,0,Brains!$D$1,1,1)</f>
        <v>66765.578635014841</v>
      </c>
      <c r="I412" t="s">
        <v>1547</v>
      </c>
      <c r="J412" t="s">
        <v>1858</v>
      </c>
      <c r="K412" t="s">
        <v>1956</v>
      </c>
      <c r="L412" t="s">
        <v>1956</v>
      </c>
      <c r="M412" s="7" t="s">
        <v>3941</v>
      </c>
      <c r="N412" t="s">
        <v>1866</v>
      </c>
      <c r="O412" s="7" t="s">
        <v>3922</v>
      </c>
      <c r="P412" s="17" t="str">
        <f t="shared" ca="1" si="12"/>
        <v>50-74.9K</v>
      </c>
      <c r="Q412" s="17">
        <v>8</v>
      </c>
      <c r="R412">
        <v>20</v>
      </c>
      <c r="S412">
        <v>5</v>
      </c>
      <c r="T412">
        <v>3</v>
      </c>
      <c r="U412">
        <v>2</v>
      </c>
      <c r="V412" s="15">
        <f t="shared" ca="1" si="13"/>
        <v>4</v>
      </c>
    </row>
    <row r="413" spans="1:22">
      <c r="A413" t="s">
        <v>1391</v>
      </c>
      <c r="B413" s="1">
        <v>41064.985266203701</v>
      </c>
      <c r="C413" s="2" t="s">
        <v>1392</v>
      </c>
      <c r="D413">
        <v>30000</v>
      </c>
      <c r="E413" t="s">
        <v>1880</v>
      </c>
      <c r="F413" s="5">
        <v>38111.983169748237</v>
      </c>
      <c r="G413" s="5">
        <v>37685.980312843887</v>
      </c>
      <c r="H413" s="5">
        <f ca="1">OFFSET(F413,0,Brains!$D$1,1,1)</f>
        <v>37685.980312843887</v>
      </c>
      <c r="I413" t="s">
        <v>1393</v>
      </c>
      <c r="J413" t="s">
        <v>1858</v>
      </c>
      <c r="K413" t="s">
        <v>2957</v>
      </c>
      <c r="L413" t="s">
        <v>2957</v>
      </c>
      <c r="M413" s="11" t="s">
        <v>3916</v>
      </c>
      <c r="N413" t="s">
        <v>1884</v>
      </c>
      <c r="O413" s="7" t="s">
        <v>3922</v>
      </c>
      <c r="P413" s="17" t="str">
        <f t="shared" ca="1" si="12"/>
        <v>30-49.9K</v>
      </c>
      <c r="Q413" s="17">
        <v>1.5</v>
      </c>
      <c r="R413">
        <v>12</v>
      </c>
      <c r="S413">
        <v>2</v>
      </c>
      <c r="T413">
        <v>3</v>
      </c>
      <c r="U413">
        <v>2</v>
      </c>
      <c r="V413" s="15">
        <f t="shared" ca="1" si="13"/>
        <v>3</v>
      </c>
    </row>
    <row r="414" spans="1:22">
      <c r="A414" t="s">
        <v>1581</v>
      </c>
      <c r="B414" s="1">
        <v>41070.666168981479</v>
      </c>
      <c r="C414" s="2">
        <v>30000</v>
      </c>
      <c r="D414">
        <v>30000</v>
      </c>
      <c r="E414" t="s">
        <v>1856</v>
      </c>
      <c r="F414" s="5">
        <v>30000</v>
      </c>
      <c r="G414" s="5">
        <v>30000</v>
      </c>
      <c r="H414" s="5">
        <f ca="1">OFFSET(F414,0,Brains!$D$1,1,1)</f>
        <v>30000</v>
      </c>
      <c r="I414" t="s">
        <v>1582</v>
      </c>
      <c r="J414" t="s">
        <v>1858</v>
      </c>
      <c r="K414" t="s">
        <v>53</v>
      </c>
      <c r="L414" t="s">
        <v>53</v>
      </c>
      <c r="M414" s="11" t="s">
        <v>3916</v>
      </c>
      <c r="N414" t="s">
        <v>1884</v>
      </c>
      <c r="O414" s="7" t="s">
        <v>3922</v>
      </c>
      <c r="P414" s="17" t="str">
        <f t="shared" ca="1" si="12"/>
        <v>30-49.9K</v>
      </c>
      <c r="Q414" s="17">
        <v>1.5</v>
      </c>
      <c r="R414">
        <v>12</v>
      </c>
      <c r="S414">
        <v>2</v>
      </c>
      <c r="T414">
        <v>3</v>
      </c>
      <c r="U414">
        <v>2</v>
      </c>
      <c r="V414" s="15">
        <f t="shared" ca="1" si="13"/>
        <v>3</v>
      </c>
    </row>
    <row r="415" spans="1:22">
      <c r="A415" t="s">
        <v>1605</v>
      </c>
      <c r="B415" s="1">
        <v>41071.819988425923</v>
      </c>
      <c r="C415" s="2" t="s">
        <v>3329</v>
      </c>
      <c r="D415">
        <v>3000</v>
      </c>
      <c r="E415" t="s">
        <v>1856</v>
      </c>
      <c r="F415" s="5">
        <v>3000</v>
      </c>
      <c r="G415" s="5">
        <v>3000</v>
      </c>
      <c r="H415" s="5">
        <f ca="1">OFFSET(F415,0,Brains!$D$1,1,1)</f>
        <v>3000</v>
      </c>
      <c r="I415" t="s">
        <v>3191</v>
      </c>
      <c r="J415" t="s">
        <v>1858</v>
      </c>
      <c r="K415" t="s">
        <v>2726</v>
      </c>
      <c r="L415" t="s">
        <v>2726</v>
      </c>
      <c r="M415" s="11" t="s">
        <v>3916</v>
      </c>
      <c r="N415" t="s">
        <v>1884</v>
      </c>
      <c r="O415" s="7" t="s">
        <v>3922</v>
      </c>
      <c r="P415" s="17" t="str">
        <f t="shared" ca="1" si="12"/>
        <v>0-14.9K</v>
      </c>
      <c r="Q415" s="17">
        <v>1.5</v>
      </c>
      <c r="R415">
        <v>12</v>
      </c>
      <c r="S415">
        <v>2</v>
      </c>
      <c r="T415">
        <v>3</v>
      </c>
      <c r="U415">
        <v>2</v>
      </c>
      <c r="V415" s="15">
        <f t="shared" ca="1" si="13"/>
        <v>1</v>
      </c>
    </row>
    <row r="416" spans="1:22">
      <c r="A416" t="s">
        <v>778</v>
      </c>
      <c r="B416" s="1">
        <v>41058.773009259261</v>
      </c>
      <c r="C416" s="2">
        <v>80000</v>
      </c>
      <c r="D416">
        <v>80000</v>
      </c>
      <c r="E416" t="s">
        <v>1856</v>
      </c>
      <c r="F416" s="5">
        <v>80000</v>
      </c>
      <c r="G416" s="5">
        <v>80000</v>
      </c>
      <c r="H416" s="5">
        <f ca="1">OFFSET(F416,0,Brains!$D$1,1,1)</f>
        <v>80000</v>
      </c>
      <c r="I416" t="s">
        <v>289</v>
      </c>
      <c r="J416" t="s">
        <v>1858</v>
      </c>
      <c r="K416" t="s">
        <v>1869</v>
      </c>
      <c r="L416" t="s">
        <v>1869</v>
      </c>
      <c r="M416" s="11" t="s">
        <v>3916</v>
      </c>
      <c r="N416" t="s">
        <v>1884</v>
      </c>
      <c r="O416" s="7" t="s">
        <v>3922</v>
      </c>
      <c r="P416" s="17" t="str">
        <f t="shared" ca="1" si="12"/>
        <v>75-99.9K</v>
      </c>
      <c r="Q416" s="17">
        <v>1.5</v>
      </c>
      <c r="R416">
        <v>14</v>
      </c>
      <c r="S416">
        <v>2</v>
      </c>
      <c r="T416">
        <v>3</v>
      </c>
      <c r="U416">
        <v>2</v>
      </c>
      <c r="V416" s="15">
        <f t="shared" ca="1" si="13"/>
        <v>5</v>
      </c>
    </row>
    <row r="417" spans="1:22">
      <c r="A417" t="s">
        <v>581</v>
      </c>
      <c r="B417" s="1">
        <v>41058.30672453704</v>
      </c>
      <c r="C417" s="2">
        <v>50700</v>
      </c>
      <c r="D417">
        <v>50700</v>
      </c>
      <c r="E417" t="s">
        <v>1856</v>
      </c>
      <c r="F417" s="5">
        <v>50700</v>
      </c>
      <c r="G417" s="5">
        <v>50700</v>
      </c>
      <c r="H417" s="5">
        <f ca="1">OFFSET(F417,0,Brains!$D$1,1,1)</f>
        <v>50700</v>
      </c>
      <c r="I417" t="s">
        <v>582</v>
      </c>
      <c r="J417" t="s">
        <v>1858</v>
      </c>
      <c r="K417" t="s">
        <v>2081</v>
      </c>
      <c r="L417" t="s">
        <v>2081</v>
      </c>
      <c r="M417" s="11" t="s">
        <v>3916</v>
      </c>
      <c r="N417" t="s">
        <v>1884</v>
      </c>
      <c r="O417" s="7" t="s">
        <v>3922</v>
      </c>
      <c r="P417" s="17" t="str">
        <f t="shared" ca="1" si="12"/>
        <v>50-74.9K</v>
      </c>
      <c r="Q417" s="17">
        <v>1.5</v>
      </c>
      <c r="R417">
        <v>15</v>
      </c>
      <c r="S417">
        <v>2</v>
      </c>
      <c r="T417">
        <v>3</v>
      </c>
      <c r="U417">
        <v>2</v>
      </c>
      <c r="V417" s="15">
        <f t="shared" ca="1" si="13"/>
        <v>4</v>
      </c>
    </row>
    <row r="418" spans="1:22">
      <c r="A418" t="s">
        <v>338</v>
      </c>
      <c r="B418" s="1">
        <v>41057.798344907409</v>
      </c>
      <c r="C418" s="2">
        <v>30000</v>
      </c>
      <c r="D418">
        <v>30000</v>
      </c>
      <c r="E418" t="s">
        <v>1880</v>
      </c>
      <c r="F418" s="5">
        <v>38111.983169748237</v>
      </c>
      <c r="G418" s="5">
        <v>37685.980312843887</v>
      </c>
      <c r="H418" s="5">
        <f ca="1">OFFSET(F418,0,Brains!$D$1,1,1)</f>
        <v>37685.980312843887</v>
      </c>
      <c r="I418" t="s">
        <v>339</v>
      </c>
      <c r="J418" t="s">
        <v>1858</v>
      </c>
      <c r="K418" t="s">
        <v>1940</v>
      </c>
      <c r="L418" t="s">
        <v>1940</v>
      </c>
      <c r="M418" s="11" t="s">
        <v>3916</v>
      </c>
      <c r="N418" t="s">
        <v>1884</v>
      </c>
      <c r="O418" s="7" t="s">
        <v>3922</v>
      </c>
      <c r="P418" s="17" t="str">
        <f t="shared" ca="1" si="12"/>
        <v>30-49.9K</v>
      </c>
      <c r="Q418" s="17">
        <v>1.5</v>
      </c>
      <c r="R418">
        <v>15</v>
      </c>
      <c r="S418">
        <v>2</v>
      </c>
      <c r="T418">
        <v>3</v>
      </c>
      <c r="U418">
        <v>2</v>
      </c>
      <c r="V418" s="15">
        <f t="shared" ca="1" si="13"/>
        <v>3</v>
      </c>
    </row>
    <row r="419" spans="1:22">
      <c r="A419" t="s">
        <v>1421</v>
      </c>
      <c r="B419" s="1">
        <v>41065.772210648145</v>
      </c>
      <c r="C419" s="2" t="s">
        <v>1422</v>
      </c>
      <c r="D419">
        <v>200000</v>
      </c>
      <c r="E419" t="s">
        <v>1908</v>
      </c>
      <c r="F419" s="5">
        <v>3561.5833374885137</v>
      </c>
      <c r="G419" s="5">
        <v>9959.167413604222</v>
      </c>
      <c r="H419" s="5">
        <f ca="1">OFFSET(F419,0,Brains!$D$1,1,1)</f>
        <v>9959.167413604222</v>
      </c>
      <c r="I419" t="s">
        <v>3236</v>
      </c>
      <c r="J419" t="s">
        <v>1858</v>
      </c>
      <c r="K419" t="s">
        <v>1859</v>
      </c>
      <c r="L419" t="s">
        <v>1859</v>
      </c>
      <c r="M419" s="11" t="s">
        <v>3916</v>
      </c>
      <c r="N419" t="s">
        <v>1884</v>
      </c>
      <c r="O419" s="7" t="s">
        <v>3922</v>
      </c>
      <c r="P419" s="17" t="str">
        <f t="shared" ca="1" si="12"/>
        <v>0-14.9K</v>
      </c>
      <c r="Q419" s="17">
        <v>1.5</v>
      </c>
      <c r="R419">
        <v>16</v>
      </c>
      <c r="S419">
        <v>2</v>
      </c>
      <c r="T419">
        <v>3</v>
      </c>
      <c r="U419">
        <v>2</v>
      </c>
      <c r="V419" s="15">
        <f t="shared" ca="1" si="13"/>
        <v>1</v>
      </c>
    </row>
    <row r="420" spans="1:22">
      <c r="A420" t="s">
        <v>3891</v>
      </c>
      <c r="B420" s="1">
        <v>41057.217106481483</v>
      </c>
      <c r="C420" s="2">
        <v>150000</v>
      </c>
      <c r="D420">
        <v>150000</v>
      </c>
      <c r="E420" t="s">
        <v>1856</v>
      </c>
      <c r="F420" s="5">
        <v>150000</v>
      </c>
      <c r="G420" s="5">
        <v>150000</v>
      </c>
      <c r="H420" s="5">
        <f ca="1">OFFSET(F420,0,Brains!$D$1,1,1)</f>
        <v>150000</v>
      </c>
      <c r="I420" t="s">
        <v>3892</v>
      </c>
      <c r="J420" t="s">
        <v>1858</v>
      </c>
      <c r="K420" t="s">
        <v>1918</v>
      </c>
      <c r="L420" t="s">
        <v>1918</v>
      </c>
      <c r="M420" s="11" t="s">
        <v>3916</v>
      </c>
      <c r="N420" t="s">
        <v>1884</v>
      </c>
      <c r="O420" s="7" t="s">
        <v>3922</v>
      </c>
      <c r="P420" s="17" t="str">
        <f t="shared" ca="1" si="12"/>
        <v>150-249.9K</v>
      </c>
      <c r="Q420" s="17">
        <v>1.5</v>
      </c>
      <c r="R420">
        <v>20</v>
      </c>
      <c r="S420">
        <v>2</v>
      </c>
      <c r="T420">
        <v>3</v>
      </c>
      <c r="U420">
        <v>2</v>
      </c>
      <c r="V420" s="15">
        <f t="shared" ca="1" si="13"/>
        <v>7</v>
      </c>
    </row>
    <row r="421" spans="1:22">
      <c r="A421" t="s">
        <v>3490</v>
      </c>
      <c r="B421" s="1">
        <v>41055.730509259258</v>
      </c>
      <c r="C421" s="2" t="s">
        <v>3491</v>
      </c>
      <c r="D421">
        <v>95000</v>
      </c>
      <c r="E421" t="s">
        <v>1973</v>
      </c>
      <c r="F421" s="5">
        <v>96891.417358250401</v>
      </c>
      <c r="G421" s="5">
        <v>60432.56997455471</v>
      </c>
      <c r="H421" s="5">
        <f ca="1">OFFSET(F421,0,Brains!$D$1,1,1)</f>
        <v>60432.56997455471</v>
      </c>
      <c r="I421" t="s">
        <v>3492</v>
      </c>
      <c r="J421" t="s">
        <v>1858</v>
      </c>
      <c r="K421" t="s">
        <v>1975</v>
      </c>
      <c r="L421" t="s">
        <v>1975</v>
      </c>
      <c r="M421" s="11" t="s">
        <v>3917</v>
      </c>
      <c r="N421" t="s">
        <v>1873</v>
      </c>
      <c r="O421" s="7" t="s">
        <v>3922</v>
      </c>
      <c r="P421" s="17" t="str">
        <f t="shared" ca="1" si="12"/>
        <v>50-74.9K</v>
      </c>
      <c r="Q421" s="17">
        <v>2.5</v>
      </c>
      <c r="R421">
        <v>11</v>
      </c>
      <c r="S421">
        <v>3</v>
      </c>
      <c r="T421">
        <v>3</v>
      </c>
      <c r="U421">
        <v>2</v>
      </c>
      <c r="V421" s="15">
        <f t="shared" ca="1" si="13"/>
        <v>4</v>
      </c>
    </row>
    <row r="422" spans="1:22">
      <c r="A422" t="s">
        <v>3074</v>
      </c>
      <c r="B422" s="1">
        <v>41055.28197916667</v>
      </c>
      <c r="C422" s="2" t="s">
        <v>3075</v>
      </c>
      <c r="D422">
        <v>95000</v>
      </c>
      <c r="E422" t="s">
        <v>1856</v>
      </c>
      <c r="F422" s="5">
        <v>95000</v>
      </c>
      <c r="G422" s="5">
        <v>95000</v>
      </c>
      <c r="H422" s="5">
        <f ca="1">OFFSET(F422,0,Brains!$D$1,1,1)</f>
        <v>95000</v>
      </c>
      <c r="I422" t="s">
        <v>2195</v>
      </c>
      <c r="J422" t="s">
        <v>1858</v>
      </c>
      <c r="K422" t="s">
        <v>1975</v>
      </c>
      <c r="L422" t="s">
        <v>1975</v>
      </c>
      <c r="M422" s="11" t="s">
        <v>3917</v>
      </c>
      <c r="N422" t="s">
        <v>1873</v>
      </c>
      <c r="O422" s="7" t="s">
        <v>3922</v>
      </c>
      <c r="P422" s="17" t="str">
        <f t="shared" ca="1" si="12"/>
        <v>75-99.9K</v>
      </c>
      <c r="Q422" s="17">
        <v>2.5</v>
      </c>
      <c r="R422">
        <v>11</v>
      </c>
      <c r="S422">
        <v>3</v>
      </c>
      <c r="T422">
        <v>3</v>
      </c>
      <c r="U422">
        <v>2</v>
      </c>
      <c r="V422" s="15">
        <f t="shared" ca="1" si="13"/>
        <v>5</v>
      </c>
    </row>
    <row r="423" spans="1:22">
      <c r="A423" t="s">
        <v>950</v>
      </c>
      <c r="B423" s="1">
        <v>41059.33699074074</v>
      </c>
      <c r="C423" s="2" t="s">
        <v>951</v>
      </c>
      <c r="D423">
        <v>55000</v>
      </c>
      <c r="E423" t="s">
        <v>1973</v>
      </c>
      <c r="F423" s="5">
        <v>56095.031102144967</v>
      </c>
      <c r="G423" s="5">
        <v>34987.277353689569</v>
      </c>
      <c r="H423" s="5">
        <f ca="1">OFFSET(F423,0,Brains!$D$1,1,1)</f>
        <v>34987.277353689569</v>
      </c>
      <c r="I423" t="s">
        <v>952</v>
      </c>
      <c r="J423" t="s">
        <v>1858</v>
      </c>
      <c r="K423" t="s">
        <v>1975</v>
      </c>
      <c r="L423" t="s">
        <v>1975</v>
      </c>
      <c r="M423" s="11" t="s">
        <v>3917</v>
      </c>
      <c r="N423" t="s">
        <v>1873</v>
      </c>
      <c r="O423" s="7" t="s">
        <v>3922</v>
      </c>
      <c r="P423" s="17" t="str">
        <f t="shared" ca="1" si="12"/>
        <v>30-49.9K</v>
      </c>
      <c r="Q423" s="17">
        <v>2.5</v>
      </c>
      <c r="R423">
        <v>11</v>
      </c>
      <c r="S423">
        <v>3</v>
      </c>
      <c r="T423">
        <v>3</v>
      </c>
      <c r="U423">
        <v>2</v>
      </c>
      <c r="V423" s="15">
        <f t="shared" ca="1" si="13"/>
        <v>3</v>
      </c>
    </row>
    <row r="424" spans="1:22">
      <c r="A424" t="s">
        <v>3406</v>
      </c>
      <c r="B424" s="1">
        <v>41055.631562499999</v>
      </c>
      <c r="C424" s="2" t="s">
        <v>3407</v>
      </c>
      <c r="D424">
        <v>1000000</v>
      </c>
      <c r="E424" t="s">
        <v>1908</v>
      </c>
      <c r="F424" s="5">
        <v>17807.916687442568</v>
      </c>
      <c r="G424" s="5">
        <v>49795.837068021116</v>
      </c>
      <c r="H424" s="5">
        <f ca="1">OFFSET(F424,0,Brains!$D$1,1,1)</f>
        <v>49795.837068021116</v>
      </c>
      <c r="I424" t="s">
        <v>3408</v>
      </c>
      <c r="J424" t="s">
        <v>1858</v>
      </c>
      <c r="K424" t="s">
        <v>1859</v>
      </c>
      <c r="L424" t="s">
        <v>1859</v>
      </c>
      <c r="M424" s="11" t="s">
        <v>3917</v>
      </c>
      <c r="N424" t="s">
        <v>1873</v>
      </c>
      <c r="O424" s="7" t="s">
        <v>3922</v>
      </c>
      <c r="P424" s="17" t="str">
        <f t="shared" ca="1" si="12"/>
        <v>30-49.9K</v>
      </c>
      <c r="Q424" s="17">
        <v>2.5</v>
      </c>
      <c r="R424">
        <v>12</v>
      </c>
      <c r="S424">
        <v>3</v>
      </c>
      <c r="T424">
        <v>3</v>
      </c>
      <c r="U424">
        <v>2</v>
      </c>
      <c r="V424" s="15">
        <f t="shared" ca="1" si="13"/>
        <v>3</v>
      </c>
    </row>
    <row r="425" spans="1:22">
      <c r="A425" t="s">
        <v>505</v>
      </c>
      <c r="B425" s="1">
        <v>41058.032835648148</v>
      </c>
      <c r="C425" s="2">
        <v>95856</v>
      </c>
      <c r="D425">
        <v>95856</v>
      </c>
      <c r="E425" t="s">
        <v>1856</v>
      </c>
      <c r="F425" s="5">
        <v>95856</v>
      </c>
      <c r="G425" s="5">
        <v>95856</v>
      </c>
      <c r="H425" s="5">
        <f ca="1">OFFSET(F425,0,Brains!$D$1,1,1)</f>
        <v>95856</v>
      </c>
      <c r="I425" t="s">
        <v>1858</v>
      </c>
      <c r="J425" t="s">
        <v>1858</v>
      </c>
      <c r="K425" t="s">
        <v>1869</v>
      </c>
      <c r="L425" t="s">
        <v>1869</v>
      </c>
      <c r="M425" s="11" t="s">
        <v>3917</v>
      </c>
      <c r="N425" t="s">
        <v>1873</v>
      </c>
      <c r="O425" s="7" t="s">
        <v>3922</v>
      </c>
      <c r="P425" s="17" t="str">
        <f t="shared" ca="1" si="12"/>
        <v>75-99.9K</v>
      </c>
      <c r="Q425" s="17">
        <v>2.5</v>
      </c>
      <c r="R425">
        <v>13</v>
      </c>
      <c r="S425">
        <v>3</v>
      </c>
      <c r="T425">
        <v>3</v>
      </c>
      <c r="U425">
        <v>2</v>
      </c>
      <c r="V425" s="15">
        <f t="shared" ca="1" si="13"/>
        <v>5</v>
      </c>
    </row>
    <row r="426" spans="1:22">
      <c r="A426" t="s">
        <v>3591</v>
      </c>
      <c r="B426" s="1">
        <v>41055.932615740741</v>
      </c>
      <c r="C426" s="2">
        <v>95000</v>
      </c>
      <c r="D426">
        <v>95000</v>
      </c>
      <c r="E426" t="s">
        <v>1856</v>
      </c>
      <c r="F426" s="5">
        <v>95000</v>
      </c>
      <c r="G426" s="5">
        <v>95000</v>
      </c>
      <c r="H426" s="5">
        <f ca="1">OFFSET(F426,0,Brains!$D$1,1,1)</f>
        <v>95000</v>
      </c>
      <c r="I426" t="s">
        <v>2195</v>
      </c>
      <c r="J426" t="s">
        <v>1858</v>
      </c>
      <c r="K426" t="s">
        <v>1869</v>
      </c>
      <c r="L426" t="s">
        <v>1869</v>
      </c>
      <c r="M426" s="11" t="s">
        <v>3917</v>
      </c>
      <c r="N426" t="s">
        <v>1873</v>
      </c>
      <c r="O426" s="7" t="s">
        <v>3922</v>
      </c>
      <c r="P426" s="17" t="str">
        <f t="shared" ca="1" si="12"/>
        <v>75-99.9K</v>
      </c>
      <c r="Q426" s="17">
        <v>2.5</v>
      </c>
      <c r="R426">
        <v>13</v>
      </c>
      <c r="S426">
        <v>3</v>
      </c>
      <c r="T426">
        <v>3</v>
      </c>
      <c r="U426">
        <v>2</v>
      </c>
      <c r="V426" s="15">
        <f t="shared" ca="1" si="13"/>
        <v>5</v>
      </c>
    </row>
    <row r="427" spans="1:22">
      <c r="A427" t="s">
        <v>258</v>
      </c>
      <c r="B427" s="1">
        <v>41057.681562500002</v>
      </c>
      <c r="C427" s="2">
        <v>79000</v>
      </c>
      <c r="D427">
        <v>79000</v>
      </c>
      <c r="E427" t="s">
        <v>1954</v>
      </c>
      <c r="F427" s="5">
        <v>124518.08349331544</v>
      </c>
      <c r="G427" s="5">
        <v>117210.6824925816</v>
      </c>
      <c r="H427" s="5">
        <f ca="1">OFFSET(F427,0,Brains!$D$1,1,1)</f>
        <v>117210.6824925816</v>
      </c>
      <c r="I427" t="s">
        <v>2154</v>
      </c>
      <c r="J427" t="s">
        <v>1858</v>
      </c>
      <c r="K427" t="s">
        <v>1956</v>
      </c>
      <c r="L427" t="s">
        <v>1956</v>
      </c>
      <c r="M427" s="11" t="s">
        <v>3917</v>
      </c>
      <c r="N427" t="s">
        <v>1873</v>
      </c>
      <c r="O427" s="7" t="s">
        <v>3922</v>
      </c>
      <c r="P427" s="17" t="str">
        <f t="shared" ca="1" si="12"/>
        <v>100-149.9K</v>
      </c>
      <c r="Q427" s="17">
        <v>2.5</v>
      </c>
      <c r="R427">
        <v>14</v>
      </c>
      <c r="S427">
        <v>3</v>
      </c>
      <c r="T427">
        <v>3</v>
      </c>
      <c r="U427">
        <v>2</v>
      </c>
      <c r="V427" s="15">
        <f t="shared" ca="1" si="13"/>
        <v>6</v>
      </c>
    </row>
    <row r="428" spans="1:22">
      <c r="A428" t="s">
        <v>69</v>
      </c>
      <c r="B428" s="1">
        <v>41057.4455787037</v>
      </c>
      <c r="C428" s="2">
        <v>94000</v>
      </c>
      <c r="D428">
        <v>94000</v>
      </c>
      <c r="E428" t="s">
        <v>1973</v>
      </c>
      <c r="F428" s="5">
        <v>95871.50770184776</v>
      </c>
      <c r="G428" s="5">
        <v>59796.437659033079</v>
      </c>
      <c r="H428" s="5">
        <f ca="1">OFFSET(F428,0,Brains!$D$1,1,1)</f>
        <v>59796.437659033079</v>
      </c>
      <c r="I428" t="s">
        <v>70</v>
      </c>
      <c r="J428" t="s">
        <v>1858</v>
      </c>
      <c r="K428" t="s">
        <v>1975</v>
      </c>
      <c r="L428" t="s">
        <v>1975</v>
      </c>
      <c r="M428" s="11" t="s">
        <v>3917</v>
      </c>
      <c r="N428" t="s">
        <v>1873</v>
      </c>
      <c r="O428" s="7" t="s">
        <v>3922</v>
      </c>
      <c r="P428" s="17" t="str">
        <f t="shared" ca="1" si="12"/>
        <v>50-74.9K</v>
      </c>
      <c r="Q428" s="17">
        <v>2.5</v>
      </c>
      <c r="R428">
        <v>14</v>
      </c>
      <c r="S428">
        <v>3</v>
      </c>
      <c r="T428">
        <v>3</v>
      </c>
      <c r="U428">
        <v>2</v>
      </c>
      <c r="V428" s="15">
        <f t="shared" ca="1" si="13"/>
        <v>4</v>
      </c>
    </row>
    <row r="429" spans="1:22">
      <c r="A429" t="s">
        <v>1650</v>
      </c>
      <c r="B429" s="1">
        <v>41073.025972222225</v>
      </c>
      <c r="C429" s="2" t="s">
        <v>321</v>
      </c>
      <c r="D429">
        <v>45000</v>
      </c>
      <c r="E429" t="s">
        <v>1880</v>
      </c>
      <c r="F429" s="5">
        <v>57167.974754622352</v>
      </c>
      <c r="G429" s="5">
        <v>56528.970469265834</v>
      </c>
      <c r="H429" s="5">
        <f ca="1">OFFSET(F429,0,Brains!$D$1,1,1)</f>
        <v>56528.970469265834</v>
      </c>
      <c r="I429" t="s">
        <v>1651</v>
      </c>
      <c r="J429" t="s">
        <v>1858</v>
      </c>
      <c r="K429" t="s">
        <v>2998</v>
      </c>
      <c r="L429" t="s">
        <v>2998</v>
      </c>
      <c r="M429" s="11" t="s">
        <v>3917</v>
      </c>
      <c r="N429" t="s">
        <v>1873</v>
      </c>
      <c r="O429" s="7" t="s">
        <v>3922</v>
      </c>
      <c r="P429" s="17" t="str">
        <f t="shared" ca="1" si="12"/>
        <v>50-74.9K</v>
      </c>
      <c r="Q429" s="17">
        <v>2.5</v>
      </c>
      <c r="R429">
        <v>14</v>
      </c>
      <c r="S429">
        <v>3</v>
      </c>
      <c r="T429">
        <v>3</v>
      </c>
      <c r="U429">
        <v>2</v>
      </c>
      <c r="V429" s="15">
        <f t="shared" ca="1" si="13"/>
        <v>4</v>
      </c>
    </row>
    <row r="430" spans="1:22">
      <c r="A430" t="s">
        <v>3672</v>
      </c>
      <c r="B430" s="1">
        <v>41056.129189814812</v>
      </c>
      <c r="C430" s="2">
        <v>92500</v>
      </c>
      <c r="D430">
        <v>92500</v>
      </c>
      <c r="E430" t="s">
        <v>1856</v>
      </c>
      <c r="F430" s="5">
        <v>92500</v>
      </c>
      <c r="G430" s="5">
        <v>92500</v>
      </c>
      <c r="H430" s="5">
        <f ca="1">OFFSET(F430,0,Brains!$D$1,1,1)</f>
        <v>92500</v>
      </c>
      <c r="I430" t="s">
        <v>3673</v>
      </c>
      <c r="J430" t="s">
        <v>1858</v>
      </c>
      <c r="K430" t="s">
        <v>1869</v>
      </c>
      <c r="L430" t="s">
        <v>1869</v>
      </c>
      <c r="M430" s="11" t="s">
        <v>3917</v>
      </c>
      <c r="N430" t="s">
        <v>1873</v>
      </c>
      <c r="O430" s="7" t="s">
        <v>3922</v>
      </c>
      <c r="P430" s="17" t="str">
        <f t="shared" ca="1" si="12"/>
        <v>75-99.9K</v>
      </c>
      <c r="Q430" s="17">
        <v>2.5</v>
      </c>
      <c r="R430">
        <v>15</v>
      </c>
      <c r="S430">
        <v>3</v>
      </c>
      <c r="T430">
        <v>3</v>
      </c>
      <c r="U430">
        <v>2</v>
      </c>
      <c r="V430" s="15">
        <f t="shared" ca="1" si="13"/>
        <v>5</v>
      </c>
    </row>
    <row r="431" spans="1:22">
      <c r="A431" t="s">
        <v>663</v>
      </c>
      <c r="B431" s="1">
        <v>41058.553460648145</v>
      </c>
      <c r="C431" s="2" t="s">
        <v>664</v>
      </c>
      <c r="D431">
        <v>30000</v>
      </c>
      <c r="E431" t="s">
        <v>1880</v>
      </c>
      <c r="F431" s="5">
        <v>38111.983169748237</v>
      </c>
      <c r="G431" s="5">
        <v>37685.980312843887</v>
      </c>
      <c r="H431" s="5">
        <f ca="1">OFFSET(F431,0,Brains!$D$1,1,1)</f>
        <v>37685.980312843887</v>
      </c>
      <c r="I431" t="s">
        <v>665</v>
      </c>
      <c r="J431" t="s">
        <v>1858</v>
      </c>
      <c r="K431" t="s">
        <v>1940</v>
      </c>
      <c r="L431" t="s">
        <v>1940</v>
      </c>
      <c r="M431" s="11" t="s">
        <v>3917</v>
      </c>
      <c r="N431" t="s">
        <v>1873</v>
      </c>
      <c r="O431" s="7" t="s">
        <v>3922</v>
      </c>
      <c r="P431" s="17" t="str">
        <f t="shared" ca="1" si="12"/>
        <v>30-49.9K</v>
      </c>
      <c r="Q431" s="17">
        <v>2.5</v>
      </c>
      <c r="R431">
        <v>15</v>
      </c>
      <c r="S431">
        <v>3</v>
      </c>
      <c r="T431">
        <v>3</v>
      </c>
      <c r="U431">
        <v>2</v>
      </c>
      <c r="V431" s="15">
        <f t="shared" ca="1" si="13"/>
        <v>3</v>
      </c>
    </row>
    <row r="432" spans="1:22">
      <c r="A432" t="s">
        <v>180</v>
      </c>
      <c r="B432" s="1">
        <v>41057.607372685183</v>
      </c>
      <c r="C432" s="2" t="s">
        <v>2700</v>
      </c>
      <c r="D432">
        <v>28000</v>
      </c>
      <c r="E432" t="s">
        <v>1954</v>
      </c>
      <c r="F432" s="5">
        <v>44132.991617883956</v>
      </c>
      <c r="G432" s="5">
        <v>41543.026706231452</v>
      </c>
      <c r="H432" s="5">
        <f ca="1">OFFSET(F432,0,Brains!$D$1,1,1)</f>
        <v>41543.026706231452</v>
      </c>
      <c r="I432" t="s">
        <v>3395</v>
      </c>
      <c r="J432" t="s">
        <v>1858</v>
      </c>
      <c r="K432" t="s">
        <v>1956</v>
      </c>
      <c r="L432" t="s">
        <v>1956</v>
      </c>
      <c r="M432" s="11" t="s">
        <v>3917</v>
      </c>
      <c r="N432" t="s">
        <v>1873</v>
      </c>
      <c r="O432" s="7" t="s">
        <v>3922</v>
      </c>
      <c r="P432" s="17" t="str">
        <f t="shared" ca="1" si="12"/>
        <v>30-49.9K</v>
      </c>
      <c r="Q432" s="17">
        <v>2.5</v>
      </c>
      <c r="R432">
        <v>16</v>
      </c>
      <c r="S432">
        <v>3</v>
      </c>
      <c r="T432">
        <v>3</v>
      </c>
      <c r="U432">
        <v>2</v>
      </c>
      <c r="V432" s="15">
        <f t="shared" ca="1" si="13"/>
        <v>3</v>
      </c>
    </row>
    <row r="433" spans="1:22">
      <c r="A433" t="s">
        <v>3149</v>
      </c>
      <c r="B433" s="1">
        <v>41055.39502314815</v>
      </c>
      <c r="C433" s="2">
        <v>65000</v>
      </c>
      <c r="D433">
        <v>65000</v>
      </c>
      <c r="E433" t="s">
        <v>1856</v>
      </c>
      <c r="F433" s="5">
        <v>65000</v>
      </c>
      <c r="G433" s="5">
        <v>65000</v>
      </c>
      <c r="H433" s="5">
        <f ca="1">OFFSET(F433,0,Brains!$D$1,1,1)</f>
        <v>65000</v>
      </c>
      <c r="I433" t="s">
        <v>3150</v>
      </c>
      <c r="J433" t="s">
        <v>1858</v>
      </c>
      <c r="K433" t="s">
        <v>1869</v>
      </c>
      <c r="L433" t="s">
        <v>1869</v>
      </c>
      <c r="M433" s="11" t="s">
        <v>3917</v>
      </c>
      <c r="N433" t="s">
        <v>1873</v>
      </c>
      <c r="O433" s="7" t="s">
        <v>3922</v>
      </c>
      <c r="P433" s="17" t="str">
        <f t="shared" ca="1" si="12"/>
        <v>50-74.9K</v>
      </c>
      <c r="Q433" s="17">
        <v>2.5</v>
      </c>
      <c r="R433">
        <v>17</v>
      </c>
      <c r="S433">
        <v>3</v>
      </c>
      <c r="T433">
        <v>3</v>
      </c>
      <c r="U433">
        <v>2</v>
      </c>
      <c r="V433" s="15">
        <f t="shared" ca="1" si="13"/>
        <v>4</v>
      </c>
    </row>
    <row r="434" spans="1:22">
      <c r="A434" t="s">
        <v>3151</v>
      </c>
      <c r="B434" s="1">
        <v>41055.400324074071</v>
      </c>
      <c r="C434" s="2">
        <v>70000</v>
      </c>
      <c r="D434">
        <v>70000</v>
      </c>
      <c r="E434" t="s">
        <v>1856</v>
      </c>
      <c r="F434" s="5">
        <v>70000</v>
      </c>
      <c r="G434" s="5">
        <v>70000</v>
      </c>
      <c r="H434" s="5">
        <f ca="1">OFFSET(F434,0,Brains!$D$1,1,1)</f>
        <v>70000</v>
      </c>
      <c r="I434" t="s">
        <v>3152</v>
      </c>
      <c r="J434" t="s">
        <v>1858</v>
      </c>
      <c r="K434" t="s">
        <v>1869</v>
      </c>
      <c r="L434" t="s">
        <v>1869</v>
      </c>
      <c r="M434" s="11" t="s">
        <v>3917</v>
      </c>
      <c r="N434" t="s">
        <v>1873</v>
      </c>
      <c r="O434" s="7" t="s">
        <v>3922</v>
      </c>
      <c r="P434" s="17" t="str">
        <f t="shared" ca="1" si="12"/>
        <v>50-74.9K</v>
      </c>
      <c r="Q434" s="17">
        <v>2.5</v>
      </c>
      <c r="R434">
        <v>18</v>
      </c>
      <c r="S434">
        <v>3</v>
      </c>
      <c r="T434">
        <v>3</v>
      </c>
      <c r="U434">
        <v>2</v>
      </c>
      <c r="V434" s="15">
        <f t="shared" ca="1" si="13"/>
        <v>4</v>
      </c>
    </row>
    <row r="435" spans="1:22">
      <c r="A435" t="s">
        <v>3203</v>
      </c>
      <c r="B435" s="1">
        <v>41055.479953703703</v>
      </c>
      <c r="C435" s="2">
        <v>125000</v>
      </c>
      <c r="D435">
        <v>125000</v>
      </c>
      <c r="E435" t="s">
        <v>1856</v>
      </c>
      <c r="F435" s="5">
        <v>125000</v>
      </c>
      <c r="G435" s="5">
        <v>125000</v>
      </c>
      <c r="H435" s="5">
        <f ca="1">OFFSET(F435,0,Brains!$D$1,1,1)</f>
        <v>125000</v>
      </c>
      <c r="I435" t="s">
        <v>1858</v>
      </c>
      <c r="J435" t="s">
        <v>1858</v>
      </c>
      <c r="K435" t="s">
        <v>1869</v>
      </c>
      <c r="L435" t="s">
        <v>1869</v>
      </c>
      <c r="M435" s="11" t="s">
        <v>3917</v>
      </c>
      <c r="N435" t="s">
        <v>1873</v>
      </c>
      <c r="O435" s="7" t="s">
        <v>3922</v>
      </c>
      <c r="P435" s="17" t="str">
        <f t="shared" ca="1" si="12"/>
        <v>100-149.9K</v>
      </c>
      <c r="Q435" s="17">
        <v>2.5</v>
      </c>
      <c r="R435">
        <v>20</v>
      </c>
      <c r="S435">
        <v>3</v>
      </c>
      <c r="T435">
        <v>3</v>
      </c>
      <c r="U435">
        <v>2</v>
      </c>
      <c r="V435" s="15">
        <f t="shared" ca="1" si="13"/>
        <v>6</v>
      </c>
    </row>
    <row r="436" spans="1:22">
      <c r="A436" t="s">
        <v>3895</v>
      </c>
      <c r="B436" s="1">
        <v>41057.242314814815</v>
      </c>
      <c r="C436" s="2">
        <v>95000</v>
      </c>
      <c r="D436">
        <v>95000</v>
      </c>
      <c r="E436" t="s">
        <v>1973</v>
      </c>
      <c r="F436" s="5">
        <v>96891.417358250401</v>
      </c>
      <c r="G436" s="5">
        <v>60432.56997455471</v>
      </c>
      <c r="H436" s="5">
        <f ca="1">OFFSET(F436,0,Brains!$D$1,1,1)</f>
        <v>60432.56997455471</v>
      </c>
      <c r="I436" t="s">
        <v>2113</v>
      </c>
      <c r="J436" t="s">
        <v>1858</v>
      </c>
      <c r="K436" t="s">
        <v>1975</v>
      </c>
      <c r="L436" t="s">
        <v>1975</v>
      </c>
      <c r="M436" s="11" t="s">
        <v>3917</v>
      </c>
      <c r="N436" t="s">
        <v>1873</v>
      </c>
      <c r="O436" s="7" t="s">
        <v>3922</v>
      </c>
      <c r="P436" s="17" t="str">
        <f t="shared" ca="1" si="12"/>
        <v>50-74.9K</v>
      </c>
      <c r="Q436" s="17">
        <v>2.5</v>
      </c>
      <c r="R436">
        <v>20</v>
      </c>
      <c r="S436">
        <v>3</v>
      </c>
      <c r="T436">
        <v>3</v>
      </c>
      <c r="U436">
        <v>2</v>
      </c>
      <c r="V436" s="15">
        <f t="shared" ca="1" si="13"/>
        <v>4</v>
      </c>
    </row>
    <row r="437" spans="1:22">
      <c r="A437" t="s">
        <v>374</v>
      </c>
      <c r="B437" s="1">
        <v>41057.88685185185</v>
      </c>
      <c r="C437" s="2">
        <v>69000</v>
      </c>
      <c r="D437">
        <v>69000</v>
      </c>
      <c r="E437" t="s">
        <v>1856</v>
      </c>
      <c r="F437" s="5">
        <v>69000</v>
      </c>
      <c r="G437" s="5">
        <v>69000</v>
      </c>
      <c r="H437" s="5">
        <f ca="1">OFFSET(F437,0,Brains!$D$1,1,1)</f>
        <v>69000</v>
      </c>
      <c r="I437" t="s">
        <v>375</v>
      </c>
      <c r="J437" t="s">
        <v>1858</v>
      </c>
      <c r="K437" t="s">
        <v>1869</v>
      </c>
      <c r="L437" t="s">
        <v>1869</v>
      </c>
      <c r="M437" s="11" t="s">
        <v>3917</v>
      </c>
      <c r="N437" t="s">
        <v>1873</v>
      </c>
      <c r="O437" s="7" t="s">
        <v>3922</v>
      </c>
      <c r="P437" s="17" t="str">
        <f t="shared" ca="1" si="12"/>
        <v>50-74.9K</v>
      </c>
      <c r="Q437" s="17">
        <v>2.5</v>
      </c>
      <c r="R437">
        <v>20</v>
      </c>
      <c r="S437">
        <v>3</v>
      </c>
      <c r="T437">
        <v>3</v>
      </c>
      <c r="U437">
        <v>2</v>
      </c>
      <c r="V437" s="15">
        <f t="shared" ca="1" si="13"/>
        <v>4</v>
      </c>
    </row>
    <row r="438" spans="1:22">
      <c r="A438" t="s">
        <v>3535</v>
      </c>
      <c r="B438" s="1">
        <v>41055.844768518517</v>
      </c>
      <c r="C438" s="2" t="s">
        <v>3536</v>
      </c>
      <c r="D438">
        <v>66000</v>
      </c>
      <c r="E438" t="s">
        <v>1979</v>
      </c>
      <c r="F438" s="5">
        <v>64901.860520001574</v>
      </c>
      <c r="G438" s="5">
        <v>52842.273819055241</v>
      </c>
      <c r="H438" s="5">
        <f ca="1">OFFSET(F438,0,Brains!$D$1,1,1)</f>
        <v>52842.273819055241</v>
      </c>
      <c r="I438" t="s">
        <v>3537</v>
      </c>
      <c r="J438" t="s">
        <v>1858</v>
      </c>
      <c r="K438" t="s">
        <v>1981</v>
      </c>
      <c r="L438" t="s">
        <v>1981</v>
      </c>
      <c r="M438" s="11" t="s">
        <v>3917</v>
      </c>
      <c r="N438" t="s">
        <v>1873</v>
      </c>
      <c r="O438" s="7" t="s">
        <v>3922</v>
      </c>
      <c r="P438" s="17" t="str">
        <f t="shared" ca="1" si="12"/>
        <v>50-74.9K</v>
      </c>
      <c r="Q438" s="17">
        <v>2.5</v>
      </c>
      <c r="R438">
        <v>20</v>
      </c>
      <c r="S438">
        <v>3</v>
      </c>
      <c r="T438">
        <v>3</v>
      </c>
      <c r="U438">
        <v>2</v>
      </c>
      <c r="V438" s="15">
        <f t="shared" ca="1" si="13"/>
        <v>4</v>
      </c>
    </row>
    <row r="439" spans="1:22">
      <c r="A439" t="s">
        <v>3479</v>
      </c>
      <c r="B439" s="1">
        <v>41055.713993055557</v>
      </c>
      <c r="C439" s="2">
        <v>62000</v>
      </c>
      <c r="D439">
        <v>62000</v>
      </c>
      <c r="E439" t="s">
        <v>1856</v>
      </c>
      <c r="F439" s="5">
        <v>62000</v>
      </c>
      <c r="G439" s="5">
        <v>62000</v>
      </c>
      <c r="H439" s="5">
        <f ca="1">OFFSET(F439,0,Brains!$D$1,1,1)</f>
        <v>62000</v>
      </c>
      <c r="I439" t="s">
        <v>3480</v>
      </c>
      <c r="J439" t="s">
        <v>1858</v>
      </c>
      <c r="K439" t="s">
        <v>1869</v>
      </c>
      <c r="L439" t="s">
        <v>1869</v>
      </c>
      <c r="M439" s="11" t="s">
        <v>3917</v>
      </c>
      <c r="N439" t="s">
        <v>1873</v>
      </c>
      <c r="O439" s="7" t="s">
        <v>3922</v>
      </c>
      <c r="P439" s="17" t="str">
        <f t="shared" ca="1" si="12"/>
        <v>50-74.9K</v>
      </c>
      <c r="Q439" s="17">
        <v>2.5</v>
      </c>
      <c r="R439">
        <v>20</v>
      </c>
      <c r="S439">
        <v>3</v>
      </c>
      <c r="T439">
        <v>3</v>
      </c>
      <c r="U439">
        <v>2</v>
      </c>
      <c r="V439" s="15">
        <f t="shared" ca="1" si="13"/>
        <v>4</v>
      </c>
    </row>
    <row r="440" spans="1:22">
      <c r="A440" t="s">
        <v>3468</v>
      </c>
      <c r="B440" s="1">
        <v>41055.710717592592</v>
      </c>
      <c r="C440" s="2" t="s">
        <v>3469</v>
      </c>
      <c r="D440">
        <v>240000</v>
      </c>
      <c r="E440" t="s">
        <v>1908</v>
      </c>
      <c r="F440" s="5">
        <v>4273.9000049862161</v>
      </c>
      <c r="G440" s="5">
        <v>11951.000896325068</v>
      </c>
      <c r="H440" s="5">
        <f ca="1">OFFSET(F440,0,Brains!$D$1,1,1)</f>
        <v>11951.000896325068</v>
      </c>
      <c r="I440" t="s">
        <v>3470</v>
      </c>
      <c r="J440" t="s">
        <v>1858</v>
      </c>
      <c r="K440" t="s">
        <v>1859</v>
      </c>
      <c r="L440" t="s">
        <v>1859</v>
      </c>
      <c r="M440" s="11" t="s">
        <v>3917</v>
      </c>
      <c r="N440" t="s">
        <v>1873</v>
      </c>
      <c r="O440" s="7" t="s">
        <v>3922</v>
      </c>
      <c r="P440" s="17" t="str">
        <f t="shared" ca="1" si="12"/>
        <v>0-14.9K</v>
      </c>
      <c r="Q440" s="17">
        <v>2.5</v>
      </c>
      <c r="R440">
        <v>20</v>
      </c>
      <c r="S440">
        <v>3</v>
      </c>
      <c r="T440">
        <v>3</v>
      </c>
      <c r="U440">
        <v>2</v>
      </c>
      <c r="V440" s="15">
        <f t="shared" ca="1" si="13"/>
        <v>1</v>
      </c>
    </row>
    <row r="441" spans="1:22">
      <c r="A441" t="s">
        <v>252</v>
      </c>
      <c r="B441" s="1">
        <v>41057.680104166669</v>
      </c>
      <c r="C441" s="2">
        <v>37000</v>
      </c>
      <c r="D441">
        <v>37000</v>
      </c>
      <c r="E441" t="s">
        <v>1880</v>
      </c>
      <c r="F441" s="5">
        <v>47004.779242689488</v>
      </c>
      <c r="G441" s="5">
        <v>46479.375719174132</v>
      </c>
      <c r="H441" s="5">
        <f ca="1">OFFSET(F441,0,Brains!$D$1,1,1)</f>
        <v>46479.375719174132</v>
      </c>
      <c r="I441" t="s">
        <v>253</v>
      </c>
      <c r="J441" t="s">
        <v>1858</v>
      </c>
      <c r="K441" t="s">
        <v>2957</v>
      </c>
      <c r="L441" t="s">
        <v>2957</v>
      </c>
      <c r="M441" s="11" t="s">
        <v>3918</v>
      </c>
      <c r="N441" t="s">
        <v>1860</v>
      </c>
      <c r="O441" s="7" t="s">
        <v>3922</v>
      </c>
      <c r="P441" s="17" t="str">
        <f t="shared" ca="1" si="12"/>
        <v>30-49.9K</v>
      </c>
      <c r="Q441" s="17">
        <v>5</v>
      </c>
      <c r="R441">
        <v>11</v>
      </c>
      <c r="S441">
        <v>4</v>
      </c>
      <c r="T441">
        <v>3</v>
      </c>
      <c r="U441">
        <v>2</v>
      </c>
      <c r="V441" s="15">
        <f t="shared" ca="1" si="13"/>
        <v>3</v>
      </c>
    </row>
    <row r="442" spans="1:22">
      <c r="A442" t="s">
        <v>3812</v>
      </c>
      <c r="B442" s="1">
        <v>41056.819050925929</v>
      </c>
      <c r="C442" s="2">
        <v>104000</v>
      </c>
      <c r="D442">
        <v>104000</v>
      </c>
      <c r="E442" t="s">
        <v>2490</v>
      </c>
      <c r="F442" s="5">
        <v>28310.79811950968</v>
      </c>
      <c r="G442" s="5">
        <v>19652.305366591081</v>
      </c>
      <c r="H442" s="5">
        <f ca="1">OFFSET(F442,0,Brains!$D$1,1,1)</f>
        <v>19652.305366591081</v>
      </c>
      <c r="I442" t="s">
        <v>1868</v>
      </c>
      <c r="J442" t="s">
        <v>1858</v>
      </c>
      <c r="K442" t="s">
        <v>2143</v>
      </c>
      <c r="L442" t="s">
        <v>2143</v>
      </c>
      <c r="M442" s="11" t="s">
        <v>3918</v>
      </c>
      <c r="N442" t="s">
        <v>1860</v>
      </c>
      <c r="O442" s="7" t="s">
        <v>3922</v>
      </c>
      <c r="P442" s="17" t="str">
        <f t="shared" ca="1" si="12"/>
        <v>15-29.9K</v>
      </c>
      <c r="Q442" s="17">
        <v>5</v>
      </c>
      <c r="R442">
        <v>11</v>
      </c>
      <c r="S442">
        <v>4</v>
      </c>
      <c r="T442">
        <v>3</v>
      </c>
      <c r="U442">
        <v>2</v>
      </c>
      <c r="V442" s="15">
        <f t="shared" ca="1" si="13"/>
        <v>2</v>
      </c>
    </row>
    <row r="443" spans="1:22">
      <c r="A443" t="s">
        <v>3860</v>
      </c>
      <c r="B443" s="1">
        <v>41057.025231481479</v>
      </c>
      <c r="C443" s="2" t="s">
        <v>3861</v>
      </c>
      <c r="D443">
        <v>600000</v>
      </c>
      <c r="E443" t="s">
        <v>1908</v>
      </c>
      <c r="F443" s="5">
        <v>10684.750012465542</v>
      </c>
      <c r="G443" s="5">
        <v>29877.502240812668</v>
      </c>
      <c r="H443" s="5">
        <f ca="1">OFFSET(F443,0,Brains!$D$1,1,1)</f>
        <v>29877.502240812668</v>
      </c>
      <c r="I443" t="s">
        <v>3862</v>
      </c>
      <c r="J443" t="s">
        <v>1858</v>
      </c>
      <c r="K443" t="s">
        <v>1859</v>
      </c>
      <c r="L443" t="s">
        <v>1859</v>
      </c>
      <c r="M443" s="11" t="s">
        <v>3918</v>
      </c>
      <c r="N443" t="s">
        <v>1860</v>
      </c>
      <c r="O443" s="7" t="s">
        <v>3922</v>
      </c>
      <c r="P443" s="17" t="str">
        <f t="shared" ca="1" si="12"/>
        <v>15-29.9K</v>
      </c>
      <c r="Q443" s="17">
        <v>5</v>
      </c>
      <c r="R443">
        <v>11</v>
      </c>
      <c r="S443">
        <v>4</v>
      </c>
      <c r="T443">
        <v>3</v>
      </c>
      <c r="U443">
        <v>2</v>
      </c>
      <c r="V443" s="15">
        <f t="shared" ca="1" si="13"/>
        <v>2</v>
      </c>
    </row>
    <row r="444" spans="1:22">
      <c r="A444" t="s">
        <v>1001</v>
      </c>
      <c r="B444" s="1">
        <v>41059.675393518519</v>
      </c>
      <c r="C444" s="2" t="s">
        <v>3207</v>
      </c>
      <c r="D444">
        <v>200000</v>
      </c>
      <c r="E444" t="s">
        <v>1908</v>
      </c>
      <c r="F444" s="5">
        <v>3561.5833374885137</v>
      </c>
      <c r="G444" s="5">
        <v>9959.167413604222</v>
      </c>
      <c r="H444" s="5">
        <f ca="1">OFFSET(F444,0,Brains!$D$1,1,1)</f>
        <v>9959.167413604222</v>
      </c>
      <c r="I444" t="s">
        <v>3236</v>
      </c>
      <c r="J444" t="s">
        <v>1858</v>
      </c>
      <c r="K444" t="s">
        <v>1859</v>
      </c>
      <c r="L444" t="s">
        <v>1859</v>
      </c>
      <c r="M444" s="11" t="s">
        <v>3918</v>
      </c>
      <c r="N444" t="s">
        <v>1860</v>
      </c>
      <c r="O444" s="7" t="s">
        <v>3922</v>
      </c>
      <c r="P444" s="17" t="str">
        <f t="shared" ca="1" si="12"/>
        <v>0-14.9K</v>
      </c>
      <c r="Q444" s="17">
        <v>5</v>
      </c>
      <c r="R444">
        <v>11</v>
      </c>
      <c r="S444">
        <v>4</v>
      </c>
      <c r="T444">
        <v>3</v>
      </c>
      <c r="U444">
        <v>2</v>
      </c>
      <c r="V444" s="15">
        <f t="shared" ca="1" si="13"/>
        <v>1</v>
      </c>
    </row>
    <row r="445" spans="1:22">
      <c r="A445" t="s">
        <v>1434</v>
      </c>
      <c r="B445" s="1">
        <v>41065.898460648146</v>
      </c>
      <c r="C445" s="2">
        <v>85000</v>
      </c>
      <c r="D445">
        <v>85000</v>
      </c>
      <c r="E445" t="s">
        <v>1856</v>
      </c>
      <c r="F445" s="5">
        <v>85000</v>
      </c>
      <c r="G445" s="5">
        <v>85000</v>
      </c>
      <c r="H445" s="5">
        <f ca="1">OFFSET(F445,0,Brains!$D$1,1,1)</f>
        <v>85000</v>
      </c>
      <c r="I445" t="s">
        <v>1868</v>
      </c>
      <c r="J445" t="s">
        <v>1858</v>
      </c>
      <c r="K445" t="s">
        <v>1869</v>
      </c>
      <c r="L445" t="s">
        <v>1869</v>
      </c>
      <c r="M445" s="11" t="s">
        <v>3918</v>
      </c>
      <c r="N445" t="s">
        <v>1860</v>
      </c>
      <c r="O445" s="7" t="s">
        <v>3922</v>
      </c>
      <c r="P445" s="17" t="str">
        <f t="shared" ca="1" si="12"/>
        <v>75-99.9K</v>
      </c>
      <c r="Q445" s="17">
        <v>5</v>
      </c>
      <c r="R445">
        <v>12</v>
      </c>
      <c r="S445">
        <v>4</v>
      </c>
      <c r="T445">
        <v>3</v>
      </c>
      <c r="U445">
        <v>2</v>
      </c>
      <c r="V445" s="15">
        <f t="shared" ca="1" si="13"/>
        <v>5</v>
      </c>
    </row>
    <row r="446" spans="1:22">
      <c r="A446" t="s">
        <v>839</v>
      </c>
      <c r="B446" s="1">
        <v>41058.898402777777</v>
      </c>
      <c r="C446" s="2" t="s">
        <v>840</v>
      </c>
      <c r="D446">
        <v>83000</v>
      </c>
      <c r="E446" t="s">
        <v>1856</v>
      </c>
      <c r="F446" s="5">
        <v>83000</v>
      </c>
      <c r="G446" s="5">
        <v>83000</v>
      </c>
      <c r="H446" s="5">
        <f ca="1">OFFSET(F446,0,Brains!$D$1,1,1)</f>
        <v>83000</v>
      </c>
      <c r="I446" t="s">
        <v>841</v>
      </c>
      <c r="J446" t="s">
        <v>1858</v>
      </c>
      <c r="K446" t="s">
        <v>1981</v>
      </c>
      <c r="L446" t="s">
        <v>1981</v>
      </c>
      <c r="M446" s="11" t="s">
        <v>3918</v>
      </c>
      <c r="N446" t="s">
        <v>1860</v>
      </c>
      <c r="O446" s="7" t="s">
        <v>3922</v>
      </c>
      <c r="P446" s="17" t="str">
        <f t="shared" ca="1" si="12"/>
        <v>75-99.9K</v>
      </c>
      <c r="Q446" s="17">
        <v>5</v>
      </c>
      <c r="R446">
        <v>12</v>
      </c>
      <c r="S446">
        <v>4</v>
      </c>
      <c r="T446">
        <v>3</v>
      </c>
      <c r="U446">
        <v>2</v>
      </c>
      <c r="V446" s="15">
        <f t="shared" ca="1" si="13"/>
        <v>5</v>
      </c>
    </row>
    <row r="447" spans="1:22">
      <c r="A447" t="s">
        <v>438</v>
      </c>
      <c r="B447" s="1">
        <v>41057.959814814814</v>
      </c>
      <c r="C447" s="2">
        <v>75000</v>
      </c>
      <c r="D447">
        <v>75000</v>
      </c>
      <c r="E447" t="s">
        <v>1856</v>
      </c>
      <c r="F447" s="5">
        <v>75000</v>
      </c>
      <c r="G447" s="5">
        <v>75000</v>
      </c>
      <c r="H447" s="5">
        <f ca="1">OFFSET(F447,0,Brains!$D$1,1,1)</f>
        <v>75000</v>
      </c>
      <c r="I447" t="s">
        <v>1868</v>
      </c>
      <c r="J447" t="s">
        <v>1858</v>
      </c>
      <c r="K447" t="s">
        <v>1869</v>
      </c>
      <c r="L447" t="s">
        <v>1869</v>
      </c>
      <c r="M447" s="11" t="s">
        <v>3918</v>
      </c>
      <c r="N447" t="s">
        <v>1860</v>
      </c>
      <c r="O447" s="7" t="s">
        <v>3922</v>
      </c>
      <c r="P447" s="17" t="str">
        <f t="shared" ca="1" si="12"/>
        <v>75-99.9K</v>
      </c>
      <c r="Q447" s="17">
        <v>5</v>
      </c>
      <c r="R447">
        <v>12</v>
      </c>
      <c r="S447">
        <v>4</v>
      </c>
      <c r="T447">
        <v>3</v>
      </c>
      <c r="U447">
        <v>2</v>
      </c>
      <c r="V447" s="15">
        <f t="shared" ca="1" si="13"/>
        <v>5</v>
      </c>
    </row>
    <row r="448" spans="1:22">
      <c r="A448" t="s">
        <v>1287</v>
      </c>
      <c r="B448" s="1">
        <v>41062.280150462961</v>
      </c>
      <c r="C448" s="2">
        <v>68000</v>
      </c>
      <c r="D448">
        <v>68000</v>
      </c>
      <c r="E448" t="s">
        <v>1856</v>
      </c>
      <c r="F448" s="5">
        <v>68000</v>
      </c>
      <c r="G448" s="5">
        <v>68000</v>
      </c>
      <c r="H448" s="5">
        <f ca="1">OFFSET(F448,0,Brains!$D$1,1,1)</f>
        <v>68000</v>
      </c>
      <c r="I448" t="s">
        <v>2591</v>
      </c>
      <c r="J448" t="s">
        <v>1858</v>
      </c>
      <c r="K448" t="s">
        <v>1869</v>
      </c>
      <c r="L448" t="s">
        <v>1869</v>
      </c>
      <c r="M448" s="11" t="s">
        <v>3918</v>
      </c>
      <c r="N448" t="s">
        <v>1860</v>
      </c>
      <c r="O448" s="7" t="s">
        <v>3922</v>
      </c>
      <c r="P448" s="17" t="str">
        <f t="shared" ca="1" si="12"/>
        <v>50-74.9K</v>
      </c>
      <c r="Q448" s="17">
        <v>5</v>
      </c>
      <c r="R448">
        <v>12</v>
      </c>
      <c r="S448">
        <v>4</v>
      </c>
      <c r="T448">
        <v>3</v>
      </c>
      <c r="U448">
        <v>2</v>
      </c>
      <c r="V448" s="15">
        <f t="shared" ca="1" si="13"/>
        <v>4</v>
      </c>
    </row>
    <row r="449" spans="1:22">
      <c r="A449" t="s">
        <v>928</v>
      </c>
      <c r="B449" s="1">
        <v>41059.078159722223</v>
      </c>
      <c r="C449" s="2">
        <v>61000</v>
      </c>
      <c r="D449">
        <v>61000</v>
      </c>
      <c r="E449" t="s">
        <v>1856</v>
      </c>
      <c r="F449" s="5">
        <v>61000</v>
      </c>
      <c r="G449" s="5">
        <v>61000</v>
      </c>
      <c r="H449" s="5">
        <f ca="1">OFFSET(F449,0,Brains!$D$1,1,1)</f>
        <v>61000</v>
      </c>
      <c r="I449" t="s">
        <v>929</v>
      </c>
      <c r="J449" t="s">
        <v>1858</v>
      </c>
      <c r="K449" t="s">
        <v>1869</v>
      </c>
      <c r="L449" t="s">
        <v>1869</v>
      </c>
      <c r="M449" s="11" t="s">
        <v>3918</v>
      </c>
      <c r="N449" t="s">
        <v>1860</v>
      </c>
      <c r="O449" s="7" t="s">
        <v>3922</v>
      </c>
      <c r="P449" s="17" t="str">
        <f t="shared" ca="1" si="12"/>
        <v>50-74.9K</v>
      </c>
      <c r="Q449" s="17">
        <v>5</v>
      </c>
      <c r="R449">
        <v>12</v>
      </c>
      <c r="S449">
        <v>4</v>
      </c>
      <c r="T449">
        <v>3</v>
      </c>
      <c r="U449">
        <v>2</v>
      </c>
      <c r="V449" s="15">
        <f t="shared" ca="1" si="13"/>
        <v>4</v>
      </c>
    </row>
    <row r="450" spans="1:22">
      <c r="A450" t="s">
        <v>3199</v>
      </c>
      <c r="B450" s="1">
        <v>41055.476921296293</v>
      </c>
      <c r="C450" s="2">
        <v>60000</v>
      </c>
      <c r="D450">
        <v>60000</v>
      </c>
      <c r="E450" t="s">
        <v>1856</v>
      </c>
      <c r="F450" s="5">
        <v>60000</v>
      </c>
      <c r="G450" s="5">
        <v>60000</v>
      </c>
      <c r="H450" s="5">
        <f ca="1">OFFSET(F450,0,Brains!$D$1,1,1)</f>
        <v>60000</v>
      </c>
      <c r="I450" t="s">
        <v>1911</v>
      </c>
      <c r="J450" t="s">
        <v>1858</v>
      </c>
      <c r="K450" t="s">
        <v>1869</v>
      </c>
      <c r="L450" t="s">
        <v>1869</v>
      </c>
      <c r="M450" s="11" t="s">
        <v>3918</v>
      </c>
      <c r="N450" t="s">
        <v>1860</v>
      </c>
      <c r="O450" s="7" t="s">
        <v>3922</v>
      </c>
      <c r="P450" s="17" t="str">
        <f t="shared" ref="P450:P513" ca="1" si="14">IF(H450&lt;15000,"0-14.9K",IF(H450&lt;30000,"15-29.9K",IF(H450&lt;50000,"30-49.9K",IF(H450&lt;75000,"50-74.9K",IF(H450&lt;100000,"75-99.9K",IF(H450&lt;150000,"100-149.9K",IF(H450&lt;250000,"150-249.9K","250K+")))))))</f>
        <v>50-74.9K</v>
      </c>
      <c r="Q450" s="17">
        <v>5</v>
      </c>
      <c r="R450">
        <v>12</v>
      </c>
      <c r="S450">
        <v>4</v>
      </c>
      <c r="T450">
        <v>3</v>
      </c>
      <c r="U450">
        <v>2</v>
      </c>
      <c r="V450" s="15">
        <f t="shared" ref="V450:V513" ca="1" si="15">IF(H450&lt;15000,1,IF(H450&lt;30000,2,IF(H450&lt;50000,3,IF(H450&lt;75000,4,IF(H450&lt;100000,5,IF(H450&lt;150000,6,IF(H450&lt;250000,7,8)))))))</f>
        <v>4</v>
      </c>
    </row>
    <row r="451" spans="1:22">
      <c r="A451" t="s">
        <v>1791</v>
      </c>
      <c r="B451" s="1">
        <v>41079.285266203704</v>
      </c>
      <c r="C451" s="2">
        <v>48000</v>
      </c>
      <c r="D451">
        <v>48000</v>
      </c>
      <c r="E451" t="s">
        <v>1856</v>
      </c>
      <c r="F451" s="5">
        <v>48000</v>
      </c>
      <c r="G451" s="5">
        <v>48000</v>
      </c>
      <c r="H451" s="5">
        <f ca="1">OFFSET(F451,0,Brains!$D$1,1,1)</f>
        <v>48000</v>
      </c>
      <c r="I451" t="s">
        <v>1792</v>
      </c>
      <c r="J451" t="s">
        <v>1858</v>
      </c>
      <c r="K451" t="s">
        <v>1869</v>
      </c>
      <c r="L451" t="s">
        <v>1869</v>
      </c>
      <c r="M451" s="11" t="s">
        <v>3918</v>
      </c>
      <c r="N451" t="s">
        <v>1860</v>
      </c>
      <c r="O451" s="7" t="s">
        <v>3922</v>
      </c>
      <c r="P451" s="17" t="str">
        <f t="shared" ca="1" si="14"/>
        <v>30-49.9K</v>
      </c>
      <c r="Q451" s="17">
        <v>5</v>
      </c>
      <c r="R451">
        <v>12</v>
      </c>
      <c r="S451">
        <v>4</v>
      </c>
      <c r="T451">
        <v>3</v>
      </c>
      <c r="U451">
        <v>2</v>
      </c>
      <c r="V451" s="15">
        <f t="shared" ca="1" si="15"/>
        <v>3</v>
      </c>
    </row>
    <row r="452" spans="1:22">
      <c r="A452" t="s">
        <v>3260</v>
      </c>
      <c r="B452" s="1">
        <v>41055.521087962959</v>
      </c>
      <c r="C452" s="2">
        <v>1400</v>
      </c>
      <c r="D452">
        <v>16800</v>
      </c>
      <c r="E452" t="s">
        <v>1856</v>
      </c>
      <c r="F452" s="5">
        <v>16800</v>
      </c>
      <c r="G452" s="5">
        <v>16800</v>
      </c>
      <c r="H452" s="5">
        <f ca="1">OFFSET(F452,0,Brains!$D$1,1,1)</f>
        <v>16800</v>
      </c>
      <c r="I452" t="s">
        <v>3094</v>
      </c>
      <c r="J452" t="s">
        <v>1858</v>
      </c>
      <c r="K452" t="s">
        <v>1872</v>
      </c>
      <c r="L452" t="s">
        <v>1872</v>
      </c>
      <c r="M452" s="11" t="s">
        <v>3918</v>
      </c>
      <c r="N452" t="s">
        <v>1860</v>
      </c>
      <c r="O452" s="7" t="s">
        <v>3922</v>
      </c>
      <c r="P452" s="17" t="str">
        <f t="shared" ca="1" si="14"/>
        <v>15-29.9K</v>
      </c>
      <c r="Q452" s="17">
        <v>5</v>
      </c>
      <c r="R452">
        <v>12</v>
      </c>
      <c r="S452">
        <v>4</v>
      </c>
      <c r="T452">
        <v>3</v>
      </c>
      <c r="U452">
        <v>2</v>
      </c>
      <c r="V452" s="15">
        <f t="shared" ca="1" si="15"/>
        <v>2</v>
      </c>
    </row>
    <row r="453" spans="1:22">
      <c r="A453" t="s">
        <v>654</v>
      </c>
      <c r="B453" s="1">
        <v>41058.520277777781</v>
      </c>
      <c r="C453" s="2" t="s">
        <v>655</v>
      </c>
      <c r="D453">
        <v>14000</v>
      </c>
      <c r="E453" t="s">
        <v>1856</v>
      </c>
      <c r="F453" s="5">
        <v>14000</v>
      </c>
      <c r="G453" s="5">
        <v>14000</v>
      </c>
      <c r="H453" s="5">
        <f ca="1">OFFSET(F453,0,Brains!$D$1,1,1)</f>
        <v>14000</v>
      </c>
      <c r="I453" t="s">
        <v>656</v>
      </c>
      <c r="J453" t="s">
        <v>1858</v>
      </c>
      <c r="K453" t="s">
        <v>1859</v>
      </c>
      <c r="L453" t="s">
        <v>1859</v>
      </c>
      <c r="M453" s="11" t="s">
        <v>3918</v>
      </c>
      <c r="N453" t="s">
        <v>1860</v>
      </c>
      <c r="O453" s="7" t="s">
        <v>3922</v>
      </c>
      <c r="P453" s="17" t="str">
        <f t="shared" ca="1" si="14"/>
        <v>0-14.9K</v>
      </c>
      <c r="Q453" s="17">
        <v>5</v>
      </c>
      <c r="R453">
        <v>12</v>
      </c>
      <c r="S453">
        <v>4</v>
      </c>
      <c r="T453">
        <v>3</v>
      </c>
      <c r="U453">
        <v>2</v>
      </c>
      <c r="V453" s="15">
        <f t="shared" ca="1" si="15"/>
        <v>1</v>
      </c>
    </row>
    <row r="454" spans="1:22">
      <c r="A454" t="s">
        <v>3370</v>
      </c>
      <c r="B454" s="1">
        <v>41055.598668981482</v>
      </c>
      <c r="C454" s="2">
        <v>1000</v>
      </c>
      <c r="D454">
        <v>12000</v>
      </c>
      <c r="E454" t="s">
        <v>1856</v>
      </c>
      <c r="F454" s="5">
        <v>12000</v>
      </c>
      <c r="G454" s="5">
        <v>12000</v>
      </c>
      <c r="H454" s="5">
        <f ca="1">OFFSET(F454,0,Brains!$D$1,1,1)</f>
        <v>12000</v>
      </c>
      <c r="I454" t="s">
        <v>3371</v>
      </c>
      <c r="J454" t="s">
        <v>1858</v>
      </c>
      <c r="K454" t="s">
        <v>3372</v>
      </c>
      <c r="L454" t="s">
        <v>2143</v>
      </c>
      <c r="M454" s="11" t="s">
        <v>3918</v>
      </c>
      <c r="N454" t="s">
        <v>1860</v>
      </c>
      <c r="O454" s="7" t="s">
        <v>3922</v>
      </c>
      <c r="P454" s="17" t="str">
        <f t="shared" ca="1" si="14"/>
        <v>0-14.9K</v>
      </c>
      <c r="Q454" s="17">
        <v>5</v>
      </c>
      <c r="R454">
        <v>12</v>
      </c>
      <c r="S454">
        <v>4</v>
      </c>
      <c r="T454">
        <v>3</v>
      </c>
      <c r="U454">
        <v>2</v>
      </c>
      <c r="V454" s="15">
        <f t="shared" ca="1" si="15"/>
        <v>1</v>
      </c>
    </row>
    <row r="455" spans="1:22">
      <c r="A455" t="s">
        <v>3436</v>
      </c>
      <c r="B455" s="1">
        <v>41055.670162037037</v>
      </c>
      <c r="C455" s="2">
        <v>10000</v>
      </c>
      <c r="D455">
        <v>10000</v>
      </c>
      <c r="E455" t="s">
        <v>1856</v>
      </c>
      <c r="F455" s="5">
        <v>10000</v>
      </c>
      <c r="G455" s="5">
        <v>10000</v>
      </c>
      <c r="H455" s="5">
        <f ca="1">OFFSET(F455,0,Brains!$D$1,1,1)</f>
        <v>10000</v>
      </c>
      <c r="I455" t="s">
        <v>3437</v>
      </c>
      <c r="J455" t="s">
        <v>1858</v>
      </c>
      <c r="K455" t="s">
        <v>1859</v>
      </c>
      <c r="L455" t="s">
        <v>1859</v>
      </c>
      <c r="M455" s="11" t="s">
        <v>3918</v>
      </c>
      <c r="N455" t="s">
        <v>1860</v>
      </c>
      <c r="O455" s="7" t="s">
        <v>3922</v>
      </c>
      <c r="P455" s="17" t="str">
        <f t="shared" ca="1" si="14"/>
        <v>0-14.9K</v>
      </c>
      <c r="Q455" s="17">
        <v>5</v>
      </c>
      <c r="R455">
        <v>12</v>
      </c>
      <c r="S455">
        <v>4</v>
      </c>
      <c r="T455">
        <v>3</v>
      </c>
      <c r="U455">
        <v>2</v>
      </c>
      <c r="V455" s="15">
        <f t="shared" ca="1" si="15"/>
        <v>1</v>
      </c>
    </row>
    <row r="456" spans="1:22">
      <c r="A456" t="s">
        <v>3896</v>
      </c>
      <c r="B456" s="1">
        <v>41057.24386574074</v>
      </c>
      <c r="C456" s="2" t="s">
        <v>3897</v>
      </c>
      <c r="D456">
        <v>90000</v>
      </c>
      <c r="E456" t="s">
        <v>1973</v>
      </c>
      <c r="F456" s="5">
        <v>91791.869076237213</v>
      </c>
      <c r="G456" s="5">
        <v>57251.908396946565</v>
      </c>
      <c r="H456" s="5">
        <f ca="1">OFFSET(F456,0,Brains!$D$1,1,1)</f>
        <v>57251.908396946565</v>
      </c>
      <c r="I456" t="s">
        <v>3569</v>
      </c>
      <c r="J456" t="s">
        <v>1858</v>
      </c>
      <c r="K456" t="s">
        <v>1975</v>
      </c>
      <c r="L456" t="s">
        <v>1975</v>
      </c>
      <c r="M456" s="11" t="s">
        <v>3918</v>
      </c>
      <c r="N456" t="s">
        <v>1860</v>
      </c>
      <c r="O456" s="7" t="s">
        <v>3922</v>
      </c>
      <c r="P456" s="17" t="str">
        <f t="shared" ca="1" si="14"/>
        <v>50-74.9K</v>
      </c>
      <c r="Q456" s="17">
        <v>5</v>
      </c>
      <c r="R456">
        <v>13</v>
      </c>
      <c r="S456">
        <v>4</v>
      </c>
      <c r="T456">
        <v>3</v>
      </c>
      <c r="U456">
        <v>2</v>
      </c>
      <c r="V456" s="15">
        <f t="shared" ca="1" si="15"/>
        <v>4</v>
      </c>
    </row>
    <row r="457" spans="1:22">
      <c r="A457" t="s">
        <v>899</v>
      </c>
      <c r="B457" s="1">
        <v>41059.001481481479</v>
      </c>
      <c r="C457" s="2">
        <v>64500</v>
      </c>
      <c r="D457">
        <v>64500</v>
      </c>
      <c r="E457" t="s">
        <v>1856</v>
      </c>
      <c r="F457" s="5">
        <v>64500</v>
      </c>
      <c r="G457" s="5">
        <v>64500</v>
      </c>
      <c r="H457" s="5">
        <f ca="1">OFFSET(F457,0,Brains!$D$1,1,1)</f>
        <v>64500</v>
      </c>
      <c r="I457" t="s">
        <v>900</v>
      </c>
      <c r="J457" t="s">
        <v>1858</v>
      </c>
      <c r="K457" t="s">
        <v>1869</v>
      </c>
      <c r="L457" t="s">
        <v>1869</v>
      </c>
      <c r="M457" s="11" t="s">
        <v>3918</v>
      </c>
      <c r="N457" t="s">
        <v>1860</v>
      </c>
      <c r="O457" s="7" t="s">
        <v>3922</v>
      </c>
      <c r="P457" s="17" t="str">
        <f t="shared" ca="1" si="14"/>
        <v>50-74.9K</v>
      </c>
      <c r="Q457" s="17">
        <v>5</v>
      </c>
      <c r="R457">
        <v>13</v>
      </c>
      <c r="S457">
        <v>4</v>
      </c>
      <c r="T457">
        <v>3</v>
      </c>
      <c r="U457">
        <v>2</v>
      </c>
      <c r="V457" s="15">
        <f t="shared" ca="1" si="15"/>
        <v>4</v>
      </c>
    </row>
    <row r="458" spans="1:22">
      <c r="A458" t="s">
        <v>1053</v>
      </c>
      <c r="B458" s="1">
        <v>41059.866608796299</v>
      </c>
      <c r="C458" s="2" t="s">
        <v>1054</v>
      </c>
      <c r="D458">
        <v>50000</v>
      </c>
      <c r="E458" t="s">
        <v>1856</v>
      </c>
      <c r="F458" s="5">
        <v>50000</v>
      </c>
      <c r="G458" s="5">
        <v>50000</v>
      </c>
      <c r="H458" s="5">
        <f ca="1">OFFSET(F458,0,Brains!$D$1,1,1)</f>
        <v>50000</v>
      </c>
      <c r="I458" t="s">
        <v>2335</v>
      </c>
      <c r="J458" t="s">
        <v>1858</v>
      </c>
      <c r="K458" t="s">
        <v>133</v>
      </c>
      <c r="L458" t="s">
        <v>133</v>
      </c>
      <c r="M458" s="11" t="s">
        <v>3918</v>
      </c>
      <c r="N458" t="s">
        <v>1860</v>
      </c>
      <c r="O458" s="7" t="s">
        <v>3922</v>
      </c>
      <c r="P458" s="17" t="str">
        <f t="shared" ca="1" si="14"/>
        <v>50-74.9K</v>
      </c>
      <c r="Q458" s="17">
        <v>5</v>
      </c>
      <c r="R458">
        <v>13</v>
      </c>
      <c r="S458">
        <v>4</v>
      </c>
      <c r="T458">
        <v>3</v>
      </c>
      <c r="U458">
        <v>2</v>
      </c>
      <c r="V458" s="15">
        <f t="shared" ca="1" si="15"/>
        <v>4</v>
      </c>
    </row>
    <row r="459" spans="1:22">
      <c r="A459" t="s">
        <v>1617</v>
      </c>
      <c r="B459" s="1">
        <v>41072.113391203704</v>
      </c>
      <c r="C459" s="2" t="s">
        <v>1618</v>
      </c>
      <c r="D459">
        <v>65000</v>
      </c>
      <c r="E459" t="s">
        <v>1856</v>
      </c>
      <c r="F459" s="5">
        <v>65000</v>
      </c>
      <c r="G459" s="5">
        <v>65000</v>
      </c>
      <c r="H459" s="5">
        <f ca="1">OFFSET(F459,0,Brains!$D$1,1,1)</f>
        <v>65000</v>
      </c>
      <c r="I459" t="s">
        <v>1619</v>
      </c>
      <c r="J459" t="s">
        <v>1858</v>
      </c>
      <c r="K459" t="s">
        <v>1869</v>
      </c>
      <c r="L459" t="s">
        <v>1869</v>
      </c>
      <c r="M459" s="11" t="s">
        <v>3918</v>
      </c>
      <c r="N459" t="s">
        <v>1860</v>
      </c>
      <c r="O459" s="7" t="s">
        <v>3922</v>
      </c>
      <c r="P459" s="17" t="str">
        <f t="shared" ca="1" si="14"/>
        <v>50-74.9K</v>
      </c>
      <c r="Q459" s="17">
        <v>5</v>
      </c>
      <c r="R459">
        <v>14</v>
      </c>
      <c r="S459">
        <v>4</v>
      </c>
      <c r="T459">
        <v>3</v>
      </c>
      <c r="U459">
        <v>2</v>
      </c>
      <c r="V459" s="15">
        <f t="shared" ca="1" si="15"/>
        <v>4</v>
      </c>
    </row>
    <row r="460" spans="1:22">
      <c r="A460" t="s">
        <v>396</v>
      </c>
      <c r="B460" s="1">
        <v>41057.942210648151</v>
      </c>
      <c r="C460" s="2">
        <v>59000</v>
      </c>
      <c r="D460">
        <v>59000</v>
      </c>
      <c r="E460" t="s">
        <v>1856</v>
      </c>
      <c r="F460" s="5">
        <v>59000</v>
      </c>
      <c r="G460" s="5">
        <v>59000</v>
      </c>
      <c r="H460" s="5">
        <f ca="1">OFFSET(F460,0,Brains!$D$1,1,1)</f>
        <v>59000</v>
      </c>
      <c r="I460" t="s">
        <v>2560</v>
      </c>
      <c r="J460" t="s">
        <v>1858</v>
      </c>
      <c r="K460" t="s">
        <v>1869</v>
      </c>
      <c r="L460" t="s">
        <v>1869</v>
      </c>
      <c r="M460" s="11" t="s">
        <v>3918</v>
      </c>
      <c r="N460" t="s">
        <v>1860</v>
      </c>
      <c r="O460" s="7" t="s">
        <v>3922</v>
      </c>
      <c r="P460" s="17" t="str">
        <f t="shared" ca="1" si="14"/>
        <v>50-74.9K</v>
      </c>
      <c r="Q460" s="17">
        <v>5</v>
      </c>
      <c r="R460">
        <v>14</v>
      </c>
      <c r="S460">
        <v>4</v>
      </c>
      <c r="T460">
        <v>3</v>
      </c>
      <c r="U460">
        <v>2</v>
      </c>
      <c r="V460" s="15">
        <f t="shared" ca="1" si="15"/>
        <v>4</v>
      </c>
    </row>
    <row r="461" spans="1:22">
      <c r="A461" t="s">
        <v>334</v>
      </c>
      <c r="B461" s="1">
        <v>41057.785127314812</v>
      </c>
      <c r="C461" s="2">
        <v>29000</v>
      </c>
      <c r="D461">
        <v>29000</v>
      </c>
      <c r="E461" t="s">
        <v>1954</v>
      </c>
      <c r="F461" s="5">
        <v>45709.169889951241</v>
      </c>
      <c r="G461" s="5">
        <v>43026.706231454002</v>
      </c>
      <c r="H461" s="5">
        <f ca="1">OFFSET(F461,0,Brains!$D$1,1,1)</f>
        <v>43026.706231454002</v>
      </c>
      <c r="I461" t="s">
        <v>1868</v>
      </c>
      <c r="J461" t="s">
        <v>1858</v>
      </c>
      <c r="K461" t="s">
        <v>1956</v>
      </c>
      <c r="L461" t="s">
        <v>1956</v>
      </c>
      <c r="M461" s="11" t="s">
        <v>3918</v>
      </c>
      <c r="N461" t="s">
        <v>1860</v>
      </c>
      <c r="O461" s="7" t="s">
        <v>3922</v>
      </c>
      <c r="P461" s="17" t="str">
        <f t="shared" ca="1" si="14"/>
        <v>30-49.9K</v>
      </c>
      <c r="Q461" s="17">
        <v>5</v>
      </c>
      <c r="R461">
        <v>14</v>
      </c>
      <c r="S461">
        <v>4</v>
      </c>
      <c r="T461">
        <v>3</v>
      </c>
      <c r="U461">
        <v>2</v>
      </c>
      <c r="V461" s="15">
        <f t="shared" ca="1" si="15"/>
        <v>3</v>
      </c>
    </row>
    <row r="462" spans="1:22">
      <c r="A462" t="s">
        <v>1472</v>
      </c>
      <c r="B462" s="1">
        <v>41066.786145833335</v>
      </c>
      <c r="C462" s="2">
        <v>700</v>
      </c>
      <c r="D462">
        <v>8400</v>
      </c>
      <c r="E462" t="s">
        <v>1856</v>
      </c>
      <c r="F462" s="5">
        <v>8400</v>
      </c>
      <c r="G462" s="5">
        <v>8400</v>
      </c>
      <c r="H462" s="5">
        <f ca="1">OFFSET(F462,0,Brains!$D$1,1,1)</f>
        <v>8400</v>
      </c>
      <c r="I462" t="s">
        <v>1473</v>
      </c>
      <c r="J462" t="s">
        <v>1858</v>
      </c>
      <c r="K462" t="s">
        <v>3700</v>
      </c>
      <c r="L462" t="s">
        <v>3192</v>
      </c>
      <c r="M462" s="11" t="s">
        <v>3918</v>
      </c>
      <c r="N462" t="s">
        <v>1860</v>
      </c>
      <c r="O462" s="7" t="s">
        <v>3922</v>
      </c>
      <c r="P462" s="17" t="str">
        <f t="shared" ca="1" si="14"/>
        <v>0-14.9K</v>
      </c>
      <c r="Q462" s="17">
        <v>5</v>
      </c>
      <c r="R462">
        <v>14</v>
      </c>
      <c r="S462">
        <v>4</v>
      </c>
      <c r="T462">
        <v>3</v>
      </c>
      <c r="U462">
        <v>2</v>
      </c>
      <c r="V462" s="15">
        <f t="shared" ca="1" si="15"/>
        <v>1</v>
      </c>
    </row>
    <row r="463" spans="1:22">
      <c r="A463" t="s">
        <v>1097</v>
      </c>
      <c r="B463" s="1">
        <v>41060.076689814814</v>
      </c>
      <c r="C463" s="2">
        <v>95000</v>
      </c>
      <c r="D463">
        <v>95000</v>
      </c>
      <c r="E463" t="s">
        <v>1856</v>
      </c>
      <c r="F463" s="5">
        <v>95000</v>
      </c>
      <c r="G463" s="5">
        <v>95000</v>
      </c>
      <c r="H463" s="5">
        <f ca="1">OFFSET(F463,0,Brains!$D$1,1,1)</f>
        <v>95000</v>
      </c>
      <c r="I463" t="s">
        <v>2310</v>
      </c>
      <c r="J463" t="s">
        <v>1858</v>
      </c>
      <c r="K463" t="s">
        <v>1869</v>
      </c>
      <c r="L463" t="s">
        <v>1869</v>
      </c>
      <c r="M463" s="11" t="s">
        <v>3918</v>
      </c>
      <c r="N463" t="s">
        <v>1860</v>
      </c>
      <c r="O463" s="7" t="s">
        <v>3922</v>
      </c>
      <c r="P463" s="17" t="str">
        <f t="shared" ca="1" si="14"/>
        <v>75-99.9K</v>
      </c>
      <c r="Q463" s="17">
        <v>5</v>
      </c>
      <c r="R463">
        <v>15</v>
      </c>
      <c r="S463">
        <v>4</v>
      </c>
      <c r="T463">
        <v>3</v>
      </c>
      <c r="U463">
        <v>2</v>
      </c>
      <c r="V463" s="15">
        <f t="shared" ca="1" si="15"/>
        <v>5</v>
      </c>
    </row>
    <row r="464" spans="1:22">
      <c r="A464" t="s">
        <v>539</v>
      </c>
      <c r="B464" s="1">
        <v>41058.113703703704</v>
      </c>
      <c r="C464" s="2" t="s">
        <v>540</v>
      </c>
      <c r="D464">
        <v>62000</v>
      </c>
      <c r="E464" t="s">
        <v>1880</v>
      </c>
      <c r="F464" s="5">
        <v>78764.765217479682</v>
      </c>
      <c r="G464" s="5">
        <v>77884.359313210705</v>
      </c>
      <c r="H464" s="5">
        <f ca="1">OFFSET(F464,0,Brains!$D$1,1,1)</f>
        <v>77884.359313210705</v>
      </c>
      <c r="I464" t="s">
        <v>541</v>
      </c>
      <c r="J464" t="s">
        <v>1858</v>
      </c>
      <c r="K464" t="s">
        <v>2998</v>
      </c>
      <c r="L464" t="s">
        <v>2998</v>
      </c>
      <c r="M464" s="11" t="s">
        <v>3918</v>
      </c>
      <c r="N464" t="s">
        <v>1860</v>
      </c>
      <c r="O464" s="7" t="s">
        <v>3922</v>
      </c>
      <c r="P464" s="17" t="str">
        <f t="shared" ca="1" si="14"/>
        <v>75-99.9K</v>
      </c>
      <c r="Q464" s="17">
        <v>5</v>
      </c>
      <c r="R464">
        <v>15</v>
      </c>
      <c r="S464">
        <v>4</v>
      </c>
      <c r="T464">
        <v>3</v>
      </c>
      <c r="U464">
        <v>2</v>
      </c>
      <c r="V464" s="15">
        <f t="shared" ca="1" si="15"/>
        <v>5</v>
      </c>
    </row>
    <row r="465" spans="1:22">
      <c r="A465" t="s">
        <v>892</v>
      </c>
      <c r="B465" s="1">
        <v>41058.97320601852</v>
      </c>
      <c r="C465" s="2">
        <v>60000</v>
      </c>
      <c r="D465">
        <v>60000</v>
      </c>
      <c r="E465" t="s">
        <v>1856</v>
      </c>
      <c r="F465" s="5">
        <v>60000</v>
      </c>
      <c r="G465" s="5">
        <v>60000</v>
      </c>
      <c r="H465" s="5">
        <f ca="1">OFFSET(F465,0,Brains!$D$1,1,1)</f>
        <v>60000</v>
      </c>
      <c r="I465" t="s">
        <v>1911</v>
      </c>
      <c r="J465" t="s">
        <v>1858</v>
      </c>
      <c r="K465" t="s">
        <v>1869</v>
      </c>
      <c r="L465" t="s">
        <v>1869</v>
      </c>
      <c r="M465" s="11" t="s">
        <v>3918</v>
      </c>
      <c r="N465" t="s">
        <v>1860</v>
      </c>
      <c r="O465" s="7" t="s">
        <v>3922</v>
      </c>
      <c r="P465" s="17" t="str">
        <f t="shared" ca="1" si="14"/>
        <v>50-74.9K</v>
      </c>
      <c r="Q465" s="17">
        <v>5</v>
      </c>
      <c r="R465">
        <v>15</v>
      </c>
      <c r="S465">
        <v>4</v>
      </c>
      <c r="T465">
        <v>3</v>
      </c>
      <c r="U465">
        <v>2</v>
      </c>
      <c r="V465" s="15">
        <f t="shared" ca="1" si="15"/>
        <v>4</v>
      </c>
    </row>
    <row r="466" spans="1:22">
      <c r="A466" t="s">
        <v>1685</v>
      </c>
      <c r="B466" s="1">
        <v>41074.080011574071</v>
      </c>
      <c r="C466" s="2">
        <v>60000</v>
      </c>
      <c r="D466">
        <v>60000</v>
      </c>
      <c r="E466" t="s">
        <v>1856</v>
      </c>
      <c r="F466" s="5">
        <v>60000</v>
      </c>
      <c r="G466" s="5">
        <v>60000</v>
      </c>
      <c r="H466" s="5">
        <f ca="1">OFFSET(F466,0,Brains!$D$1,1,1)</f>
        <v>60000</v>
      </c>
      <c r="I466" t="s">
        <v>2195</v>
      </c>
      <c r="J466" t="s">
        <v>1858</v>
      </c>
      <c r="K466" t="s">
        <v>1869</v>
      </c>
      <c r="L466" t="s">
        <v>1869</v>
      </c>
      <c r="M466" s="11" t="s">
        <v>3918</v>
      </c>
      <c r="N466" t="s">
        <v>1860</v>
      </c>
      <c r="O466" s="7" t="s">
        <v>3922</v>
      </c>
      <c r="P466" s="17" t="str">
        <f t="shared" ca="1" si="14"/>
        <v>50-74.9K</v>
      </c>
      <c r="Q466" s="17">
        <v>5</v>
      </c>
      <c r="R466">
        <v>15</v>
      </c>
      <c r="S466">
        <v>4</v>
      </c>
      <c r="T466">
        <v>3</v>
      </c>
      <c r="U466">
        <v>2</v>
      </c>
      <c r="V466" s="15">
        <f t="shared" ca="1" si="15"/>
        <v>4</v>
      </c>
    </row>
    <row r="467" spans="1:22">
      <c r="A467" t="s">
        <v>1398</v>
      </c>
      <c r="B467" s="1">
        <v>41065.085972222223</v>
      </c>
      <c r="C467" s="2">
        <v>55000</v>
      </c>
      <c r="D467">
        <v>55000</v>
      </c>
      <c r="E467" t="s">
        <v>1856</v>
      </c>
      <c r="F467" s="5">
        <v>55000</v>
      </c>
      <c r="G467" s="5">
        <v>55000</v>
      </c>
      <c r="H467" s="5">
        <f ca="1">OFFSET(F467,0,Brains!$D$1,1,1)</f>
        <v>55000</v>
      </c>
      <c r="I467" t="s">
        <v>1399</v>
      </c>
      <c r="J467" t="s">
        <v>1858</v>
      </c>
      <c r="K467" t="s">
        <v>1869</v>
      </c>
      <c r="L467" t="s">
        <v>1869</v>
      </c>
      <c r="M467" s="11" t="s">
        <v>3918</v>
      </c>
      <c r="N467" t="s">
        <v>1860</v>
      </c>
      <c r="O467" s="7" t="s">
        <v>3922</v>
      </c>
      <c r="P467" s="17" t="str">
        <f t="shared" ca="1" si="14"/>
        <v>50-74.9K</v>
      </c>
      <c r="Q467" s="17">
        <v>5</v>
      </c>
      <c r="R467">
        <v>15</v>
      </c>
      <c r="S467">
        <v>4</v>
      </c>
      <c r="T467">
        <v>3</v>
      </c>
      <c r="U467">
        <v>2</v>
      </c>
      <c r="V467" s="15">
        <f t="shared" ca="1" si="15"/>
        <v>4</v>
      </c>
    </row>
    <row r="468" spans="1:22">
      <c r="A468" t="s">
        <v>3137</v>
      </c>
      <c r="B468" s="1">
        <v>41055.371666666666</v>
      </c>
      <c r="C468" s="2">
        <v>45000</v>
      </c>
      <c r="D468">
        <v>45000</v>
      </c>
      <c r="E468" t="s">
        <v>1856</v>
      </c>
      <c r="F468" s="5">
        <v>45000</v>
      </c>
      <c r="G468" s="5">
        <v>45000</v>
      </c>
      <c r="H468" s="5">
        <f ca="1">OFFSET(F468,0,Brains!$D$1,1,1)</f>
        <v>45000</v>
      </c>
      <c r="I468" t="s">
        <v>3138</v>
      </c>
      <c r="J468" t="s">
        <v>1858</v>
      </c>
      <c r="K468" t="s">
        <v>1869</v>
      </c>
      <c r="L468" t="s">
        <v>1869</v>
      </c>
      <c r="M468" s="11" t="s">
        <v>3918</v>
      </c>
      <c r="N468" t="s">
        <v>1860</v>
      </c>
      <c r="O468" s="7" t="s">
        <v>3922</v>
      </c>
      <c r="P468" s="17" t="str">
        <f t="shared" ca="1" si="14"/>
        <v>30-49.9K</v>
      </c>
      <c r="Q468" s="17">
        <v>5</v>
      </c>
      <c r="R468">
        <v>15</v>
      </c>
      <c r="S468">
        <v>4</v>
      </c>
      <c r="T468">
        <v>3</v>
      </c>
      <c r="U468">
        <v>2</v>
      </c>
      <c r="V468" s="15">
        <f t="shared" ca="1" si="15"/>
        <v>3</v>
      </c>
    </row>
    <row r="469" spans="1:22">
      <c r="A469" t="s">
        <v>777</v>
      </c>
      <c r="B469" s="1">
        <v>41058.764733796299</v>
      </c>
      <c r="C469" s="2">
        <v>34500</v>
      </c>
      <c r="D469">
        <v>34500</v>
      </c>
      <c r="E469" t="s">
        <v>1880</v>
      </c>
      <c r="F469" s="5">
        <v>43828.780645210471</v>
      </c>
      <c r="G469" s="5">
        <v>43338.877359770471</v>
      </c>
      <c r="H469" s="5">
        <f ca="1">OFFSET(F469,0,Brains!$D$1,1,1)</f>
        <v>43338.877359770471</v>
      </c>
      <c r="I469" t="s">
        <v>1858</v>
      </c>
      <c r="J469" t="s">
        <v>1858</v>
      </c>
      <c r="K469" t="s">
        <v>2998</v>
      </c>
      <c r="L469" t="s">
        <v>2998</v>
      </c>
      <c r="M469" s="11" t="s">
        <v>3918</v>
      </c>
      <c r="N469" t="s">
        <v>1860</v>
      </c>
      <c r="O469" s="7" t="s">
        <v>3922</v>
      </c>
      <c r="P469" s="17" t="str">
        <f t="shared" ca="1" si="14"/>
        <v>30-49.9K</v>
      </c>
      <c r="Q469" s="17">
        <v>5</v>
      </c>
      <c r="R469">
        <v>15</v>
      </c>
      <c r="S469">
        <v>4</v>
      </c>
      <c r="T469">
        <v>3</v>
      </c>
      <c r="U469">
        <v>2</v>
      </c>
      <c r="V469" s="15">
        <f t="shared" ca="1" si="15"/>
        <v>3</v>
      </c>
    </row>
    <row r="470" spans="1:22">
      <c r="A470" t="s">
        <v>1203</v>
      </c>
      <c r="B470" s="1">
        <v>41061.106273148151</v>
      </c>
      <c r="C470" s="2">
        <v>31200</v>
      </c>
      <c r="D470">
        <v>31200</v>
      </c>
      <c r="E470" t="s">
        <v>1856</v>
      </c>
      <c r="F470" s="5">
        <v>31200</v>
      </c>
      <c r="G470" s="5">
        <v>31200</v>
      </c>
      <c r="H470" s="5">
        <f ca="1">OFFSET(F470,0,Brains!$D$1,1,1)</f>
        <v>31200</v>
      </c>
      <c r="I470" t="s">
        <v>2099</v>
      </c>
      <c r="J470" t="s">
        <v>1858</v>
      </c>
      <c r="K470" t="s">
        <v>1869</v>
      </c>
      <c r="L470" t="s">
        <v>1869</v>
      </c>
      <c r="M470" s="11" t="s">
        <v>3918</v>
      </c>
      <c r="N470" t="s">
        <v>1860</v>
      </c>
      <c r="O470" s="7" t="s">
        <v>3922</v>
      </c>
      <c r="P470" s="17" t="str">
        <f t="shared" ca="1" si="14"/>
        <v>30-49.9K</v>
      </c>
      <c r="Q470" s="17">
        <v>5</v>
      </c>
      <c r="R470">
        <v>15</v>
      </c>
      <c r="S470">
        <v>4</v>
      </c>
      <c r="T470">
        <v>3</v>
      </c>
      <c r="U470">
        <v>2</v>
      </c>
      <c r="V470" s="15">
        <f t="shared" ca="1" si="15"/>
        <v>3</v>
      </c>
    </row>
    <row r="471" spans="1:22">
      <c r="A471" t="s">
        <v>3418</v>
      </c>
      <c r="B471" s="1">
        <v>41055.655925925923</v>
      </c>
      <c r="C471" s="2">
        <v>5022</v>
      </c>
      <c r="D471">
        <v>5022</v>
      </c>
      <c r="E471" t="s">
        <v>1856</v>
      </c>
      <c r="F471" s="5">
        <v>5022</v>
      </c>
      <c r="G471" s="5">
        <v>5022</v>
      </c>
      <c r="H471" s="5">
        <f ca="1">OFFSET(F471,0,Brains!$D$1,1,1)</f>
        <v>5022</v>
      </c>
      <c r="I471" t="s">
        <v>3419</v>
      </c>
      <c r="J471" t="s">
        <v>1858</v>
      </c>
      <c r="K471" t="s">
        <v>1872</v>
      </c>
      <c r="L471" t="s">
        <v>1872</v>
      </c>
      <c r="M471" s="11" t="s">
        <v>3918</v>
      </c>
      <c r="N471" t="s">
        <v>1860</v>
      </c>
      <c r="O471" s="7" t="s">
        <v>3922</v>
      </c>
      <c r="P471" s="17" t="str">
        <f t="shared" ca="1" si="14"/>
        <v>0-14.9K</v>
      </c>
      <c r="Q471" s="17">
        <v>5</v>
      </c>
      <c r="R471">
        <v>15</v>
      </c>
      <c r="S471">
        <v>4</v>
      </c>
      <c r="T471">
        <v>3</v>
      </c>
      <c r="U471">
        <v>2</v>
      </c>
      <c r="V471" s="15">
        <f t="shared" ca="1" si="15"/>
        <v>1</v>
      </c>
    </row>
    <row r="472" spans="1:22">
      <c r="A472" t="s">
        <v>924</v>
      </c>
      <c r="B472" s="1">
        <v>41059.062395833331</v>
      </c>
      <c r="C472" s="2">
        <v>80442</v>
      </c>
      <c r="D472">
        <v>80442</v>
      </c>
      <c r="E472" t="s">
        <v>1856</v>
      </c>
      <c r="F472" s="5">
        <v>80442</v>
      </c>
      <c r="G472" s="5">
        <v>80442</v>
      </c>
      <c r="H472" s="5">
        <f ca="1">OFFSET(F472,0,Brains!$D$1,1,1)</f>
        <v>80442</v>
      </c>
      <c r="I472" t="s">
        <v>925</v>
      </c>
      <c r="J472" t="s">
        <v>1858</v>
      </c>
      <c r="K472" t="s">
        <v>1869</v>
      </c>
      <c r="L472" t="s">
        <v>1869</v>
      </c>
      <c r="M472" s="11" t="s">
        <v>3918</v>
      </c>
      <c r="N472" t="s">
        <v>1860</v>
      </c>
      <c r="O472" s="7" t="s">
        <v>3922</v>
      </c>
      <c r="P472" s="17" t="str">
        <f t="shared" ca="1" si="14"/>
        <v>75-99.9K</v>
      </c>
      <c r="Q472" s="17">
        <v>5</v>
      </c>
      <c r="R472">
        <v>16</v>
      </c>
      <c r="S472">
        <v>4</v>
      </c>
      <c r="T472">
        <v>3</v>
      </c>
      <c r="U472">
        <v>2</v>
      </c>
      <c r="V472" s="15">
        <f t="shared" ca="1" si="15"/>
        <v>5</v>
      </c>
    </row>
    <row r="473" spans="1:22">
      <c r="A473" t="s">
        <v>677</v>
      </c>
      <c r="B473" s="1">
        <v>41058.582291666666</v>
      </c>
      <c r="C473" s="2" t="s">
        <v>678</v>
      </c>
      <c r="D473">
        <v>100000</v>
      </c>
      <c r="E473" t="s">
        <v>1856</v>
      </c>
      <c r="F473" s="5">
        <v>100000</v>
      </c>
      <c r="G473" s="5">
        <v>100000</v>
      </c>
      <c r="H473" s="5">
        <f ca="1">OFFSET(F473,0,Brains!$D$1,1,1)</f>
        <v>100000</v>
      </c>
      <c r="I473" t="s">
        <v>2195</v>
      </c>
      <c r="J473" t="s">
        <v>1858</v>
      </c>
      <c r="K473" t="s">
        <v>679</v>
      </c>
      <c r="L473" t="s">
        <v>679</v>
      </c>
      <c r="M473" s="11" t="s">
        <v>3918</v>
      </c>
      <c r="N473" t="s">
        <v>1860</v>
      </c>
      <c r="O473" s="7" t="s">
        <v>3922</v>
      </c>
      <c r="P473" s="17" t="str">
        <f t="shared" ca="1" si="14"/>
        <v>100-149.9K</v>
      </c>
      <c r="Q473" s="17">
        <v>5</v>
      </c>
      <c r="R473">
        <v>17</v>
      </c>
      <c r="S473">
        <v>4</v>
      </c>
      <c r="T473">
        <v>3</v>
      </c>
      <c r="U473">
        <v>2</v>
      </c>
      <c r="V473" s="15">
        <f t="shared" ca="1" si="15"/>
        <v>6</v>
      </c>
    </row>
    <row r="474" spans="1:22">
      <c r="A474" t="s">
        <v>836</v>
      </c>
      <c r="B474" s="1">
        <v>41058.894525462965</v>
      </c>
      <c r="C474" s="2">
        <v>85000</v>
      </c>
      <c r="D474">
        <v>85000</v>
      </c>
      <c r="E474" t="s">
        <v>1856</v>
      </c>
      <c r="F474" s="5">
        <v>85000</v>
      </c>
      <c r="G474" s="5">
        <v>85000</v>
      </c>
      <c r="H474" s="5">
        <f ca="1">OFFSET(F474,0,Brains!$D$1,1,1)</f>
        <v>85000</v>
      </c>
      <c r="I474" t="s">
        <v>2017</v>
      </c>
      <c r="J474" t="s">
        <v>1858</v>
      </c>
      <c r="K474" t="s">
        <v>1869</v>
      </c>
      <c r="L474" t="s">
        <v>1869</v>
      </c>
      <c r="M474" s="11" t="s">
        <v>3918</v>
      </c>
      <c r="N474" t="s">
        <v>1860</v>
      </c>
      <c r="O474" s="7" t="s">
        <v>3922</v>
      </c>
      <c r="P474" s="17" t="str">
        <f t="shared" ca="1" si="14"/>
        <v>75-99.9K</v>
      </c>
      <c r="Q474" s="17">
        <v>5</v>
      </c>
      <c r="R474">
        <v>17</v>
      </c>
      <c r="S474">
        <v>4</v>
      </c>
      <c r="T474">
        <v>3</v>
      </c>
      <c r="U474">
        <v>2</v>
      </c>
      <c r="V474" s="15">
        <f t="shared" ca="1" si="15"/>
        <v>5</v>
      </c>
    </row>
    <row r="475" spans="1:22">
      <c r="A475" t="s">
        <v>1169</v>
      </c>
      <c r="B475" s="1">
        <v>41060.879687499997</v>
      </c>
      <c r="C475" s="2">
        <v>70970</v>
      </c>
      <c r="D475">
        <v>70970</v>
      </c>
      <c r="E475" t="s">
        <v>1856</v>
      </c>
      <c r="F475" s="5">
        <v>70970</v>
      </c>
      <c r="G475" s="5">
        <v>70970</v>
      </c>
      <c r="H475" s="5">
        <f ca="1">OFFSET(F475,0,Brains!$D$1,1,1)</f>
        <v>70970</v>
      </c>
      <c r="I475" t="s">
        <v>1170</v>
      </c>
      <c r="J475" t="s">
        <v>1858</v>
      </c>
      <c r="K475" t="s">
        <v>1869</v>
      </c>
      <c r="L475" t="s">
        <v>1869</v>
      </c>
      <c r="M475" s="11" t="s">
        <v>3918</v>
      </c>
      <c r="N475" t="s">
        <v>1860</v>
      </c>
      <c r="O475" s="7" t="s">
        <v>3922</v>
      </c>
      <c r="P475" s="17" t="str">
        <f t="shared" ca="1" si="14"/>
        <v>50-74.9K</v>
      </c>
      <c r="Q475" s="17">
        <v>5</v>
      </c>
      <c r="R475">
        <v>17</v>
      </c>
      <c r="S475">
        <v>4</v>
      </c>
      <c r="T475">
        <v>3</v>
      </c>
      <c r="U475">
        <v>2</v>
      </c>
      <c r="V475" s="15">
        <f t="shared" ca="1" si="15"/>
        <v>4</v>
      </c>
    </row>
    <row r="476" spans="1:22">
      <c r="A476" t="s">
        <v>1740</v>
      </c>
      <c r="B476" s="1">
        <v>41076.118622685186</v>
      </c>
      <c r="C476" s="2">
        <v>54000</v>
      </c>
      <c r="D476">
        <v>54000</v>
      </c>
      <c r="E476" t="s">
        <v>1856</v>
      </c>
      <c r="F476" s="5">
        <v>54000</v>
      </c>
      <c r="G476" s="5">
        <v>54000</v>
      </c>
      <c r="H476" s="5">
        <f ca="1">OFFSET(F476,0,Brains!$D$1,1,1)</f>
        <v>54000</v>
      </c>
      <c r="I476" t="s">
        <v>1741</v>
      </c>
      <c r="J476" t="s">
        <v>1858</v>
      </c>
      <c r="K476" t="s">
        <v>1869</v>
      </c>
      <c r="L476" t="s">
        <v>1869</v>
      </c>
      <c r="M476" s="11" t="s">
        <v>3918</v>
      </c>
      <c r="N476" t="s">
        <v>1860</v>
      </c>
      <c r="O476" s="7" t="s">
        <v>3922</v>
      </c>
      <c r="P476" s="17" t="str">
        <f t="shared" ca="1" si="14"/>
        <v>50-74.9K</v>
      </c>
      <c r="Q476" s="17">
        <v>5</v>
      </c>
      <c r="R476">
        <v>18</v>
      </c>
      <c r="S476">
        <v>4</v>
      </c>
      <c r="T476">
        <v>3</v>
      </c>
      <c r="U476">
        <v>2</v>
      </c>
      <c r="V476" s="15">
        <f t="shared" ca="1" si="15"/>
        <v>4</v>
      </c>
    </row>
    <row r="477" spans="1:22">
      <c r="A477" t="s">
        <v>3829</v>
      </c>
      <c r="B477" s="1">
        <v>41056.90966435185</v>
      </c>
      <c r="C477" s="2">
        <v>105000</v>
      </c>
      <c r="D477">
        <v>105000</v>
      </c>
      <c r="E477" t="s">
        <v>1856</v>
      </c>
      <c r="F477" s="5">
        <v>105000</v>
      </c>
      <c r="G477" s="5">
        <v>105000</v>
      </c>
      <c r="H477" s="5">
        <f ca="1">OFFSET(F477,0,Brains!$D$1,1,1)</f>
        <v>105000</v>
      </c>
      <c r="I477" t="s">
        <v>1911</v>
      </c>
      <c r="J477" t="s">
        <v>1858</v>
      </c>
      <c r="K477" t="s">
        <v>1869</v>
      </c>
      <c r="L477" t="s">
        <v>1869</v>
      </c>
      <c r="M477" s="11" t="s">
        <v>3918</v>
      </c>
      <c r="N477" t="s">
        <v>1860</v>
      </c>
      <c r="O477" s="7" t="s">
        <v>3922</v>
      </c>
      <c r="P477" s="17" t="str">
        <f t="shared" ca="1" si="14"/>
        <v>100-149.9K</v>
      </c>
      <c r="Q477" s="17">
        <v>5</v>
      </c>
      <c r="R477">
        <v>20</v>
      </c>
      <c r="S477">
        <v>4</v>
      </c>
      <c r="T477">
        <v>3</v>
      </c>
      <c r="U477">
        <v>2</v>
      </c>
      <c r="V477" s="15">
        <f t="shared" ca="1" si="15"/>
        <v>6</v>
      </c>
    </row>
    <row r="478" spans="1:22">
      <c r="A478" t="s">
        <v>37</v>
      </c>
      <c r="B478" s="1">
        <v>41057.390231481484</v>
      </c>
      <c r="C478" s="2">
        <v>100000</v>
      </c>
      <c r="D478">
        <v>100000</v>
      </c>
      <c r="E478" t="s">
        <v>1973</v>
      </c>
      <c r="F478" s="5">
        <v>101990.96564026357</v>
      </c>
      <c r="G478" s="5">
        <v>63613.231552162855</v>
      </c>
      <c r="H478" s="5">
        <f ca="1">OFFSET(F478,0,Brains!$D$1,1,1)</f>
        <v>63613.231552162855</v>
      </c>
      <c r="I478" t="s">
        <v>3437</v>
      </c>
      <c r="J478" t="s">
        <v>1858</v>
      </c>
      <c r="K478" t="s">
        <v>1975</v>
      </c>
      <c r="L478" t="s">
        <v>1975</v>
      </c>
      <c r="M478" s="11" t="s">
        <v>3918</v>
      </c>
      <c r="N478" t="s">
        <v>1860</v>
      </c>
      <c r="O478" s="7" t="s">
        <v>3922</v>
      </c>
      <c r="P478" s="17" t="str">
        <f t="shared" ca="1" si="14"/>
        <v>50-74.9K</v>
      </c>
      <c r="Q478" s="17">
        <v>5</v>
      </c>
      <c r="R478">
        <v>20</v>
      </c>
      <c r="S478">
        <v>4</v>
      </c>
      <c r="T478">
        <v>3</v>
      </c>
      <c r="U478">
        <v>2</v>
      </c>
      <c r="V478" s="15">
        <f t="shared" ca="1" si="15"/>
        <v>4</v>
      </c>
    </row>
    <row r="479" spans="1:22">
      <c r="A479" t="s">
        <v>939</v>
      </c>
      <c r="B479" s="1">
        <v>41059.105752314812</v>
      </c>
      <c r="C479" s="2">
        <v>80000</v>
      </c>
      <c r="D479">
        <v>80000</v>
      </c>
      <c r="E479" t="s">
        <v>1856</v>
      </c>
      <c r="F479" s="5">
        <v>80000</v>
      </c>
      <c r="G479" s="5">
        <v>80000</v>
      </c>
      <c r="H479" s="5">
        <f ca="1">OFFSET(F479,0,Brains!$D$1,1,1)</f>
        <v>80000</v>
      </c>
      <c r="I479" t="s">
        <v>940</v>
      </c>
      <c r="J479" t="s">
        <v>1858</v>
      </c>
      <c r="K479" t="s">
        <v>1869</v>
      </c>
      <c r="L479" t="s">
        <v>1869</v>
      </c>
      <c r="M479" s="11" t="s">
        <v>3918</v>
      </c>
      <c r="N479" t="s">
        <v>1860</v>
      </c>
      <c r="O479" s="7" t="s">
        <v>3922</v>
      </c>
      <c r="P479" s="17" t="str">
        <f t="shared" ca="1" si="14"/>
        <v>75-99.9K</v>
      </c>
      <c r="Q479" s="17">
        <v>5</v>
      </c>
      <c r="R479">
        <v>20</v>
      </c>
      <c r="S479">
        <v>4</v>
      </c>
      <c r="T479">
        <v>3</v>
      </c>
      <c r="U479">
        <v>2</v>
      </c>
      <c r="V479" s="15">
        <f t="shared" ca="1" si="15"/>
        <v>5</v>
      </c>
    </row>
    <row r="480" spans="1:22">
      <c r="A480" t="s">
        <v>392</v>
      </c>
      <c r="B480" s="1">
        <v>41057.941620370373</v>
      </c>
      <c r="C480" s="2" t="s">
        <v>393</v>
      </c>
      <c r="D480">
        <v>65000</v>
      </c>
      <c r="E480" t="s">
        <v>1979</v>
      </c>
      <c r="F480" s="5">
        <v>63918.498996971248</v>
      </c>
      <c r="G480" s="5">
        <v>52041.633306645308</v>
      </c>
      <c r="H480" s="5">
        <f ca="1">OFFSET(F480,0,Brains!$D$1,1,1)</f>
        <v>52041.633306645308</v>
      </c>
      <c r="I480" t="s">
        <v>394</v>
      </c>
      <c r="J480" t="s">
        <v>1858</v>
      </c>
      <c r="K480" t="s">
        <v>1981</v>
      </c>
      <c r="L480" t="s">
        <v>1981</v>
      </c>
      <c r="M480" s="11" t="s">
        <v>3918</v>
      </c>
      <c r="N480" t="s">
        <v>1860</v>
      </c>
      <c r="O480" s="7" t="s">
        <v>3922</v>
      </c>
      <c r="P480" s="17" t="str">
        <f t="shared" ca="1" si="14"/>
        <v>50-74.9K</v>
      </c>
      <c r="Q480" s="17">
        <v>5</v>
      </c>
      <c r="R480">
        <v>20</v>
      </c>
      <c r="S480">
        <v>4</v>
      </c>
      <c r="T480">
        <v>3</v>
      </c>
      <c r="U480">
        <v>2</v>
      </c>
      <c r="V480" s="15">
        <f t="shared" ca="1" si="15"/>
        <v>4</v>
      </c>
    </row>
    <row r="481" spans="1:22">
      <c r="A481" t="s">
        <v>1636</v>
      </c>
      <c r="B481" s="1">
        <v>41072.756921296299</v>
      </c>
      <c r="C481" s="2" t="s">
        <v>408</v>
      </c>
      <c r="D481">
        <v>32000</v>
      </c>
      <c r="E481" t="s">
        <v>1954</v>
      </c>
      <c r="F481" s="5">
        <v>50437.70470615309</v>
      </c>
      <c r="G481" s="5">
        <v>47477.744807121657</v>
      </c>
      <c r="H481" s="5">
        <f ca="1">OFFSET(F481,0,Brains!$D$1,1,1)</f>
        <v>47477.744807121657</v>
      </c>
      <c r="I481" t="s">
        <v>2195</v>
      </c>
      <c r="J481" t="s">
        <v>1858</v>
      </c>
      <c r="K481" t="s">
        <v>1956</v>
      </c>
      <c r="L481" t="s">
        <v>1956</v>
      </c>
      <c r="M481" s="11" t="s">
        <v>3918</v>
      </c>
      <c r="N481" t="s">
        <v>1860</v>
      </c>
      <c r="O481" s="7" t="s">
        <v>3922</v>
      </c>
      <c r="P481" s="17" t="str">
        <f t="shared" ca="1" si="14"/>
        <v>30-49.9K</v>
      </c>
      <c r="Q481" s="17">
        <v>5</v>
      </c>
      <c r="R481">
        <v>20</v>
      </c>
      <c r="S481">
        <v>4</v>
      </c>
      <c r="T481">
        <v>3</v>
      </c>
      <c r="U481">
        <v>2</v>
      </c>
      <c r="V481" s="15">
        <f t="shared" ca="1" si="15"/>
        <v>3</v>
      </c>
    </row>
    <row r="482" spans="1:22">
      <c r="A482" t="s">
        <v>3805</v>
      </c>
      <c r="B482" s="1">
        <v>41056.725104166668</v>
      </c>
      <c r="C482" s="2">
        <v>36400</v>
      </c>
      <c r="D482">
        <v>36400</v>
      </c>
      <c r="E482" t="s">
        <v>1856</v>
      </c>
      <c r="F482" s="5">
        <v>36400</v>
      </c>
      <c r="G482" s="5">
        <v>36400</v>
      </c>
      <c r="H482" s="5">
        <f ca="1">OFFSET(F482,0,Brains!$D$1,1,1)</f>
        <v>36400</v>
      </c>
      <c r="I482" t="s">
        <v>1858</v>
      </c>
      <c r="J482" t="s">
        <v>1858</v>
      </c>
      <c r="K482" t="s">
        <v>3806</v>
      </c>
      <c r="L482" t="s">
        <v>3806</v>
      </c>
      <c r="M482" s="11" t="s">
        <v>3918</v>
      </c>
      <c r="N482" t="s">
        <v>1860</v>
      </c>
      <c r="O482" s="7" t="s">
        <v>3922</v>
      </c>
      <c r="P482" s="17" t="str">
        <f t="shared" ca="1" si="14"/>
        <v>30-49.9K</v>
      </c>
      <c r="Q482" s="17">
        <v>5</v>
      </c>
      <c r="R482">
        <v>20</v>
      </c>
      <c r="S482">
        <v>4</v>
      </c>
      <c r="T482">
        <v>3</v>
      </c>
      <c r="U482">
        <v>2</v>
      </c>
      <c r="V482" s="15">
        <f t="shared" ca="1" si="15"/>
        <v>3</v>
      </c>
    </row>
    <row r="483" spans="1:22">
      <c r="A483" t="s">
        <v>1277</v>
      </c>
      <c r="B483" s="1">
        <v>41062.134687500002</v>
      </c>
      <c r="C483" s="2">
        <v>35500</v>
      </c>
      <c r="D483">
        <v>35500</v>
      </c>
      <c r="E483" t="s">
        <v>1856</v>
      </c>
      <c r="F483" s="5">
        <v>35500</v>
      </c>
      <c r="G483" s="5">
        <v>35500</v>
      </c>
      <c r="H483" s="5">
        <f ca="1">OFFSET(F483,0,Brains!$D$1,1,1)</f>
        <v>35500</v>
      </c>
      <c r="I483" t="s">
        <v>1278</v>
      </c>
      <c r="J483" t="s">
        <v>1858</v>
      </c>
      <c r="K483" t="s">
        <v>1869</v>
      </c>
      <c r="L483" t="s">
        <v>1869</v>
      </c>
      <c r="M483" s="11" t="s">
        <v>3918</v>
      </c>
      <c r="N483" t="s">
        <v>1860</v>
      </c>
      <c r="O483" s="7" t="s">
        <v>3922</v>
      </c>
      <c r="P483" s="17" t="str">
        <f t="shared" ca="1" si="14"/>
        <v>30-49.9K</v>
      </c>
      <c r="Q483" s="17">
        <v>5</v>
      </c>
      <c r="R483">
        <v>20</v>
      </c>
      <c r="S483">
        <v>4</v>
      </c>
      <c r="T483">
        <v>3</v>
      </c>
      <c r="U483">
        <v>2</v>
      </c>
      <c r="V483" s="15">
        <f t="shared" ca="1" si="15"/>
        <v>3</v>
      </c>
    </row>
    <row r="484" spans="1:22">
      <c r="A484" t="s">
        <v>1759</v>
      </c>
      <c r="B484" s="1">
        <v>41076.933680555558</v>
      </c>
      <c r="C484" s="2">
        <v>20500</v>
      </c>
      <c r="D484">
        <v>20500</v>
      </c>
      <c r="E484" t="s">
        <v>1954</v>
      </c>
      <c r="F484" s="5">
        <v>32311.654577379326</v>
      </c>
      <c r="G484" s="5">
        <v>30415.430267062315</v>
      </c>
      <c r="H484" s="5">
        <f ca="1">OFFSET(F484,0,Brains!$D$1,1,1)</f>
        <v>30415.430267062315</v>
      </c>
      <c r="I484" t="s">
        <v>2290</v>
      </c>
      <c r="J484" t="s">
        <v>1858</v>
      </c>
      <c r="K484" t="s">
        <v>1956</v>
      </c>
      <c r="L484" t="s">
        <v>1956</v>
      </c>
      <c r="M484" s="11" t="s">
        <v>3918</v>
      </c>
      <c r="N484" t="s">
        <v>1860</v>
      </c>
      <c r="O484" s="7" t="s">
        <v>3922</v>
      </c>
      <c r="P484" s="17" t="str">
        <f t="shared" ca="1" si="14"/>
        <v>30-49.9K</v>
      </c>
      <c r="Q484" s="17">
        <v>5</v>
      </c>
      <c r="R484">
        <v>20</v>
      </c>
      <c r="S484">
        <v>4</v>
      </c>
      <c r="T484">
        <v>3</v>
      </c>
      <c r="U484">
        <v>2</v>
      </c>
      <c r="V484" s="15">
        <f t="shared" ca="1" si="15"/>
        <v>3</v>
      </c>
    </row>
    <row r="485" spans="1:22">
      <c r="A485" t="s">
        <v>3084</v>
      </c>
      <c r="B485" s="1">
        <v>41055.284988425927</v>
      </c>
      <c r="C485" s="2">
        <v>38000</v>
      </c>
      <c r="D485">
        <v>38000</v>
      </c>
      <c r="E485" t="s">
        <v>1856</v>
      </c>
      <c r="F485" s="5">
        <v>38000</v>
      </c>
      <c r="G485" s="5">
        <v>38000</v>
      </c>
      <c r="H485" s="5">
        <f ca="1">OFFSET(F485,0,Brains!$D$1,1,1)</f>
        <v>38000</v>
      </c>
      <c r="I485" t="s">
        <v>3085</v>
      </c>
      <c r="J485" t="s">
        <v>1858</v>
      </c>
      <c r="K485" t="s">
        <v>1869</v>
      </c>
      <c r="L485" t="s">
        <v>1869</v>
      </c>
      <c r="M485" t="s">
        <v>3941</v>
      </c>
      <c r="N485" t="s">
        <v>1866</v>
      </c>
      <c r="O485" s="7" t="s">
        <v>3922</v>
      </c>
      <c r="P485" s="17" t="str">
        <f t="shared" ca="1" si="14"/>
        <v>30-49.9K</v>
      </c>
      <c r="Q485" s="17">
        <v>8</v>
      </c>
      <c r="R485">
        <v>11</v>
      </c>
      <c r="S485">
        <v>5</v>
      </c>
      <c r="T485">
        <v>3</v>
      </c>
      <c r="U485">
        <v>2</v>
      </c>
      <c r="V485" s="15">
        <f t="shared" ca="1" si="15"/>
        <v>3</v>
      </c>
    </row>
    <row r="486" spans="1:22">
      <c r="A486" t="s">
        <v>1613</v>
      </c>
      <c r="B486" s="1">
        <v>41072.018136574072</v>
      </c>
      <c r="C486" s="2">
        <v>100000</v>
      </c>
      <c r="D486">
        <v>100000</v>
      </c>
      <c r="E486" t="s">
        <v>1856</v>
      </c>
      <c r="F486" s="5">
        <v>100000</v>
      </c>
      <c r="G486" s="5">
        <v>100000</v>
      </c>
      <c r="H486" s="5">
        <f ca="1">OFFSET(F486,0,Brains!$D$1,1,1)</f>
        <v>100000</v>
      </c>
      <c r="I486" t="s">
        <v>2290</v>
      </c>
      <c r="J486" t="s">
        <v>1858</v>
      </c>
      <c r="K486" t="s">
        <v>1869</v>
      </c>
      <c r="L486" t="s">
        <v>1869</v>
      </c>
      <c r="M486" t="s">
        <v>3941</v>
      </c>
      <c r="N486" t="s">
        <v>1866</v>
      </c>
      <c r="O486" s="7" t="s">
        <v>3922</v>
      </c>
      <c r="P486" s="17" t="str">
        <f t="shared" ca="1" si="14"/>
        <v>100-149.9K</v>
      </c>
      <c r="Q486" s="17">
        <v>8</v>
      </c>
      <c r="R486">
        <v>12</v>
      </c>
      <c r="S486">
        <v>5</v>
      </c>
      <c r="T486">
        <v>3</v>
      </c>
      <c r="U486">
        <v>2</v>
      </c>
      <c r="V486" s="15">
        <f t="shared" ca="1" si="15"/>
        <v>6</v>
      </c>
    </row>
    <row r="487" spans="1:22">
      <c r="A487" t="s">
        <v>806</v>
      </c>
      <c r="B487" s="1">
        <v>41058.808009259257</v>
      </c>
      <c r="C487" s="2">
        <v>60000</v>
      </c>
      <c r="D487">
        <v>60000</v>
      </c>
      <c r="E487" t="s">
        <v>1856</v>
      </c>
      <c r="F487" s="5">
        <v>60000</v>
      </c>
      <c r="G487" s="5">
        <v>60000</v>
      </c>
      <c r="H487" s="5">
        <f ca="1">OFFSET(F487,0,Brains!$D$1,1,1)</f>
        <v>60000</v>
      </c>
      <c r="I487" t="s">
        <v>807</v>
      </c>
      <c r="J487" t="s">
        <v>1858</v>
      </c>
      <c r="K487" t="s">
        <v>1869</v>
      </c>
      <c r="L487" t="s">
        <v>1869</v>
      </c>
      <c r="M487" t="s">
        <v>3941</v>
      </c>
      <c r="N487" t="s">
        <v>1866</v>
      </c>
      <c r="O487" s="7" t="s">
        <v>3922</v>
      </c>
      <c r="P487" s="17" t="str">
        <f t="shared" ca="1" si="14"/>
        <v>50-74.9K</v>
      </c>
      <c r="Q487" s="17">
        <v>8</v>
      </c>
      <c r="R487">
        <v>12</v>
      </c>
      <c r="S487">
        <v>5</v>
      </c>
      <c r="T487">
        <v>3</v>
      </c>
      <c r="U487">
        <v>2</v>
      </c>
      <c r="V487" s="15">
        <f t="shared" ca="1" si="15"/>
        <v>4</v>
      </c>
    </row>
    <row r="488" spans="1:22">
      <c r="A488" t="s">
        <v>1266</v>
      </c>
      <c r="B488" s="1">
        <v>41061.87023148148</v>
      </c>
      <c r="C488" s="2">
        <v>50000</v>
      </c>
      <c r="D488">
        <v>50000</v>
      </c>
      <c r="E488" t="s">
        <v>1856</v>
      </c>
      <c r="F488" s="5">
        <v>50000</v>
      </c>
      <c r="G488" s="5">
        <v>50000</v>
      </c>
      <c r="H488" s="5">
        <f ca="1">OFFSET(F488,0,Brains!$D$1,1,1)</f>
        <v>50000</v>
      </c>
      <c r="I488" t="s">
        <v>1267</v>
      </c>
      <c r="J488" t="s">
        <v>1858</v>
      </c>
      <c r="K488" t="s">
        <v>1869</v>
      </c>
      <c r="L488" t="s">
        <v>1869</v>
      </c>
      <c r="M488" t="s">
        <v>3941</v>
      </c>
      <c r="N488" t="s">
        <v>1866</v>
      </c>
      <c r="O488" s="7" t="s">
        <v>3922</v>
      </c>
      <c r="P488" s="17" t="str">
        <f t="shared" ca="1" si="14"/>
        <v>50-74.9K</v>
      </c>
      <c r="Q488" s="17">
        <v>8</v>
      </c>
      <c r="R488">
        <v>12</v>
      </c>
      <c r="S488">
        <v>5</v>
      </c>
      <c r="T488">
        <v>3</v>
      </c>
      <c r="U488">
        <v>2</v>
      </c>
      <c r="V488" s="15">
        <f t="shared" ca="1" si="15"/>
        <v>4</v>
      </c>
    </row>
    <row r="489" spans="1:22">
      <c r="A489" t="s">
        <v>1116</v>
      </c>
      <c r="B489" s="1">
        <v>41060.347256944442</v>
      </c>
      <c r="C489" s="2">
        <v>89000</v>
      </c>
      <c r="D489">
        <v>89000</v>
      </c>
      <c r="E489" t="s">
        <v>1856</v>
      </c>
      <c r="F489" s="5">
        <v>89000</v>
      </c>
      <c r="G489" s="5">
        <v>89000</v>
      </c>
      <c r="H489" s="5">
        <f ca="1">OFFSET(F489,0,Brains!$D$1,1,1)</f>
        <v>89000</v>
      </c>
      <c r="I489" t="s">
        <v>359</v>
      </c>
      <c r="J489" t="s">
        <v>1858</v>
      </c>
      <c r="K489" t="s">
        <v>1869</v>
      </c>
      <c r="L489" t="s">
        <v>1869</v>
      </c>
      <c r="M489" t="s">
        <v>3941</v>
      </c>
      <c r="N489" t="s">
        <v>1866</v>
      </c>
      <c r="O489" s="7" t="s">
        <v>3922</v>
      </c>
      <c r="P489" s="17" t="str">
        <f t="shared" ca="1" si="14"/>
        <v>75-99.9K</v>
      </c>
      <c r="Q489" s="17">
        <v>8</v>
      </c>
      <c r="R489">
        <v>14</v>
      </c>
      <c r="S489">
        <v>5</v>
      </c>
      <c r="T489">
        <v>3</v>
      </c>
      <c r="U489">
        <v>2</v>
      </c>
      <c r="V489" s="15">
        <f t="shared" ca="1" si="15"/>
        <v>5</v>
      </c>
    </row>
    <row r="490" spans="1:22">
      <c r="A490" t="s">
        <v>887</v>
      </c>
      <c r="B490" s="1">
        <v>41058.964918981481</v>
      </c>
      <c r="C490" s="2">
        <v>65000</v>
      </c>
      <c r="D490">
        <v>65000</v>
      </c>
      <c r="E490" t="s">
        <v>1856</v>
      </c>
      <c r="F490" s="5">
        <v>65000</v>
      </c>
      <c r="G490" s="5">
        <v>65000</v>
      </c>
      <c r="H490" s="5">
        <f ca="1">OFFSET(F490,0,Brains!$D$1,1,1)</f>
        <v>65000</v>
      </c>
      <c r="I490" t="s">
        <v>2099</v>
      </c>
      <c r="J490" t="s">
        <v>1858</v>
      </c>
      <c r="K490" t="s">
        <v>1869</v>
      </c>
      <c r="L490" t="s">
        <v>1869</v>
      </c>
      <c r="M490" t="s">
        <v>3941</v>
      </c>
      <c r="N490" t="s">
        <v>1866</v>
      </c>
      <c r="O490" s="7" t="s">
        <v>3922</v>
      </c>
      <c r="P490" s="17" t="str">
        <f t="shared" ca="1" si="14"/>
        <v>50-74.9K</v>
      </c>
      <c r="Q490" s="17">
        <v>8</v>
      </c>
      <c r="R490">
        <v>14</v>
      </c>
      <c r="S490">
        <v>5</v>
      </c>
      <c r="T490">
        <v>3</v>
      </c>
      <c r="U490">
        <v>2</v>
      </c>
      <c r="V490" s="15">
        <f t="shared" ca="1" si="15"/>
        <v>4</v>
      </c>
    </row>
    <row r="491" spans="1:22">
      <c r="A491" t="s">
        <v>1827</v>
      </c>
      <c r="B491" s="1">
        <v>41080.210925925923</v>
      </c>
      <c r="C491" s="2">
        <v>115000</v>
      </c>
      <c r="D491">
        <v>115000</v>
      </c>
      <c r="E491" t="s">
        <v>1856</v>
      </c>
      <c r="F491" s="5">
        <v>115000</v>
      </c>
      <c r="G491" s="5">
        <v>115000</v>
      </c>
      <c r="H491" s="5">
        <f ca="1">OFFSET(F491,0,Brains!$D$1,1,1)</f>
        <v>115000</v>
      </c>
      <c r="I491" t="s">
        <v>2195</v>
      </c>
      <c r="J491" t="s">
        <v>1858</v>
      </c>
      <c r="K491" t="s">
        <v>1869</v>
      </c>
      <c r="L491" t="s">
        <v>1869</v>
      </c>
      <c r="M491" t="s">
        <v>3941</v>
      </c>
      <c r="N491" t="s">
        <v>1866</v>
      </c>
      <c r="O491" s="7" t="s">
        <v>3922</v>
      </c>
      <c r="P491" s="17" t="str">
        <f t="shared" ca="1" si="14"/>
        <v>100-149.9K</v>
      </c>
      <c r="Q491" s="17">
        <v>8</v>
      </c>
      <c r="R491">
        <v>15</v>
      </c>
      <c r="S491">
        <v>5</v>
      </c>
      <c r="T491">
        <v>3</v>
      </c>
      <c r="U491">
        <v>2</v>
      </c>
      <c r="V491" s="15">
        <f t="shared" ca="1" si="15"/>
        <v>6</v>
      </c>
    </row>
    <row r="492" spans="1:22">
      <c r="A492" t="s">
        <v>3712</v>
      </c>
      <c r="B492" s="1">
        <v>41056.387349537035</v>
      </c>
      <c r="C492" s="2">
        <v>70000</v>
      </c>
      <c r="D492">
        <v>70000</v>
      </c>
      <c r="E492" t="s">
        <v>1856</v>
      </c>
      <c r="F492" s="5">
        <v>70000</v>
      </c>
      <c r="G492" s="5">
        <v>70000</v>
      </c>
      <c r="H492" s="5">
        <f ca="1">OFFSET(F492,0,Brains!$D$1,1,1)</f>
        <v>70000</v>
      </c>
      <c r="I492" t="s">
        <v>1868</v>
      </c>
      <c r="J492" t="s">
        <v>1858</v>
      </c>
      <c r="K492" t="s">
        <v>1869</v>
      </c>
      <c r="L492" t="s">
        <v>1869</v>
      </c>
      <c r="M492" t="s">
        <v>3941</v>
      </c>
      <c r="N492" t="s">
        <v>1866</v>
      </c>
      <c r="O492" s="7" t="s">
        <v>3922</v>
      </c>
      <c r="P492" s="17" t="str">
        <f t="shared" ca="1" si="14"/>
        <v>50-74.9K</v>
      </c>
      <c r="Q492" s="17">
        <v>8</v>
      </c>
      <c r="R492">
        <v>15</v>
      </c>
      <c r="S492">
        <v>5</v>
      </c>
      <c r="T492">
        <v>3</v>
      </c>
      <c r="U492">
        <v>2</v>
      </c>
      <c r="V492" s="15">
        <f t="shared" ca="1" si="15"/>
        <v>4</v>
      </c>
    </row>
    <row r="493" spans="1:22">
      <c r="A493" t="s">
        <v>1523</v>
      </c>
      <c r="B493" s="1">
        <v>41068.141203703701</v>
      </c>
      <c r="C493" s="2">
        <v>69000</v>
      </c>
      <c r="D493">
        <v>69000</v>
      </c>
      <c r="E493" t="s">
        <v>1856</v>
      </c>
      <c r="F493" s="5">
        <v>69000</v>
      </c>
      <c r="G493" s="5">
        <v>69000</v>
      </c>
      <c r="H493" s="5">
        <f ca="1">OFFSET(F493,0,Brains!$D$1,1,1)</f>
        <v>69000</v>
      </c>
      <c r="I493" t="s">
        <v>1524</v>
      </c>
      <c r="J493" t="s">
        <v>1858</v>
      </c>
      <c r="K493" t="s">
        <v>1869</v>
      </c>
      <c r="L493" t="s">
        <v>1869</v>
      </c>
      <c r="M493" t="s">
        <v>3941</v>
      </c>
      <c r="N493" t="s">
        <v>1866</v>
      </c>
      <c r="O493" s="7" t="s">
        <v>3922</v>
      </c>
      <c r="P493" s="17" t="str">
        <f t="shared" ca="1" si="14"/>
        <v>50-74.9K</v>
      </c>
      <c r="Q493" s="17">
        <v>8</v>
      </c>
      <c r="R493">
        <v>15</v>
      </c>
      <c r="S493">
        <v>5</v>
      </c>
      <c r="T493">
        <v>3</v>
      </c>
      <c r="U493">
        <v>2</v>
      </c>
      <c r="V493" s="15">
        <f t="shared" ca="1" si="15"/>
        <v>4</v>
      </c>
    </row>
    <row r="494" spans="1:22">
      <c r="A494" t="s">
        <v>1697</v>
      </c>
      <c r="B494" s="1">
        <v>41075.024826388886</v>
      </c>
      <c r="C494" s="2">
        <v>50000</v>
      </c>
      <c r="D494">
        <v>50000</v>
      </c>
      <c r="E494" t="s">
        <v>1856</v>
      </c>
      <c r="F494" s="5">
        <v>50000</v>
      </c>
      <c r="G494" s="5">
        <v>50000</v>
      </c>
      <c r="H494" s="5">
        <f ca="1">OFFSET(F494,0,Brains!$D$1,1,1)</f>
        <v>50000</v>
      </c>
      <c r="I494" t="s">
        <v>1698</v>
      </c>
      <c r="J494" t="s">
        <v>1858</v>
      </c>
      <c r="K494" t="s">
        <v>1869</v>
      </c>
      <c r="L494" t="s">
        <v>1869</v>
      </c>
      <c r="M494" t="s">
        <v>3941</v>
      </c>
      <c r="N494" t="s">
        <v>1866</v>
      </c>
      <c r="O494" s="7" t="s">
        <v>3922</v>
      </c>
      <c r="P494" s="17" t="str">
        <f t="shared" ca="1" si="14"/>
        <v>50-74.9K</v>
      </c>
      <c r="Q494" s="17">
        <v>8</v>
      </c>
      <c r="R494">
        <v>15</v>
      </c>
      <c r="S494">
        <v>5</v>
      </c>
      <c r="T494">
        <v>3</v>
      </c>
      <c r="U494">
        <v>2</v>
      </c>
      <c r="V494" s="15">
        <f t="shared" ca="1" si="15"/>
        <v>4</v>
      </c>
    </row>
    <row r="495" spans="1:22">
      <c r="A495" t="s">
        <v>358</v>
      </c>
      <c r="B495" s="1">
        <v>41057.84784722222</v>
      </c>
      <c r="C495" s="2">
        <v>35000</v>
      </c>
      <c r="D495">
        <v>35000</v>
      </c>
      <c r="E495" t="s">
        <v>1856</v>
      </c>
      <c r="F495" s="5">
        <v>35000</v>
      </c>
      <c r="G495" s="5">
        <v>35000</v>
      </c>
      <c r="H495" s="5">
        <f ca="1">OFFSET(F495,0,Brains!$D$1,1,1)</f>
        <v>35000</v>
      </c>
      <c r="I495" t="s">
        <v>359</v>
      </c>
      <c r="J495" t="s">
        <v>1858</v>
      </c>
      <c r="K495" t="s">
        <v>1869</v>
      </c>
      <c r="L495" t="s">
        <v>1869</v>
      </c>
      <c r="M495" t="s">
        <v>3941</v>
      </c>
      <c r="N495" t="s">
        <v>1866</v>
      </c>
      <c r="O495" s="7" t="s">
        <v>3922</v>
      </c>
      <c r="P495" s="17" t="str">
        <f t="shared" ca="1" si="14"/>
        <v>30-49.9K</v>
      </c>
      <c r="Q495" s="17">
        <v>8</v>
      </c>
      <c r="R495">
        <v>20</v>
      </c>
      <c r="S495">
        <v>5</v>
      </c>
      <c r="T495">
        <v>3</v>
      </c>
      <c r="U495">
        <v>2</v>
      </c>
      <c r="V495" s="15">
        <f t="shared" ca="1" si="15"/>
        <v>3</v>
      </c>
    </row>
    <row r="496" spans="1:22">
      <c r="A496" t="s">
        <v>138</v>
      </c>
      <c r="B496" s="1">
        <v>41057.560949074075</v>
      </c>
      <c r="C496" s="2" t="s">
        <v>139</v>
      </c>
      <c r="D496">
        <v>1000000</v>
      </c>
      <c r="E496" t="s">
        <v>1908</v>
      </c>
      <c r="F496" s="5">
        <v>17807.916687442568</v>
      </c>
      <c r="G496" s="5">
        <v>49795.837068021116</v>
      </c>
      <c r="H496" s="5">
        <f ca="1">OFFSET(F496,0,Brains!$D$1,1,1)</f>
        <v>49795.837068021116</v>
      </c>
      <c r="I496" t="s">
        <v>140</v>
      </c>
      <c r="J496" t="s">
        <v>1858</v>
      </c>
      <c r="K496" t="s">
        <v>1859</v>
      </c>
      <c r="L496" t="s">
        <v>1859</v>
      </c>
      <c r="M496" s="11" t="s">
        <v>3916</v>
      </c>
      <c r="N496" t="s">
        <v>1884</v>
      </c>
      <c r="O496" s="7" t="s">
        <v>3923</v>
      </c>
      <c r="P496" s="17" t="str">
        <f t="shared" ca="1" si="14"/>
        <v>30-49.9K</v>
      </c>
      <c r="Q496" s="17">
        <v>1.5</v>
      </c>
      <c r="R496">
        <v>25</v>
      </c>
      <c r="S496">
        <v>2</v>
      </c>
      <c r="T496">
        <v>4</v>
      </c>
      <c r="U496">
        <v>2</v>
      </c>
      <c r="V496" s="15">
        <f t="shared" ca="1" si="15"/>
        <v>3</v>
      </c>
    </row>
    <row r="497" spans="1:22">
      <c r="A497" t="s">
        <v>243</v>
      </c>
      <c r="B497" s="1">
        <v>41057.669270833336</v>
      </c>
      <c r="C497" s="2" t="s">
        <v>244</v>
      </c>
      <c r="D497">
        <v>500000</v>
      </c>
      <c r="E497" t="s">
        <v>1908</v>
      </c>
      <c r="F497" s="5">
        <v>8903.9583437212841</v>
      </c>
      <c r="G497" s="5">
        <v>24897.918534010558</v>
      </c>
      <c r="H497" s="5">
        <f ca="1">OFFSET(F497,0,Brains!$D$1,1,1)</f>
        <v>24897.918534010558</v>
      </c>
      <c r="I497" t="s">
        <v>3236</v>
      </c>
      <c r="J497" t="s">
        <v>1858</v>
      </c>
      <c r="K497" t="s">
        <v>1859</v>
      </c>
      <c r="L497" t="s">
        <v>1859</v>
      </c>
      <c r="M497" s="11" t="s">
        <v>3917</v>
      </c>
      <c r="N497" t="s">
        <v>1873</v>
      </c>
      <c r="O497" s="7" t="s">
        <v>3923</v>
      </c>
      <c r="P497" s="17" t="str">
        <f t="shared" ca="1" si="14"/>
        <v>15-29.9K</v>
      </c>
      <c r="Q497" s="17">
        <v>2.5</v>
      </c>
      <c r="R497">
        <v>23</v>
      </c>
      <c r="S497">
        <v>3</v>
      </c>
      <c r="T497">
        <v>4</v>
      </c>
      <c r="U497">
        <v>2</v>
      </c>
      <c r="V497" s="15">
        <f t="shared" ca="1" si="15"/>
        <v>2</v>
      </c>
    </row>
    <row r="498" spans="1:22">
      <c r="A498" t="s">
        <v>3114</v>
      </c>
      <c r="B498" s="1">
        <v>41055.334537037037</v>
      </c>
      <c r="C498" s="2">
        <v>75000</v>
      </c>
      <c r="D498">
        <v>75000</v>
      </c>
      <c r="E498" t="s">
        <v>1856</v>
      </c>
      <c r="F498" s="5">
        <v>75000</v>
      </c>
      <c r="G498" s="5">
        <v>75000</v>
      </c>
      <c r="H498" s="5">
        <f ca="1">OFFSET(F498,0,Brains!$D$1,1,1)</f>
        <v>75000</v>
      </c>
      <c r="I498" t="s">
        <v>3115</v>
      </c>
      <c r="J498" t="s">
        <v>1858</v>
      </c>
      <c r="K498" t="s">
        <v>1869</v>
      </c>
      <c r="L498" t="s">
        <v>1869</v>
      </c>
      <c r="M498" s="11" t="s">
        <v>3917</v>
      </c>
      <c r="N498" t="s">
        <v>1873</v>
      </c>
      <c r="O498" s="7" t="s">
        <v>3923</v>
      </c>
      <c r="P498" s="17" t="str">
        <f t="shared" ca="1" si="14"/>
        <v>75-99.9K</v>
      </c>
      <c r="Q498" s="17">
        <v>2.5</v>
      </c>
      <c r="R498">
        <v>25</v>
      </c>
      <c r="S498">
        <v>3</v>
      </c>
      <c r="T498">
        <v>4</v>
      </c>
      <c r="U498">
        <v>2</v>
      </c>
      <c r="V498" s="15">
        <f t="shared" ca="1" si="15"/>
        <v>5</v>
      </c>
    </row>
    <row r="499" spans="1:22">
      <c r="A499" t="s">
        <v>1660</v>
      </c>
      <c r="B499" s="1">
        <v>41073.194178240738</v>
      </c>
      <c r="C499" s="2">
        <v>42307.199999999997</v>
      </c>
      <c r="D499">
        <v>42307</v>
      </c>
      <c r="E499" t="s">
        <v>1856</v>
      </c>
      <c r="F499" s="5">
        <v>42307</v>
      </c>
      <c r="G499" s="5">
        <v>42307</v>
      </c>
      <c r="H499" s="5">
        <f ca="1">OFFSET(F499,0,Brains!$D$1,1,1)</f>
        <v>42307</v>
      </c>
      <c r="I499" t="s">
        <v>1661</v>
      </c>
      <c r="J499" t="s">
        <v>1858</v>
      </c>
      <c r="K499" t="s">
        <v>1869</v>
      </c>
      <c r="L499" t="s">
        <v>1869</v>
      </c>
      <c r="M499" s="11" t="s">
        <v>3917</v>
      </c>
      <c r="N499" t="s">
        <v>1873</v>
      </c>
      <c r="O499" s="7" t="s">
        <v>3923</v>
      </c>
      <c r="P499" s="17" t="str">
        <f t="shared" ca="1" si="14"/>
        <v>30-49.9K</v>
      </c>
      <c r="Q499" s="17">
        <v>2.5</v>
      </c>
      <c r="R499">
        <v>25</v>
      </c>
      <c r="S499">
        <v>3</v>
      </c>
      <c r="T499">
        <v>4</v>
      </c>
      <c r="U499">
        <v>2</v>
      </c>
      <c r="V499" s="15">
        <f t="shared" ca="1" si="15"/>
        <v>3</v>
      </c>
    </row>
    <row r="500" spans="1:22">
      <c r="A500" t="s">
        <v>3608</v>
      </c>
      <c r="B500" s="1">
        <v>41055.95108796296</v>
      </c>
      <c r="C500" s="2">
        <v>75000</v>
      </c>
      <c r="D500">
        <v>75000</v>
      </c>
      <c r="E500" t="s">
        <v>1856</v>
      </c>
      <c r="F500" s="5">
        <v>75000</v>
      </c>
      <c r="G500" s="5">
        <v>75000</v>
      </c>
      <c r="H500" s="5">
        <f ca="1">OFFSET(F500,0,Brains!$D$1,1,1)</f>
        <v>75000</v>
      </c>
      <c r="I500" t="s">
        <v>3609</v>
      </c>
      <c r="J500" t="s">
        <v>1858</v>
      </c>
      <c r="K500" t="s">
        <v>1869</v>
      </c>
      <c r="L500" t="s">
        <v>1869</v>
      </c>
      <c r="M500" s="11" t="s">
        <v>3917</v>
      </c>
      <c r="N500" t="s">
        <v>1873</v>
      </c>
      <c r="O500" s="7" t="s">
        <v>3923</v>
      </c>
      <c r="P500" s="17" t="str">
        <f t="shared" ca="1" si="14"/>
        <v>75-99.9K</v>
      </c>
      <c r="Q500" s="17">
        <v>2.5</v>
      </c>
      <c r="R500">
        <v>27</v>
      </c>
      <c r="S500">
        <v>3</v>
      </c>
      <c r="T500">
        <v>4</v>
      </c>
      <c r="U500">
        <v>2</v>
      </c>
      <c r="V500" s="15">
        <f t="shared" ca="1" si="15"/>
        <v>5</v>
      </c>
    </row>
    <row r="501" spans="1:22">
      <c r="A501" t="s">
        <v>896</v>
      </c>
      <c r="B501" s="1">
        <v>41058.985567129632</v>
      </c>
      <c r="C501" s="2">
        <v>150000</v>
      </c>
      <c r="D501">
        <v>150000</v>
      </c>
      <c r="E501" t="s">
        <v>1856</v>
      </c>
      <c r="F501" s="5">
        <v>150000</v>
      </c>
      <c r="G501" s="5">
        <v>150000</v>
      </c>
      <c r="H501" s="5">
        <f ca="1">OFFSET(F501,0,Brains!$D$1,1,1)</f>
        <v>150000</v>
      </c>
      <c r="I501" t="s">
        <v>2017</v>
      </c>
      <c r="J501" t="s">
        <v>1858</v>
      </c>
      <c r="K501" t="s">
        <v>1869</v>
      </c>
      <c r="L501" t="s">
        <v>1869</v>
      </c>
      <c r="M501" s="11" t="s">
        <v>3917</v>
      </c>
      <c r="N501" t="s">
        <v>1873</v>
      </c>
      <c r="O501" s="7" t="s">
        <v>3923</v>
      </c>
      <c r="P501" s="17" t="str">
        <f t="shared" ca="1" si="14"/>
        <v>150-249.9K</v>
      </c>
      <c r="Q501" s="17">
        <v>2.5</v>
      </c>
      <c r="R501">
        <v>30</v>
      </c>
      <c r="S501">
        <v>3</v>
      </c>
      <c r="T501">
        <v>4</v>
      </c>
      <c r="U501">
        <v>2</v>
      </c>
      <c r="V501" s="15">
        <f t="shared" ca="1" si="15"/>
        <v>7</v>
      </c>
    </row>
    <row r="502" spans="1:22">
      <c r="A502" t="s">
        <v>1831</v>
      </c>
      <c r="B502" s="1">
        <v>41080.589479166665</v>
      </c>
      <c r="C502" s="2">
        <v>52500</v>
      </c>
      <c r="D502">
        <v>52500</v>
      </c>
      <c r="E502" t="s">
        <v>1856</v>
      </c>
      <c r="F502" s="5">
        <v>52500</v>
      </c>
      <c r="G502" s="5">
        <v>52500</v>
      </c>
      <c r="H502" s="5">
        <f ca="1">OFFSET(F502,0,Brains!$D$1,1,1)</f>
        <v>52500</v>
      </c>
      <c r="I502" t="s">
        <v>1832</v>
      </c>
      <c r="J502" t="s">
        <v>1858</v>
      </c>
      <c r="K502" t="s">
        <v>1833</v>
      </c>
      <c r="L502" t="s">
        <v>1922</v>
      </c>
      <c r="M502" s="11" t="s">
        <v>3918</v>
      </c>
      <c r="N502" t="s">
        <v>1860</v>
      </c>
      <c r="O502" s="7" t="s">
        <v>3923</v>
      </c>
      <c r="P502" s="17" t="str">
        <f t="shared" ca="1" si="14"/>
        <v>50-74.9K</v>
      </c>
      <c r="Q502" s="17">
        <v>5</v>
      </c>
      <c r="R502">
        <v>21</v>
      </c>
      <c r="S502">
        <v>4</v>
      </c>
      <c r="T502">
        <v>4</v>
      </c>
      <c r="U502">
        <v>2</v>
      </c>
      <c r="V502" s="15">
        <f t="shared" ca="1" si="15"/>
        <v>4</v>
      </c>
    </row>
    <row r="503" spans="1:22">
      <c r="A503" t="s">
        <v>1081</v>
      </c>
      <c r="B503" s="1">
        <v>41059.999560185184</v>
      </c>
      <c r="C503" s="2" t="s">
        <v>1082</v>
      </c>
      <c r="D503">
        <v>650000</v>
      </c>
      <c r="E503" t="s">
        <v>1908</v>
      </c>
      <c r="F503" s="5">
        <v>11575.14584683767</v>
      </c>
      <c r="G503" s="5">
        <v>32367.294094213721</v>
      </c>
      <c r="H503" s="5">
        <f ca="1">OFFSET(F503,0,Brains!$D$1,1,1)</f>
        <v>32367.294094213721</v>
      </c>
      <c r="I503" t="s">
        <v>1083</v>
      </c>
      <c r="J503" t="s">
        <v>1858</v>
      </c>
      <c r="K503" t="s">
        <v>1859</v>
      </c>
      <c r="L503" t="s">
        <v>1859</v>
      </c>
      <c r="M503" s="11" t="s">
        <v>3918</v>
      </c>
      <c r="N503" t="s">
        <v>1860</v>
      </c>
      <c r="O503" s="7" t="s">
        <v>3923</v>
      </c>
      <c r="P503" s="17" t="str">
        <f t="shared" ca="1" si="14"/>
        <v>30-49.9K</v>
      </c>
      <c r="Q503" s="17">
        <v>5</v>
      </c>
      <c r="R503">
        <v>21</v>
      </c>
      <c r="S503">
        <v>4</v>
      </c>
      <c r="T503">
        <v>4</v>
      </c>
      <c r="U503">
        <v>2</v>
      </c>
      <c r="V503" s="15">
        <f t="shared" ca="1" si="15"/>
        <v>3</v>
      </c>
    </row>
    <row r="504" spans="1:22">
      <c r="A504" t="s">
        <v>3079</v>
      </c>
      <c r="B504" s="1">
        <v>41055.283321759256</v>
      </c>
      <c r="C504" s="2" t="s">
        <v>3080</v>
      </c>
      <c r="D504">
        <v>80000</v>
      </c>
      <c r="E504" t="s">
        <v>3081</v>
      </c>
      <c r="F504" s="5">
        <v>63807.047488395103</v>
      </c>
      <c r="G504" s="5">
        <v>46376.811594202904</v>
      </c>
      <c r="H504" s="5">
        <f ca="1">OFFSET(F504,0,Brains!$D$1,1,1)</f>
        <v>46376.811594202904</v>
      </c>
      <c r="I504" t="s">
        <v>3082</v>
      </c>
      <c r="J504" t="s">
        <v>1858</v>
      </c>
      <c r="K504" t="s">
        <v>3083</v>
      </c>
      <c r="L504" t="s">
        <v>3083</v>
      </c>
      <c r="M504" s="11" t="s">
        <v>3918</v>
      </c>
      <c r="N504" t="s">
        <v>1860</v>
      </c>
      <c r="O504" s="7" t="s">
        <v>3923</v>
      </c>
      <c r="P504" s="17" t="str">
        <f t="shared" ca="1" si="14"/>
        <v>30-49.9K</v>
      </c>
      <c r="Q504" s="17">
        <v>5</v>
      </c>
      <c r="R504">
        <v>23</v>
      </c>
      <c r="S504">
        <v>4</v>
      </c>
      <c r="T504">
        <v>4</v>
      </c>
      <c r="U504">
        <v>2</v>
      </c>
      <c r="V504" s="15">
        <f t="shared" ca="1" si="15"/>
        <v>3</v>
      </c>
    </row>
    <row r="505" spans="1:22">
      <c r="A505" t="s">
        <v>576</v>
      </c>
      <c r="B505" s="1">
        <v>41058.255694444444</v>
      </c>
      <c r="C505" s="2">
        <v>50846</v>
      </c>
      <c r="D505">
        <v>50846</v>
      </c>
      <c r="E505" t="s">
        <v>1856</v>
      </c>
      <c r="F505" s="5">
        <v>50846</v>
      </c>
      <c r="G505" s="5">
        <v>50846</v>
      </c>
      <c r="H505" s="5">
        <f ca="1">OFFSET(F505,0,Brains!$D$1,1,1)</f>
        <v>50846</v>
      </c>
      <c r="I505" t="s">
        <v>577</v>
      </c>
      <c r="J505" t="s">
        <v>1858</v>
      </c>
      <c r="K505" t="s">
        <v>1869</v>
      </c>
      <c r="L505" t="s">
        <v>1869</v>
      </c>
      <c r="M505" s="11" t="s">
        <v>3918</v>
      </c>
      <c r="N505" t="s">
        <v>1860</v>
      </c>
      <c r="O505" s="7" t="s">
        <v>3923</v>
      </c>
      <c r="P505" s="17" t="str">
        <f t="shared" ca="1" si="14"/>
        <v>50-74.9K</v>
      </c>
      <c r="Q505" s="17">
        <v>5</v>
      </c>
      <c r="R505">
        <v>25</v>
      </c>
      <c r="S505">
        <v>4</v>
      </c>
      <c r="T505">
        <v>4</v>
      </c>
      <c r="U505">
        <v>2</v>
      </c>
      <c r="V505" s="15">
        <f t="shared" ca="1" si="15"/>
        <v>4</v>
      </c>
    </row>
    <row r="506" spans="1:22">
      <c r="A506" t="s">
        <v>512</v>
      </c>
      <c r="B506" s="1">
        <v>41058.050324074073</v>
      </c>
      <c r="C506" s="2">
        <v>90000</v>
      </c>
      <c r="D506">
        <v>90000</v>
      </c>
      <c r="E506" t="s">
        <v>1856</v>
      </c>
      <c r="F506" s="5">
        <v>90000</v>
      </c>
      <c r="G506" s="5">
        <v>90000</v>
      </c>
      <c r="H506" s="5">
        <f ca="1">OFFSET(F506,0,Brains!$D$1,1,1)</f>
        <v>90000</v>
      </c>
      <c r="I506" t="s">
        <v>2017</v>
      </c>
      <c r="J506" t="s">
        <v>1858</v>
      </c>
      <c r="K506" t="s">
        <v>1869</v>
      </c>
      <c r="L506" t="s">
        <v>1869</v>
      </c>
      <c r="M506" s="11" t="s">
        <v>3918</v>
      </c>
      <c r="N506" t="s">
        <v>1860</v>
      </c>
      <c r="O506" s="7" t="s">
        <v>3923</v>
      </c>
      <c r="P506" s="17" t="str">
        <f t="shared" ca="1" si="14"/>
        <v>75-99.9K</v>
      </c>
      <c r="Q506" s="17">
        <v>5</v>
      </c>
      <c r="R506">
        <v>30</v>
      </c>
      <c r="S506">
        <v>4</v>
      </c>
      <c r="T506">
        <v>4</v>
      </c>
      <c r="U506">
        <v>2</v>
      </c>
      <c r="V506" s="15">
        <f t="shared" ca="1" si="15"/>
        <v>5</v>
      </c>
    </row>
    <row r="507" spans="1:22">
      <c r="A507" t="s">
        <v>1232</v>
      </c>
      <c r="B507" s="1">
        <v>41061.369803240741</v>
      </c>
      <c r="C507" s="2">
        <v>85000</v>
      </c>
      <c r="D507">
        <v>85000</v>
      </c>
      <c r="E507" t="s">
        <v>1973</v>
      </c>
      <c r="F507" s="5">
        <v>86692.320794224041</v>
      </c>
      <c r="G507" s="5">
        <v>54071.246819338427</v>
      </c>
      <c r="H507" s="5">
        <f ca="1">OFFSET(F507,0,Brains!$D$1,1,1)</f>
        <v>54071.246819338427</v>
      </c>
      <c r="I507" t="s">
        <v>1233</v>
      </c>
      <c r="J507" t="s">
        <v>1858</v>
      </c>
      <c r="K507" t="s">
        <v>1975</v>
      </c>
      <c r="L507" t="s">
        <v>1975</v>
      </c>
      <c r="M507" s="11" t="s">
        <v>3918</v>
      </c>
      <c r="N507" t="s">
        <v>1860</v>
      </c>
      <c r="O507" s="7" t="s">
        <v>3923</v>
      </c>
      <c r="P507" s="17" t="str">
        <f t="shared" ca="1" si="14"/>
        <v>50-74.9K</v>
      </c>
      <c r="Q507" s="17">
        <v>5</v>
      </c>
      <c r="R507">
        <v>30</v>
      </c>
      <c r="S507">
        <v>4</v>
      </c>
      <c r="T507">
        <v>4</v>
      </c>
      <c r="U507">
        <v>2</v>
      </c>
      <c r="V507" s="15">
        <f t="shared" ca="1" si="15"/>
        <v>4</v>
      </c>
    </row>
    <row r="508" spans="1:22">
      <c r="A508" t="s">
        <v>3222</v>
      </c>
      <c r="B508" s="1">
        <v>41055.491180555553</v>
      </c>
      <c r="C508" s="2">
        <v>53000</v>
      </c>
      <c r="D508">
        <v>53000</v>
      </c>
      <c r="E508" t="s">
        <v>1856</v>
      </c>
      <c r="F508" s="5">
        <v>53000</v>
      </c>
      <c r="G508" s="5">
        <v>53000</v>
      </c>
      <c r="H508" s="5">
        <f ca="1">OFFSET(F508,0,Brains!$D$1,1,1)</f>
        <v>53000</v>
      </c>
      <c r="I508" t="s">
        <v>1868</v>
      </c>
      <c r="J508" t="s">
        <v>1858</v>
      </c>
      <c r="K508" t="s">
        <v>1869</v>
      </c>
      <c r="L508" t="s">
        <v>1869</v>
      </c>
      <c r="M508" s="11" t="s">
        <v>3918</v>
      </c>
      <c r="N508" t="s">
        <v>1860</v>
      </c>
      <c r="O508" s="7" t="s">
        <v>3923</v>
      </c>
      <c r="P508" s="17" t="str">
        <f t="shared" ca="1" si="14"/>
        <v>50-74.9K</v>
      </c>
      <c r="Q508" s="17">
        <v>5</v>
      </c>
      <c r="R508">
        <v>30</v>
      </c>
      <c r="S508">
        <v>4</v>
      </c>
      <c r="T508">
        <v>4</v>
      </c>
      <c r="U508">
        <v>2</v>
      </c>
      <c r="V508" s="15">
        <f t="shared" ca="1" si="15"/>
        <v>4</v>
      </c>
    </row>
    <row r="509" spans="1:22">
      <c r="A509" t="s">
        <v>1110</v>
      </c>
      <c r="B509" s="1">
        <v>41060.259513888886</v>
      </c>
      <c r="C509" s="2">
        <v>62000</v>
      </c>
      <c r="D509">
        <v>62000</v>
      </c>
      <c r="E509" t="s">
        <v>1856</v>
      </c>
      <c r="F509" s="5">
        <v>62000</v>
      </c>
      <c r="G509" s="5">
        <v>62000</v>
      </c>
      <c r="H509" s="5">
        <f ca="1">OFFSET(F509,0,Brains!$D$1,1,1)</f>
        <v>62000</v>
      </c>
      <c r="I509" t="s">
        <v>1111</v>
      </c>
      <c r="J509" t="s">
        <v>1858</v>
      </c>
      <c r="K509" t="s">
        <v>1869</v>
      </c>
      <c r="L509" t="s">
        <v>1869</v>
      </c>
      <c r="M509" t="s">
        <v>3941</v>
      </c>
      <c r="N509" t="s">
        <v>1866</v>
      </c>
      <c r="O509" s="7" t="s">
        <v>3923</v>
      </c>
      <c r="P509" s="17" t="str">
        <f t="shared" ca="1" si="14"/>
        <v>50-74.9K</v>
      </c>
      <c r="Q509" s="17">
        <v>8</v>
      </c>
      <c r="R509">
        <v>27</v>
      </c>
      <c r="S509">
        <v>5</v>
      </c>
      <c r="T509">
        <v>4</v>
      </c>
      <c r="U509">
        <v>2</v>
      </c>
      <c r="V509" s="15">
        <f t="shared" ca="1" si="15"/>
        <v>4</v>
      </c>
    </row>
    <row r="510" spans="1:22">
      <c r="A510" t="s">
        <v>1783</v>
      </c>
      <c r="B510" s="1">
        <v>41078.768599537034</v>
      </c>
      <c r="C510" s="2" t="s">
        <v>1953</v>
      </c>
      <c r="D510">
        <v>35000</v>
      </c>
      <c r="E510" t="s">
        <v>1954</v>
      </c>
      <c r="F510" s="5">
        <v>55166.239522354947</v>
      </c>
      <c r="G510" s="5">
        <v>51928.783382789312</v>
      </c>
      <c r="H510" s="5">
        <f ca="1">OFFSET(F510,0,Brains!$D$1,1,1)</f>
        <v>51928.783382789312</v>
      </c>
      <c r="I510" t="s">
        <v>1784</v>
      </c>
      <c r="J510" t="s">
        <v>1858</v>
      </c>
      <c r="K510" t="s">
        <v>1956</v>
      </c>
      <c r="L510" t="s">
        <v>1956</v>
      </c>
      <c r="M510" s="7" t="s">
        <v>3941</v>
      </c>
      <c r="N510" t="s">
        <v>1866</v>
      </c>
      <c r="O510" s="7" t="s">
        <v>3924</v>
      </c>
      <c r="P510" s="17" t="str">
        <f t="shared" ca="1" si="14"/>
        <v>50-74.9K</v>
      </c>
      <c r="Q510" s="17">
        <v>8</v>
      </c>
      <c r="R510">
        <v>34</v>
      </c>
      <c r="S510">
        <v>5</v>
      </c>
      <c r="T510">
        <v>5</v>
      </c>
      <c r="U510">
        <v>2</v>
      </c>
      <c r="V510" s="15">
        <f t="shared" ca="1" si="15"/>
        <v>4</v>
      </c>
    </row>
    <row r="511" spans="1:22">
      <c r="A511" t="s">
        <v>3566</v>
      </c>
      <c r="B511" s="1">
        <v>41055.892118055555</v>
      </c>
      <c r="C511" s="2" t="s">
        <v>3567</v>
      </c>
      <c r="D511">
        <v>900000</v>
      </c>
      <c r="E511" t="s">
        <v>2912</v>
      </c>
      <c r="F511" s="5">
        <v>109729.60187662003</v>
      </c>
      <c r="G511" s="5">
        <v>158674.18899858955</v>
      </c>
      <c r="H511" s="5">
        <f ca="1">OFFSET(F511,0,Brains!$D$1,1,1)</f>
        <v>158674.18899858955</v>
      </c>
      <c r="I511" t="s">
        <v>2195</v>
      </c>
      <c r="J511" t="s">
        <v>1858</v>
      </c>
      <c r="K511" t="s">
        <v>1922</v>
      </c>
      <c r="L511" t="s">
        <v>1922</v>
      </c>
      <c r="M511" s="7" t="s">
        <v>3941</v>
      </c>
      <c r="N511" t="s">
        <v>1866</v>
      </c>
      <c r="O511" s="7" t="s">
        <v>3924</v>
      </c>
      <c r="P511" s="17" t="str">
        <f t="shared" ca="1" si="14"/>
        <v>150-249.9K</v>
      </c>
      <c r="Q511" s="17">
        <v>8</v>
      </c>
      <c r="R511">
        <v>40</v>
      </c>
      <c r="S511">
        <v>5</v>
      </c>
      <c r="T511">
        <v>5</v>
      </c>
      <c r="U511">
        <v>2</v>
      </c>
      <c r="V511" s="15">
        <f t="shared" ca="1" si="15"/>
        <v>7</v>
      </c>
    </row>
    <row r="512" spans="1:22">
      <c r="A512" t="s">
        <v>830</v>
      </c>
      <c r="B512" s="1">
        <v>41058.880173611113</v>
      </c>
      <c r="C512" s="2">
        <v>24000</v>
      </c>
      <c r="D512">
        <v>24000</v>
      </c>
      <c r="E512" t="s">
        <v>1856</v>
      </c>
      <c r="F512" s="5">
        <v>24000</v>
      </c>
      <c r="G512" s="5">
        <v>24000</v>
      </c>
      <c r="H512" s="5">
        <f ca="1">OFFSET(F512,0,Brains!$D$1,1,1)</f>
        <v>24000</v>
      </c>
      <c r="I512" t="s">
        <v>831</v>
      </c>
      <c r="J512" t="s">
        <v>1858</v>
      </c>
      <c r="K512" t="s">
        <v>1869</v>
      </c>
      <c r="L512" t="s">
        <v>1869</v>
      </c>
      <c r="M512" s="11" t="s">
        <v>3916</v>
      </c>
      <c r="N512" t="s">
        <v>1884</v>
      </c>
      <c r="O512" s="7" t="s">
        <v>3924</v>
      </c>
      <c r="P512" s="17" t="str">
        <f t="shared" ca="1" si="14"/>
        <v>15-29.9K</v>
      </c>
      <c r="Q512" s="17">
        <v>1.5</v>
      </c>
      <c r="R512">
        <v>33</v>
      </c>
      <c r="S512">
        <v>2</v>
      </c>
      <c r="T512">
        <v>5</v>
      </c>
      <c r="U512">
        <v>2</v>
      </c>
      <c r="V512" s="15">
        <f t="shared" ca="1" si="15"/>
        <v>2</v>
      </c>
    </row>
    <row r="513" spans="1:22">
      <c r="A513" t="s">
        <v>3177</v>
      </c>
      <c r="B513" s="1">
        <v>41055.457754629628</v>
      </c>
      <c r="C513" s="2">
        <v>250000</v>
      </c>
      <c r="D513">
        <v>250000</v>
      </c>
      <c r="E513" t="s">
        <v>1979</v>
      </c>
      <c r="F513" s="5">
        <v>245840.3807575817</v>
      </c>
      <c r="G513" s="5">
        <v>200160.12810248195</v>
      </c>
      <c r="H513" s="5">
        <f ca="1">OFFSET(F513,0,Brains!$D$1,1,1)</f>
        <v>200160.12810248195</v>
      </c>
      <c r="I513" t="s">
        <v>2195</v>
      </c>
      <c r="J513" t="s">
        <v>1858</v>
      </c>
      <c r="K513" t="s">
        <v>1981</v>
      </c>
      <c r="L513" t="s">
        <v>1981</v>
      </c>
      <c r="M513" s="11" t="s">
        <v>3918</v>
      </c>
      <c r="N513" t="s">
        <v>1860</v>
      </c>
      <c r="O513" s="7" t="s">
        <v>3924</v>
      </c>
      <c r="P513" s="17" t="str">
        <f t="shared" ca="1" si="14"/>
        <v>150-249.9K</v>
      </c>
      <c r="Q513" s="17">
        <v>5</v>
      </c>
      <c r="R513">
        <v>32</v>
      </c>
      <c r="S513">
        <v>4</v>
      </c>
      <c r="T513">
        <v>5</v>
      </c>
      <c r="U513">
        <v>2</v>
      </c>
      <c r="V513" s="15">
        <f t="shared" ca="1" si="15"/>
        <v>7</v>
      </c>
    </row>
    <row r="514" spans="1:22">
      <c r="A514" t="s">
        <v>1481</v>
      </c>
      <c r="B514" s="1">
        <v>41066.888090277775</v>
      </c>
      <c r="C514" s="2">
        <v>100000</v>
      </c>
      <c r="D514">
        <v>100000</v>
      </c>
      <c r="E514" t="s">
        <v>1856</v>
      </c>
      <c r="F514" s="5">
        <v>100000</v>
      </c>
      <c r="G514" s="5">
        <v>100000</v>
      </c>
      <c r="H514" s="5">
        <f ca="1">OFFSET(F514,0,Brains!$D$1,1,1)</f>
        <v>100000</v>
      </c>
      <c r="I514" t="s">
        <v>1482</v>
      </c>
      <c r="J514" t="s">
        <v>1858</v>
      </c>
      <c r="K514" t="s">
        <v>1949</v>
      </c>
      <c r="L514" t="s">
        <v>1949</v>
      </c>
      <c r="M514" s="7" t="s">
        <v>3941</v>
      </c>
      <c r="N514" t="s">
        <v>1866</v>
      </c>
      <c r="O514" s="7" t="s">
        <v>3921</v>
      </c>
      <c r="P514" s="17" t="str">
        <f t="shared" ref="P514:P577" ca="1" si="16">IF(H514&lt;15000,"0-14.9K",IF(H514&lt;30000,"15-29.9K",IF(H514&lt;50000,"30-49.9K",IF(H514&lt;75000,"50-74.9K",IF(H514&lt;100000,"75-99.9K",IF(H514&lt;150000,"100-149.9K",IF(H514&lt;250000,"150-249.9K","250K+")))))))</f>
        <v>100-149.9K</v>
      </c>
      <c r="Q514" s="17">
        <v>8</v>
      </c>
      <c r="R514">
        <v>6</v>
      </c>
      <c r="S514">
        <v>5</v>
      </c>
      <c r="T514">
        <v>2</v>
      </c>
      <c r="U514">
        <v>2</v>
      </c>
      <c r="V514" s="15">
        <f t="shared" ref="V514:V577" ca="1" si="17">IF(H514&lt;15000,1,IF(H514&lt;30000,2,IF(H514&lt;50000,3,IF(H514&lt;75000,4,IF(H514&lt;100000,5,IF(H514&lt;150000,6,IF(H514&lt;250000,7,8)))))))</f>
        <v>6</v>
      </c>
    </row>
    <row r="515" spans="1:22">
      <c r="A515" t="s">
        <v>36</v>
      </c>
      <c r="B515" s="1">
        <v>41057.383645833332</v>
      </c>
      <c r="C515" s="2">
        <v>92000</v>
      </c>
      <c r="D515">
        <v>92000</v>
      </c>
      <c r="E515" t="s">
        <v>1973</v>
      </c>
      <c r="F515" s="5">
        <v>93831.688389042494</v>
      </c>
      <c r="G515" s="5">
        <v>58524.173027989826</v>
      </c>
      <c r="H515" s="5">
        <f ca="1">OFFSET(F515,0,Brains!$D$1,1,1)</f>
        <v>58524.173027989826</v>
      </c>
      <c r="I515" t="s">
        <v>34</v>
      </c>
      <c r="J515" t="s">
        <v>1858</v>
      </c>
      <c r="K515" t="s">
        <v>1975</v>
      </c>
      <c r="L515" t="s">
        <v>1975</v>
      </c>
      <c r="M515" s="7" t="s">
        <v>3941</v>
      </c>
      <c r="N515" t="s">
        <v>1866</v>
      </c>
      <c r="O515" s="7" t="s">
        <v>3921</v>
      </c>
      <c r="P515" s="17" t="str">
        <f t="shared" ca="1" si="16"/>
        <v>50-74.9K</v>
      </c>
      <c r="Q515" s="17">
        <v>8</v>
      </c>
      <c r="R515">
        <v>6</v>
      </c>
      <c r="S515">
        <v>5</v>
      </c>
      <c r="T515">
        <v>2</v>
      </c>
      <c r="U515">
        <v>2</v>
      </c>
      <c r="V515" s="15">
        <f t="shared" ca="1" si="17"/>
        <v>4</v>
      </c>
    </row>
    <row r="516" spans="1:22">
      <c r="A516" t="s">
        <v>3071</v>
      </c>
      <c r="B516" s="1">
        <v>41055.266701388886</v>
      </c>
      <c r="C516" s="2">
        <v>55000</v>
      </c>
      <c r="D516">
        <v>55000</v>
      </c>
      <c r="E516" t="s">
        <v>1880</v>
      </c>
      <c r="F516" s="5">
        <v>69871.969144538423</v>
      </c>
      <c r="G516" s="5">
        <v>69090.963906880454</v>
      </c>
      <c r="H516" s="5">
        <f ca="1">OFFSET(F516,0,Brains!$D$1,1,1)</f>
        <v>69090.963906880454</v>
      </c>
      <c r="I516" t="s">
        <v>3031</v>
      </c>
      <c r="J516" t="s">
        <v>1858</v>
      </c>
      <c r="K516" t="s">
        <v>2998</v>
      </c>
      <c r="L516" t="s">
        <v>2998</v>
      </c>
      <c r="M516" s="7" t="s">
        <v>3941</v>
      </c>
      <c r="N516" t="s">
        <v>1866</v>
      </c>
      <c r="O516" s="7" t="s">
        <v>3921</v>
      </c>
      <c r="P516" s="17" t="str">
        <f t="shared" ca="1" si="16"/>
        <v>50-74.9K</v>
      </c>
      <c r="Q516" s="17">
        <v>8</v>
      </c>
      <c r="R516">
        <v>6</v>
      </c>
      <c r="S516">
        <v>5</v>
      </c>
      <c r="T516">
        <v>2</v>
      </c>
      <c r="U516">
        <v>2</v>
      </c>
      <c r="V516" s="15">
        <f t="shared" ca="1" si="17"/>
        <v>4</v>
      </c>
    </row>
    <row r="517" spans="1:22">
      <c r="A517" t="s">
        <v>1417</v>
      </c>
      <c r="B517" s="1">
        <v>41065.529606481483</v>
      </c>
      <c r="C517" s="2" t="s">
        <v>1418</v>
      </c>
      <c r="D517">
        <v>71000</v>
      </c>
      <c r="E517" t="s">
        <v>3081</v>
      </c>
      <c r="F517" s="5">
        <v>56628.754645950656</v>
      </c>
      <c r="G517" s="5">
        <v>41159.420289855072</v>
      </c>
      <c r="H517" s="5">
        <f ca="1">OFFSET(F517,0,Brains!$D$1,1,1)</f>
        <v>41159.420289855072</v>
      </c>
      <c r="I517" t="s">
        <v>2195</v>
      </c>
      <c r="J517" t="s">
        <v>1858</v>
      </c>
      <c r="K517" t="s">
        <v>3887</v>
      </c>
      <c r="L517" t="s">
        <v>3083</v>
      </c>
      <c r="M517" s="7" t="s">
        <v>3941</v>
      </c>
      <c r="N517" t="s">
        <v>1866</v>
      </c>
      <c r="O517" s="7" t="s">
        <v>3921</v>
      </c>
      <c r="P517" s="17" t="str">
        <f t="shared" ca="1" si="16"/>
        <v>30-49.9K</v>
      </c>
      <c r="Q517" s="17">
        <v>8</v>
      </c>
      <c r="R517">
        <v>6</v>
      </c>
      <c r="S517">
        <v>5</v>
      </c>
      <c r="T517">
        <v>2</v>
      </c>
      <c r="U517">
        <v>2</v>
      </c>
      <c r="V517" s="15">
        <f t="shared" ca="1" si="17"/>
        <v>3</v>
      </c>
    </row>
    <row r="518" spans="1:22">
      <c r="A518" t="s">
        <v>773</v>
      </c>
      <c r="B518" s="1">
        <v>41058.760277777779</v>
      </c>
      <c r="C518" s="2" t="s">
        <v>2071</v>
      </c>
      <c r="D518">
        <v>30000</v>
      </c>
      <c r="E518" t="s">
        <v>1954</v>
      </c>
      <c r="F518" s="5">
        <v>47285.348162018527</v>
      </c>
      <c r="G518" s="5">
        <v>44510.385756676558</v>
      </c>
      <c r="H518" s="5">
        <f ca="1">OFFSET(F518,0,Brains!$D$1,1,1)</f>
        <v>44510.385756676558</v>
      </c>
      <c r="I518" t="s">
        <v>2154</v>
      </c>
      <c r="J518" t="s">
        <v>1858</v>
      </c>
      <c r="K518" t="s">
        <v>1956</v>
      </c>
      <c r="L518" t="s">
        <v>1956</v>
      </c>
      <c r="M518" s="7" t="s">
        <v>3941</v>
      </c>
      <c r="N518" t="s">
        <v>1866</v>
      </c>
      <c r="O518" s="7" t="s">
        <v>3921</v>
      </c>
      <c r="P518" s="17" t="str">
        <f t="shared" ca="1" si="16"/>
        <v>30-49.9K</v>
      </c>
      <c r="Q518" s="17">
        <v>8</v>
      </c>
      <c r="R518">
        <v>6</v>
      </c>
      <c r="S518">
        <v>5</v>
      </c>
      <c r="T518">
        <v>2</v>
      </c>
      <c r="U518">
        <v>2</v>
      </c>
      <c r="V518" s="15">
        <f t="shared" ca="1" si="17"/>
        <v>3</v>
      </c>
    </row>
    <row r="519" spans="1:22">
      <c r="A519" t="s">
        <v>3717</v>
      </c>
      <c r="B519" s="1">
        <v>41056.480752314812</v>
      </c>
      <c r="C519" s="2">
        <v>26400</v>
      </c>
      <c r="D519">
        <v>26400</v>
      </c>
      <c r="E519" t="s">
        <v>1856</v>
      </c>
      <c r="F519" s="5">
        <v>26400</v>
      </c>
      <c r="G519" s="5">
        <v>26400</v>
      </c>
      <c r="H519" s="5">
        <f ca="1">OFFSET(F519,0,Brains!$D$1,1,1)</f>
        <v>26400</v>
      </c>
      <c r="I519" t="s">
        <v>3718</v>
      </c>
      <c r="J519" t="s">
        <v>1858</v>
      </c>
      <c r="K519" t="s">
        <v>2143</v>
      </c>
      <c r="L519" t="s">
        <v>2143</v>
      </c>
      <c r="M519" s="7" t="s">
        <v>3941</v>
      </c>
      <c r="N519" t="s">
        <v>1866</v>
      </c>
      <c r="O519" s="7" t="s">
        <v>3921</v>
      </c>
      <c r="P519" s="17" t="str">
        <f t="shared" ca="1" si="16"/>
        <v>15-29.9K</v>
      </c>
      <c r="Q519" s="17">
        <v>8</v>
      </c>
      <c r="R519">
        <v>6</v>
      </c>
      <c r="S519">
        <v>5</v>
      </c>
      <c r="T519">
        <v>2</v>
      </c>
      <c r="U519">
        <v>2</v>
      </c>
      <c r="V519" s="15">
        <f t="shared" ca="1" si="17"/>
        <v>2</v>
      </c>
    </row>
    <row r="520" spans="1:22">
      <c r="A520" t="s">
        <v>1079</v>
      </c>
      <c r="B520" s="1">
        <v>41059.979143518518</v>
      </c>
      <c r="C520" s="2">
        <v>18000</v>
      </c>
      <c r="D520">
        <v>18000</v>
      </c>
      <c r="E520" t="s">
        <v>1856</v>
      </c>
      <c r="F520" s="5">
        <v>18000</v>
      </c>
      <c r="G520" s="5">
        <v>18000</v>
      </c>
      <c r="H520" s="5">
        <f ca="1">OFFSET(F520,0,Brains!$D$1,1,1)</f>
        <v>18000</v>
      </c>
      <c r="I520" t="s">
        <v>1080</v>
      </c>
      <c r="J520" t="s">
        <v>1858</v>
      </c>
      <c r="K520" t="s">
        <v>1859</v>
      </c>
      <c r="L520" t="s">
        <v>1859</v>
      </c>
      <c r="M520" s="7" t="s">
        <v>3941</v>
      </c>
      <c r="N520" t="s">
        <v>1866</v>
      </c>
      <c r="O520" s="7" t="s">
        <v>3921</v>
      </c>
      <c r="P520" s="17" t="str">
        <f t="shared" ca="1" si="16"/>
        <v>15-29.9K</v>
      </c>
      <c r="Q520" s="17">
        <v>8</v>
      </c>
      <c r="R520">
        <v>6</v>
      </c>
      <c r="S520">
        <v>5</v>
      </c>
      <c r="T520">
        <v>2</v>
      </c>
      <c r="U520">
        <v>2</v>
      </c>
      <c r="V520" s="15">
        <f t="shared" ca="1" si="17"/>
        <v>2</v>
      </c>
    </row>
    <row r="521" spans="1:22">
      <c r="A521" t="s">
        <v>3642</v>
      </c>
      <c r="B521" s="1">
        <v>41055.991365740738</v>
      </c>
      <c r="C521" s="2" t="s">
        <v>3643</v>
      </c>
      <c r="D521">
        <v>13000</v>
      </c>
      <c r="E521" t="s">
        <v>1856</v>
      </c>
      <c r="F521" s="5">
        <v>13000</v>
      </c>
      <c r="G521" s="5">
        <v>13000</v>
      </c>
      <c r="H521" s="5">
        <f ca="1">OFFSET(F521,0,Brains!$D$1,1,1)</f>
        <v>13000</v>
      </c>
      <c r="I521" t="s">
        <v>2195</v>
      </c>
      <c r="J521" t="s">
        <v>1858</v>
      </c>
      <c r="K521" t="s">
        <v>1859</v>
      </c>
      <c r="L521" t="s">
        <v>1859</v>
      </c>
      <c r="M521" s="7" t="s">
        <v>3941</v>
      </c>
      <c r="N521" t="s">
        <v>1866</v>
      </c>
      <c r="O521" s="7" t="s">
        <v>3921</v>
      </c>
      <c r="P521" s="17" t="str">
        <f t="shared" ca="1" si="16"/>
        <v>0-14.9K</v>
      </c>
      <c r="Q521" s="17">
        <v>8</v>
      </c>
      <c r="R521">
        <v>6</v>
      </c>
      <c r="S521">
        <v>5</v>
      </c>
      <c r="T521">
        <v>2</v>
      </c>
      <c r="U521">
        <v>2</v>
      </c>
      <c r="V521" s="15">
        <f t="shared" ca="1" si="17"/>
        <v>1</v>
      </c>
    </row>
    <row r="522" spans="1:22">
      <c r="A522" t="s">
        <v>1380</v>
      </c>
      <c r="B522" s="1">
        <v>41064.927777777775</v>
      </c>
      <c r="C522" s="2">
        <v>13000</v>
      </c>
      <c r="D522">
        <v>13000</v>
      </c>
      <c r="E522" t="s">
        <v>1856</v>
      </c>
      <c r="F522" s="5">
        <v>13000</v>
      </c>
      <c r="G522" s="5">
        <v>13000</v>
      </c>
      <c r="H522" s="5">
        <f ca="1">OFFSET(F522,0,Brains!$D$1,1,1)</f>
        <v>13000</v>
      </c>
      <c r="I522" t="s">
        <v>1381</v>
      </c>
      <c r="J522" t="s">
        <v>1858</v>
      </c>
      <c r="K522" t="s">
        <v>1382</v>
      </c>
      <c r="L522" t="s">
        <v>1382</v>
      </c>
      <c r="M522" s="7" t="s">
        <v>3941</v>
      </c>
      <c r="N522" t="s">
        <v>1866</v>
      </c>
      <c r="O522" s="7" t="s">
        <v>3921</v>
      </c>
      <c r="P522" s="17" t="str">
        <f t="shared" ca="1" si="16"/>
        <v>0-14.9K</v>
      </c>
      <c r="Q522" s="17">
        <v>8</v>
      </c>
      <c r="R522">
        <v>6</v>
      </c>
      <c r="S522">
        <v>5</v>
      </c>
      <c r="T522">
        <v>2</v>
      </c>
      <c r="U522">
        <v>2</v>
      </c>
      <c r="V522" s="15">
        <f t="shared" ca="1" si="17"/>
        <v>1</v>
      </c>
    </row>
    <row r="523" spans="1:22">
      <c r="A523" t="s">
        <v>83</v>
      </c>
      <c r="B523" s="1">
        <v>41057.48542824074</v>
      </c>
      <c r="C523" s="2" t="s">
        <v>84</v>
      </c>
      <c r="D523">
        <v>640000</v>
      </c>
      <c r="E523" t="s">
        <v>1908</v>
      </c>
      <c r="F523" s="5">
        <v>11397.066679963244</v>
      </c>
      <c r="G523" s="5">
        <v>31869.335723533513</v>
      </c>
      <c r="H523" s="5">
        <f ca="1">OFFSET(F523,0,Brains!$D$1,1,1)</f>
        <v>31869.335723533513</v>
      </c>
      <c r="I523" t="s">
        <v>85</v>
      </c>
      <c r="J523" t="s">
        <v>1858</v>
      </c>
      <c r="K523" t="s">
        <v>1859</v>
      </c>
      <c r="L523" t="s">
        <v>1859</v>
      </c>
      <c r="M523" s="7" t="s">
        <v>3941</v>
      </c>
      <c r="N523" t="s">
        <v>1866</v>
      </c>
      <c r="O523" s="7" t="s">
        <v>3921</v>
      </c>
      <c r="P523" s="17" t="str">
        <f t="shared" ca="1" si="16"/>
        <v>30-49.9K</v>
      </c>
      <c r="Q523" s="17">
        <v>8</v>
      </c>
      <c r="R523">
        <v>6</v>
      </c>
      <c r="S523">
        <v>5</v>
      </c>
      <c r="T523">
        <v>2</v>
      </c>
      <c r="U523">
        <v>2</v>
      </c>
      <c r="V523" s="15">
        <f t="shared" ca="1" si="17"/>
        <v>3</v>
      </c>
    </row>
    <row r="524" spans="1:22">
      <c r="A524" t="s">
        <v>701</v>
      </c>
      <c r="B524" s="1">
        <v>41058.627905092595</v>
      </c>
      <c r="C524" s="2" t="s">
        <v>702</v>
      </c>
      <c r="D524">
        <v>360000</v>
      </c>
      <c r="E524" t="s">
        <v>1908</v>
      </c>
      <c r="F524" s="5">
        <v>6410.8500074793246</v>
      </c>
      <c r="G524" s="5">
        <v>17926.501344487599</v>
      </c>
      <c r="H524" s="5">
        <f ca="1">OFFSET(F524,0,Brains!$D$1,1,1)</f>
        <v>17926.501344487599</v>
      </c>
      <c r="I524" t="s">
        <v>703</v>
      </c>
      <c r="J524" t="s">
        <v>1858</v>
      </c>
      <c r="K524" t="s">
        <v>1859</v>
      </c>
      <c r="L524" t="s">
        <v>1859</v>
      </c>
      <c r="M524" s="7" t="s">
        <v>3941</v>
      </c>
      <c r="N524" t="s">
        <v>1866</v>
      </c>
      <c r="O524" s="7" t="s">
        <v>3921</v>
      </c>
      <c r="P524" s="17" t="str">
        <f t="shared" ca="1" si="16"/>
        <v>15-29.9K</v>
      </c>
      <c r="Q524" s="17">
        <v>8</v>
      </c>
      <c r="R524">
        <v>6</v>
      </c>
      <c r="S524">
        <v>5</v>
      </c>
      <c r="T524">
        <v>2</v>
      </c>
      <c r="U524">
        <v>2</v>
      </c>
      <c r="V524" s="15">
        <f t="shared" ca="1" si="17"/>
        <v>2</v>
      </c>
    </row>
    <row r="525" spans="1:22">
      <c r="A525" t="s">
        <v>3092</v>
      </c>
      <c r="B525" s="1">
        <v>41055.296412037038</v>
      </c>
      <c r="C525" s="2" t="s">
        <v>3093</v>
      </c>
      <c r="D525">
        <v>4285</v>
      </c>
      <c r="E525" t="s">
        <v>1856</v>
      </c>
      <c r="F525" s="5">
        <v>4285</v>
      </c>
      <c r="G525" s="5">
        <v>4285</v>
      </c>
      <c r="H525" s="5">
        <f ca="1">OFFSET(F525,0,Brains!$D$1,1,1)</f>
        <v>4285</v>
      </c>
      <c r="I525" t="s">
        <v>3094</v>
      </c>
      <c r="J525" t="s">
        <v>1858</v>
      </c>
      <c r="K525" t="s">
        <v>1859</v>
      </c>
      <c r="L525" t="s">
        <v>1859</v>
      </c>
      <c r="M525" s="7" t="s">
        <v>3941</v>
      </c>
      <c r="N525" t="s">
        <v>1866</v>
      </c>
      <c r="O525" s="7" t="s">
        <v>3921</v>
      </c>
      <c r="P525" s="17" t="str">
        <f t="shared" ca="1" si="16"/>
        <v>0-14.9K</v>
      </c>
      <c r="Q525" s="17">
        <v>8</v>
      </c>
      <c r="R525">
        <v>6</v>
      </c>
      <c r="S525">
        <v>5</v>
      </c>
      <c r="T525">
        <v>2</v>
      </c>
      <c r="U525">
        <v>2</v>
      </c>
      <c r="V525" s="15">
        <f t="shared" ca="1" si="17"/>
        <v>1</v>
      </c>
    </row>
    <row r="526" spans="1:22">
      <c r="A526" t="s">
        <v>1027</v>
      </c>
      <c r="B526" s="1">
        <v>41059.760740740741</v>
      </c>
      <c r="C526" s="2">
        <v>4000</v>
      </c>
      <c r="D526">
        <v>4000</v>
      </c>
      <c r="E526" t="s">
        <v>1856</v>
      </c>
      <c r="F526" s="5">
        <v>4000</v>
      </c>
      <c r="G526" s="5">
        <v>4000</v>
      </c>
      <c r="H526" s="5">
        <f ca="1">OFFSET(F526,0,Brains!$D$1,1,1)</f>
        <v>4000</v>
      </c>
      <c r="I526" t="s">
        <v>1028</v>
      </c>
      <c r="J526" t="s">
        <v>1858</v>
      </c>
      <c r="K526" t="s">
        <v>1859</v>
      </c>
      <c r="L526" t="s">
        <v>1859</v>
      </c>
      <c r="M526" s="7" t="s">
        <v>3941</v>
      </c>
      <c r="N526" t="s">
        <v>1866</v>
      </c>
      <c r="O526" s="7" t="s">
        <v>3921</v>
      </c>
      <c r="P526" s="17" t="str">
        <f t="shared" ca="1" si="16"/>
        <v>0-14.9K</v>
      </c>
      <c r="Q526" s="17">
        <v>8</v>
      </c>
      <c r="R526">
        <v>6</v>
      </c>
      <c r="S526">
        <v>5</v>
      </c>
      <c r="T526">
        <v>2</v>
      </c>
      <c r="U526">
        <v>2</v>
      </c>
      <c r="V526" s="15">
        <f t="shared" ca="1" si="17"/>
        <v>1</v>
      </c>
    </row>
    <row r="527" spans="1:22">
      <c r="A527" t="s">
        <v>290</v>
      </c>
      <c r="B527" s="1">
        <v>41057.717210648145</v>
      </c>
      <c r="C527" s="2">
        <v>18987</v>
      </c>
      <c r="D527">
        <v>18987</v>
      </c>
      <c r="E527" t="s">
        <v>1856</v>
      </c>
      <c r="F527" s="5">
        <v>18987</v>
      </c>
      <c r="G527" s="5">
        <v>18987</v>
      </c>
      <c r="H527" s="5">
        <f ca="1">OFFSET(F527,0,Brains!$D$1,1,1)</f>
        <v>18987</v>
      </c>
      <c r="I527" t="s">
        <v>2195</v>
      </c>
      <c r="J527" t="s">
        <v>1858</v>
      </c>
      <c r="K527" t="s">
        <v>3467</v>
      </c>
      <c r="L527" t="s">
        <v>3467</v>
      </c>
      <c r="M527" s="7" t="s">
        <v>3941</v>
      </c>
      <c r="N527" t="s">
        <v>1866</v>
      </c>
      <c r="O527" s="7" t="s">
        <v>3921</v>
      </c>
      <c r="P527" s="17" t="str">
        <f t="shared" ca="1" si="16"/>
        <v>15-29.9K</v>
      </c>
      <c r="Q527" s="17">
        <v>8</v>
      </c>
      <c r="R527">
        <v>7</v>
      </c>
      <c r="S527">
        <v>5</v>
      </c>
      <c r="T527">
        <v>2</v>
      </c>
      <c r="U527">
        <v>2</v>
      </c>
      <c r="V527" s="15">
        <f t="shared" ca="1" si="17"/>
        <v>2</v>
      </c>
    </row>
    <row r="528" spans="1:22">
      <c r="A528" t="s">
        <v>3343</v>
      </c>
      <c r="B528" s="1">
        <v>41055.572835648149</v>
      </c>
      <c r="C528" s="2" t="s">
        <v>3344</v>
      </c>
      <c r="D528">
        <v>300000</v>
      </c>
      <c r="E528" t="s">
        <v>1908</v>
      </c>
      <c r="F528" s="5">
        <v>5342.3750062327708</v>
      </c>
      <c r="G528" s="5">
        <v>14938.751120406334</v>
      </c>
      <c r="H528" s="5">
        <f ca="1">OFFSET(F528,0,Brains!$D$1,1,1)</f>
        <v>14938.751120406334</v>
      </c>
      <c r="I528" t="s">
        <v>1858</v>
      </c>
      <c r="J528" t="s">
        <v>1858</v>
      </c>
      <c r="K528" t="s">
        <v>1859</v>
      </c>
      <c r="L528" t="s">
        <v>1859</v>
      </c>
      <c r="M528" s="7" t="s">
        <v>3941</v>
      </c>
      <c r="N528" t="s">
        <v>1866</v>
      </c>
      <c r="O528" s="7" t="s">
        <v>3921</v>
      </c>
      <c r="P528" s="17" t="str">
        <f t="shared" ca="1" si="16"/>
        <v>0-14.9K</v>
      </c>
      <c r="Q528" s="17">
        <v>8</v>
      </c>
      <c r="R528">
        <v>7</v>
      </c>
      <c r="S528">
        <v>5</v>
      </c>
      <c r="T528">
        <v>2</v>
      </c>
      <c r="U528">
        <v>2</v>
      </c>
      <c r="V528" s="15">
        <f t="shared" ca="1" si="17"/>
        <v>1</v>
      </c>
    </row>
    <row r="529" spans="1:22">
      <c r="A529" t="s">
        <v>256</v>
      </c>
      <c r="B529" s="1">
        <v>41057.681157407409</v>
      </c>
      <c r="C529" s="2">
        <v>58000</v>
      </c>
      <c r="D529">
        <v>58000</v>
      </c>
      <c r="E529" t="s">
        <v>1954</v>
      </c>
      <c r="F529" s="5">
        <v>91418.339779902482</v>
      </c>
      <c r="G529" s="5">
        <v>86053.412462908003</v>
      </c>
      <c r="H529" s="5">
        <f ca="1">OFFSET(F529,0,Brains!$D$1,1,1)</f>
        <v>86053.412462908003</v>
      </c>
      <c r="I529" t="s">
        <v>257</v>
      </c>
      <c r="J529" t="s">
        <v>1858</v>
      </c>
      <c r="K529" t="s">
        <v>1956</v>
      </c>
      <c r="L529" t="s">
        <v>1956</v>
      </c>
      <c r="M529" s="7" t="s">
        <v>3941</v>
      </c>
      <c r="N529" t="s">
        <v>1866</v>
      </c>
      <c r="O529" s="7" t="s">
        <v>3921</v>
      </c>
      <c r="P529" s="17" t="str">
        <f t="shared" ca="1" si="16"/>
        <v>75-99.9K</v>
      </c>
      <c r="Q529" s="17">
        <v>8</v>
      </c>
      <c r="R529">
        <v>8</v>
      </c>
      <c r="S529">
        <v>5</v>
      </c>
      <c r="T529">
        <v>2</v>
      </c>
      <c r="U529">
        <v>2</v>
      </c>
      <c r="V529" s="15">
        <f t="shared" ca="1" si="17"/>
        <v>5</v>
      </c>
    </row>
    <row r="530" spans="1:22">
      <c r="A530" t="s">
        <v>672</v>
      </c>
      <c r="B530" s="1">
        <v>41058.577928240738</v>
      </c>
      <c r="C530" s="2">
        <v>45000</v>
      </c>
      <c r="D530">
        <v>45000</v>
      </c>
      <c r="E530" t="s">
        <v>1856</v>
      </c>
      <c r="F530" s="5">
        <v>45000</v>
      </c>
      <c r="G530" s="5">
        <v>45000</v>
      </c>
      <c r="H530" s="5">
        <f ca="1">OFFSET(F530,0,Brains!$D$1,1,1)</f>
        <v>45000</v>
      </c>
      <c r="I530" t="s">
        <v>673</v>
      </c>
      <c r="J530" t="s">
        <v>1858</v>
      </c>
      <c r="K530" t="s">
        <v>1872</v>
      </c>
      <c r="L530" t="s">
        <v>1872</v>
      </c>
      <c r="M530" s="7" t="s">
        <v>3941</v>
      </c>
      <c r="N530" t="s">
        <v>1866</v>
      </c>
      <c r="O530" s="7" t="s">
        <v>3921</v>
      </c>
      <c r="P530" s="17" t="str">
        <f t="shared" ca="1" si="16"/>
        <v>30-49.9K</v>
      </c>
      <c r="Q530" s="17">
        <v>8</v>
      </c>
      <c r="R530">
        <v>8</v>
      </c>
      <c r="S530">
        <v>5</v>
      </c>
      <c r="T530">
        <v>2</v>
      </c>
      <c r="U530">
        <v>2</v>
      </c>
      <c r="V530" s="15">
        <f t="shared" ca="1" si="17"/>
        <v>3</v>
      </c>
    </row>
    <row r="531" spans="1:22">
      <c r="A531" t="s">
        <v>1403</v>
      </c>
      <c r="B531" s="1">
        <v>41065.163611111115</v>
      </c>
      <c r="C531" s="2" t="s">
        <v>1404</v>
      </c>
      <c r="D531">
        <v>30500</v>
      </c>
      <c r="E531" t="s">
        <v>1856</v>
      </c>
      <c r="F531" s="5">
        <v>30500</v>
      </c>
      <c r="G531" s="5">
        <v>30500</v>
      </c>
      <c r="H531" s="5">
        <f ca="1">OFFSET(F531,0,Brains!$D$1,1,1)</f>
        <v>30500</v>
      </c>
      <c r="I531" t="s">
        <v>1868</v>
      </c>
      <c r="J531" t="s">
        <v>1858</v>
      </c>
      <c r="K531" t="s">
        <v>2081</v>
      </c>
      <c r="L531" t="s">
        <v>2081</v>
      </c>
      <c r="M531" s="7" t="s">
        <v>3941</v>
      </c>
      <c r="N531" t="s">
        <v>1866</v>
      </c>
      <c r="O531" s="7" t="s">
        <v>3921</v>
      </c>
      <c r="P531" s="17" t="str">
        <f t="shared" ca="1" si="16"/>
        <v>30-49.9K</v>
      </c>
      <c r="Q531" s="17">
        <v>8</v>
      </c>
      <c r="R531">
        <v>8</v>
      </c>
      <c r="S531">
        <v>5</v>
      </c>
      <c r="T531">
        <v>2</v>
      </c>
      <c r="U531">
        <v>2</v>
      </c>
      <c r="V531" s="15">
        <f t="shared" ca="1" si="17"/>
        <v>3</v>
      </c>
    </row>
    <row r="532" spans="1:22">
      <c r="A532" t="s">
        <v>1487</v>
      </c>
      <c r="B532" s="1">
        <v>41066.946018518516</v>
      </c>
      <c r="C532" s="2">
        <v>25000</v>
      </c>
      <c r="D532">
        <v>25000</v>
      </c>
      <c r="E532" t="s">
        <v>1856</v>
      </c>
      <c r="F532" s="5">
        <v>25000</v>
      </c>
      <c r="G532" s="5">
        <v>25000</v>
      </c>
      <c r="H532" s="5">
        <f ca="1">OFFSET(F532,0,Brains!$D$1,1,1)</f>
        <v>25000</v>
      </c>
      <c r="I532" t="s">
        <v>1488</v>
      </c>
      <c r="J532" t="s">
        <v>1858</v>
      </c>
      <c r="K532" t="s">
        <v>1859</v>
      </c>
      <c r="L532" t="s">
        <v>1859</v>
      </c>
      <c r="M532" s="7" t="s">
        <v>3941</v>
      </c>
      <c r="N532" t="s">
        <v>1866</v>
      </c>
      <c r="O532" s="7" t="s">
        <v>3921</v>
      </c>
      <c r="P532" s="17" t="str">
        <f t="shared" ca="1" si="16"/>
        <v>15-29.9K</v>
      </c>
      <c r="Q532" s="17">
        <v>8</v>
      </c>
      <c r="R532">
        <v>8</v>
      </c>
      <c r="S532">
        <v>5</v>
      </c>
      <c r="T532">
        <v>2</v>
      </c>
      <c r="U532">
        <v>2</v>
      </c>
      <c r="V532" s="15">
        <f t="shared" ca="1" si="17"/>
        <v>2</v>
      </c>
    </row>
    <row r="533" spans="1:22">
      <c r="A533" t="s">
        <v>1205</v>
      </c>
      <c r="B533" s="1">
        <v>41061.125740740739</v>
      </c>
      <c r="C533" s="2">
        <v>1320</v>
      </c>
      <c r="D533">
        <v>15840</v>
      </c>
      <c r="E533" t="s">
        <v>1856</v>
      </c>
      <c r="F533" s="5">
        <v>15840</v>
      </c>
      <c r="G533" s="5">
        <v>15840</v>
      </c>
      <c r="H533" s="5">
        <f ca="1">OFFSET(F533,0,Brains!$D$1,1,1)</f>
        <v>15840</v>
      </c>
      <c r="I533" t="s">
        <v>1206</v>
      </c>
      <c r="J533" t="s">
        <v>1858</v>
      </c>
      <c r="K533" t="s">
        <v>1207</v>
      </c>
      <c r="L533" t="s">
        <v>1207</v>
      </c>
      <c r="M533" s="7" t="s">
        <v>3941</v>
      </c>
      <c r="N533" t="s">
        <v>1866</v>
      </c>
      <c r="O533" s="7" t="s">
        <v>3921</v>
      </c>
      <c r="P533" s="17" t="str">
        <f t="shared" ca="1" si="16"/>
        <v>15-29.9K</v>
      </c>
      <c r="Q533" s="17">
        <v>8</v>
      </c>
      <c r="R533">
        <v>8</v>
      </c>
      <c r="S533">
        <v>5</v>
      </c>
      <c r="T533">
        <v>2</v>
      </c>
      <c r="U533">
        <v>2</v>
      </c>
      <c r="V533" s="15">
        <f t="shared" ca="1" si="17"/>
        <v>2</v>
      </c>
    </row>
    <row r="534" spans="1:22">
      <c r="A534" t="s">
        <v>3821</v>
      </c>
      <c r="B534" s="1">
        <v>41056.877858796295</v>
      </c>
      <c r="C534" s="2">
        <v>600000</v>
      </c>
      <c r="D534">
        <v>600000</v>
      </c>
      <c r="E534" t="s">
        <v>1908</v>
      </c>
      <c r="F534" s="5">
        <v>10684.750012465542</v>
      </c>
      <c r="G534" s="5">
        <v>29877.502240812668</v>
      </c>
      <c r="H534" s="5">
        <f ca="1">OFFSET(F534,0,Brains!$D$1,1,1)</f>
        <v>29877.502240812668</v>
      </c>
      <c r="I534" t="s">
        <v>2022</v>
      </c>
      <c r="J534" t="s">
        <v>1858</v>
      </c>
      <c r="K534" t="s">
        <v>1859</v>
      </c>
      <c r="L534" t="s">
        <v>1859</v>
      </c>
      <c r="M534" s="7" t="s">
        <v>3941</v>
      </c>
      <c r="N534" t="s">
        <v>1866</v>
      </c>
      <c r="O534" s="7" t="s">
        <v>3921</v>
      </c>
      <c r="P534" s="17" t="str">
        <f t="shared" ca="1" si="16"/>
        <v>15-29.9K</v>
      </c>
      <c r="Q534" s="17">
        <v>8</v>
      </c>
      <c r="R534">
        <v>8</v>
      </c>
      <c r="S534">
        <v>5</v>
      </c>
      <c r="T534">
        <v>2</v>
      </c>
      <c r="U534">
        <v>2</v>
      </c>
      <c r="V534" s="15">
        <f t="shared" ca="1" si="17"/>
        <v>2</v>
      </c>
    </row>
    <row r="535" spans="1:22">
      <c r="A535" t="s">
        <v>3683</v>
      </c>
      <c r="B535" s="1">
        <v>41056.166828703703</v>
      </c>
      <c r="C535" s="2" t="s">
        <v>3684</v>
      </c>
      <c r="D535">
        <v>540000</v>
      </c>
      <c r="E535" t="s">
        <v>1908</v>
      </c>
      <c r="F535" s="5">
        <v>9616.275011218986</v>
      </c>
      <c r="G535" s="5">
        <v>26889.7520167314</v>
      </c>
      <c r="H535" s="5">
        <f ca="1">OFFSET(F535,0,Brains!$D$1,1,1)</f>
        <v>26889.7520167314</v>
      </c>
      <c r="I535" t="s">
        <v>2280</v>
      </c>
      <c r="J535" t="s">
        <v>1858</v>
      </c>
      <c r="K535" t="s">
        <v>1859</v>
      </c>
      <c r="L535" t="s">
        <v>1859</v>
      </c>
      <c r="M535" s="7" t="s">
        <v>3941</v>
      </c>
      <c r="N535" t="s">
        <v>1866</v>
      </c>
      <c r="O535" s="7" t="s">
        <v>3921</v>
      </c>
      <c r="P535" s="17" t="str">
        <f t="shared" ca="1" si="16"/>
        <v>15-29.9K</v>
      </c>
      <c r="Q535" s="17">
        <v>8</v>
      </c>
      <c r="R535">
        <v>8</v>
      </c>
      <c r="S535">
        <v>5</v>
      </c>
      <c r="T535">
        <v>2</v>
      </c>
      <c r="U535">
        <v>2</v>
      </c>
      <c r="V535" s="15">
        <f t="shared" ca="1" si="17"/>
        <v>2</v>
      </c>
    </row>
    <row r="536" spans="1:22">
      <c r="A536" t="s">
        <v>3836</v>
      </c>
      <c r="B536" s="1">
        <v>41056.944884259261</v>
      </c>
      <c r="C536" s="2" t="s">
        <v>3837</v>
      </c>
      <c r="D536">
        <v>19200</v>
      </c>
      <c r="E536" t="s">
        <v>3605</v>
      </c>
      <c r="F536" s="5">
        <v>9490.1984044603923</v>
      </c>
      <c r="G536" s="5">
        <v>10212.765957446809</v>
      </c>
      <c r="H536" s="5">
        <f ca="1">OFFSET(F536,0,Brains!$D$1,1,1)</f>
        <v>10212.765957446809</v>
      </c>
      <c r="I536" t="s">
        <v>3838</v>
      </c>
      <c r="J536" t="s">
        <v>1858</v>
      </c>
      <c r="K536" t="s">
        <v>2081</v>
      </c>
      <c r="L536" t="s">
        <v>2081</v>
      </c>
      <c r="M536" s="7" t="s">
        <v>3941</v>
      </c>
      <c r="N536" t="s">
        <v>1866</v>
      </c>
      <c r="O536" s="7" t="s">
        <v>3921</v>
      </c>
      <c r="P536" s="17" t="str">
        <f t="shared" ca="1" si="16"/>
        <v>0-14.9K</v>
      </c>
      <c r="Q536" s="17">
        <v>8</v>
      </c>
      <c r="R536">
        <v>8</v>
      </c>
      <c r="S536">
        <v>5</v>
      </c>
      <c r="T536">
        <v>2</v>
      </c>
      <c r="U536">
        <v>2</v>
      </c>
      <c r="V536" s="15">
        <f t="shared" ca="1" si="17"/>
        <v>1</v>
      </c>
    </row>
    <row r="537" spans="1:22">
      <c r="A537" t="s">
        <v>3359</v>
      </c>
      <c r="B537" s="1">
        <v>41055.591574074075</v>
      </c>
      <c r="C537" s="2" t="s">
        <v>3360</v>
      </c>
      <c r="D537">
        <v>450000</v>
      </c>
      <c r="E537" t="s">
        <v>1908</v>
      </c>
      <c r="F537" s="5">
        <v>8013.5625093491553</v>
      </c>
      <c r="G537" s="5">
        <v>22408.126680609501</v>
      </c>
      <c r="H537" s="5">
        <f ca="1">OFFSET(F537,0,Brains!$D$1,1,1)</f>
        <v>22408.126680609501</v>
      </c>
      <c r="I537" t="s">
        <v>2099</v>
      </c>
      <c r="J537" t="s">
        <v>1858</v>
      </c>
      <c r="K537" t="s">
        <v>1859</v>
      </c>
      <c r="L537" t="s">
        <v>1859</v>
      </c>
      <c r="M537" s="7" t="s">
        <v>3941</v>
      </c>
      <c r="N537" t="s">
        <v>1866</v>
      </c>
      <c r="O537" s="7" t="s">
        <v>3921</v>
      </c>
      <c r="P537" s="17" t="str">
        <f t="shared" ca="1" si="16"/>
        <v>15-29.9K</v>
      </c>
      <c r="Q537" s="17">
        <v>8</v>
      </c>
      <c r="R537">
        <v>8</v>
      </c>
      <c r="S537">
        <v>5</v>
      </c>
      <c r="T537">
        <v>2</v>
      </c>
      <c r="U537">
        <v>2</v>
      </c>
      <c r="V537" s="15">
        <f t="shared" ca="1" si="17"/>
        <v>2</v>
      </c>
    </row>
    <row r="538" spans="1:22">
      <c r="A538" t="s">
        <v>1642</v>
      </c>
      <c r="B538" s="1">
        <v>41072.908263888887</v>
      </c>
      <c r="C538" s="2">
        <v>280000</v>
      </c>
      <c r="D538">
        <v>280000</v>
      </c>
      <c r="E538" t="s">
        <v>1908</v>
      </c>
      <c r="F538" s="5">
        <v>4986.216672483919</v>
      </c>
      <c r="G538" s="5">
        <v>13942.834379045911</v>
      </c>
      <c r="H538" s="5">
        <f ca="1">OFFSET(F538,0,Brains!$D$1,1,1)</f>
        <v>13942.834379045911</v>
      </c>
      <c r="I538" t="s">
        <v>1643</v>
      </c>
      <c r="J538" t="s">
        <v>1858</v>
      </c>
      <c r="K538" t="s">
        <v>1859</v>
      </c>
      <c r="L538" t="s">
        <v>1859</v>
      </c>
      <c r="M538" s="7" t="s">
        <v>3941</v>
      </c>
      <c r="N538" t="s">
        <v>1866</v>
      </c>
      <c r="O538" s="7" t="s">
        <v>3921</v>
      </c>
      <c r="P538" s="17" t="str">
        <f t="shared" ca="1" si="16"/>
        <v>0-14.9K</v>
      </c>
      <c r="Q538" s="17">
        <v>8</v>
      </c>
      <c r="R538">
        <v>8</v>
      </c>
      <c r="S538">
        <v>5</v>
      </c>
      <c r="T538">
        <v>2</v>
      </c>
      <c r="U538">
        <v>2</v>
      </c>
      <c r="V538" s="15">
        <f t="shared" ca="1" si="17"/>
        <v>1</v>
      </c>
    </row>
    <row r="539" spans="1:22">
      <c r="A539" t="s">
        <v>794</v>
      </c>
      <c r="B539" s="1">
        <v>41058.795995370368</v>
      </c>
      <c r="C539" s="2" t="s">
        <v>795</v>
      </c>
      <c r="D539">
        <v>250000</v>
      </c>
      <c r="E539" t="s">
        <v>1908</v>
      </c>
      <c r="F539" s="5">
        <v>4451.9791718606421</v>
      </c>
      <c r="G539" s="5">
        <v>12448.959267005279</v>
      </c>
      <c r="H539" s="5">
        <f ca="1">OFFSET(F539,0,Brains!$D$1,1,1)</f>
        <v>12448.959267005279</v>
      </c>
      <c r="I539" t="s">
        <v>796</v>
      </c>
      <c r="J539" t="s">
        <v>1858</v>
      </c>
      <c r="K539" t="s">
        <v>1859</v>
      </c>
      <c r="L539" t="s">
        <v>1859</v>
      </c>
      <c r="M539" s="7" t="s">
        <v>3941</v>
      </c>
      <c r="N539" t="s">
        <v>1866</v>
      </c>
      <c r="O539" s="7" t="s">
        <v>3921</v>
      </c>
      <c r="P539" s="17" t="str">
        <f t="shared" ca="1" si="16"/>
        <v>0-14.9K</v>
      </c>
      <c r="Q539" s="17">
        <v>8</v>
      </c>
      <c r="R539">
        <v>8</v>
      </c>
      <c r="S539">
        <v>5</v>
      </c>
      <c r="T539">
        <v>2</v>
      </c>
      <c r="U539">
        <v>2</v>
      </c>
      <c r="V539" s="15">
        <f t="shared" ca="1" si="17"/>
        <v>1</v>
      </c>
    </row>
    <row r="540" spans="1:22">
      <c r="A540" t="s">
        <v>3200</v>
      </c>
      <c r="B540" s="1">
        <v>41055.479618055557</v>
      </c>
      <c r="C540" s="2" t="s">
        <v>3201</v>
      </c>
      <c r="D540">
        <v>170000</v>
      </c>
      <c r="E540" t="s">
        <v>1973</v>
      </c>
      <c r="F540" s="5">
        <v>173384.64158844808</v>
      </c>
      <c r="G540" s="5">
        <v>108142.49363867685</v>
      </c>
      <c r="H540" s="5">
        <f ca="1">OFFSET(F540,0,Brains!$D$1,1,1)</f>
        <v>108142.49363867685</v>
      </c>
      <c r="I540" t="s">
        <v>3202</v>
      </c>
      <c r="J540" t="s">
        <v>1858</v>
      </c>
      <c r="K540" t="s">
        <v>1975</v>
      </c>
      <c r="L540" t="s">
        <v>1975</v>
      </c>
      <c r="M540" s="7" t="s">
        <v>3941</v>
      </c>
      <c r="N540" t="s">
        <v>1866</v>
      </c>
      <c r="O540" s="7" t="s">
        <v>3921</v>
      </c>
      <c r="P540" s="17" t="str">
        <f t="shared" ca="1" si="16"/>
        <v>100-149.9K</v>
      </c>
      <c r="Q540" s="17">
        <v>8</v>
      </c>
      <c r="R540">
        <v>10</v>
      </c>
      <c r="S540">
        <v>5</v>
      </c>
      <c r="T540">
        <v>2</v>
      </c>
      <c r="U540">
        <v>2</v>
      </c>
      <c r="V540" s="15">
        <f t="shared" ca="1" si="17"/>
        <v>6</v>
      </c>
    </row>
    <row r="541" spans="1:22">
      <c r="A541" t="s">
        <v>3831</v>
      </c>
      <c r="B541" s="1">
        <v>41056.931956018518</v>
      </c>
      <c r="C541" s="2" t="s">
        <v>3832</v>
      </c>
      <c r="D541">
        <v>50000</v>
      </c>
      <c r="E541" t="s">
        <v>1954</v>
      </c>
      <c r="F541" s="5">
        <v>78808.913603364199</v>
      </c>
      <c r="G541" s="5">
        <v>74183.976261127595</v>
      </c>
      <c r="H541" s="5">
        <f ca="1">OFFSET(F541,0,Brains!$D$1,1,1)</f>
        <v>74183.976261127595</v>
      </c>
      <c r="I541" t="s">
        <v>3833</v>
      </c>
      <c r="J541" t="s">
        <v>1858</v>
      </c>
      <c r="K541" t="s">
        <v>1956</v>
      </c>
      <c r="L541" t="s">
        <v>1956</v>
      </c>
      <c r="M541" s="7" t="s">
        <v>3941</v>
      </c>
      <c r="N541" t="s">
        <v>1866</v>
      </c>
      <c r="O541" s="7" t="s">
        <v>3921</v>
      </c>
      <c r="P541" s="17" t="str">
        <f t="shared" ca="1" si="16"/>
        <v>50-74.9K</v>
      </c>
      <c r="Q541" s="17">
        <v>8</v>
      </c>
      <c r="R541">
        <v>10</v>
      </c>
      <c r="S541">
        <v>5</v>
      </c>
      <c r="T541">
        <v>2</v>
      </c>
      <c r="U541">
        <v>2</v>
      </c>
      <c r="V541" s="15">
        <f t="shared" ca="1" si="17"/>
        <v>4</v>
      </c>
    </row>
    <row r="542" spans="1:22">
      <c r="A542" t="s">
        <v>3554</v>
      </c>
      <c r="B542" s="1">
        <v>41055.875462962962</v>
      </c>
      <c r="C542" s="2" t="s">
        <v>3555</v>
      </c>
      <c r="D542">
        <v>65000</v>
      </c>
      <c r="E542" t="s">
        <v>1973</v>
      </c>
      <c r="F542" s="5">
        <v>66294.12766617132</v>
      </c>
      <c r="G542" s="5">
        <v>41348.600508905853</v>
      </c>
      <c r="H542" s="5">
        <f ca="1">OFFSET(F542,0,Brains!$D$1,1,1)</f>
        <v>41348.600508905853</v>
      </c>
      <c r="I542" t="s">
        <v>3556</v>
      </c>
      <c r="J542" t="s">
        <v>1858</v>
      </c>
      <c r="K542" t="s">
        <v>1975</v>
      </c>
      <c r="L542" t="s">
        <v>1975</v>
      </c>
      <c r="M542" s="7" t="s">
        <v>3941</v>
      </c>
      <c r="N542" t="s">
        <v>1866</v>
      </c>
      <c r="O542" s="7" t="s">
        <v>3921</v>
      </c>
      <c r="P542" s="17" t="str">
        <f t="shared" ca="1" si="16"/>
        <v>30-49.9K</v>
      </c>
      <c r="Q542" s="17">
        <v>8</v>
      </c>
      <c r="R542">
        <v>10</v>
      </c>
      <c r="S542">
        <v>5</v>
      </c>
      <c r="T542">
        <v>2</v>
      </c>
      <c r="U542">
        <v>2</v>
      </c>
      <c r="V542" s="15">
        <f t="shared" ca="1" si="17"/>
        <v>3</v>
      </c>
    </row>
    <row r="543" spans="1:22">
      <c r="A543" t="s">
        <v>254</v>
      </c>
      <c r="B543" s="1">
        <v>41057.680335648147</v>
      </c>
      <c r="C543" s="2" t="s">
        <v>2071</v>
      </c>
      <c r="D543">
        <v>30000</v>
      </c>
      <c r="E543" t="s">
        <v>1954</v>
      </c>
      <c r="F543" s="5">
        <v>47285.348162018527</v>
      </c>
      <c r="G543" s="5">
        <v>44510.385756676558</v>
      </c>
      <c r="H543" s="5">
        <f ca="1">OFFSET(F543,0,Brains!$D$1,1,1)</f>
        <v>44510.385756676558</v>
      </c>
      <c r="I543" t="s">
        <v>255</v>
      </c>
      <c r="J543" t="s">
        <v>1858</v>
      </c>
      <c r="K543" t="s">
        <v>1956</v>
      </c>
      <c r="L543" t="s">
        <v>1956</v>
      </c>
      <c r="M543" s="7" t="s">
        <v>3941</v>
      </c>
      <c r="N543" t="s">
        <v>1866</v>
      </c>
      <c r="O543" s="7" t="s">
        <v>3921</v>
      </c>
      <c r="P543" s="17" t="str">
        <f t="shared" ca="1" si="16"/>
        <v>30-49.9K</v>
      </c>
      <c r="Q543" s="17">
        <v>8</v>
      </c>
      <c r="R543">
        <v>10</v>
      </c>
      <c r="S543">
        <v>5</v>
      </c>
      <c r="T543">
        <v>2</v>
      </c>
      <c r="U543">
        <v>2</v>
      </c>
      <c r="V543" s="15">
        <f t="shared" ca="1" si="17"/>
        <v>3</v>
      </c>
    </row>
    <row r="544" spans="1:22">
      <c r="A544" t="s">
        <v>137</v>
      </c>
      <c r="B544" s="1">
        <v>41057.559976851851</v>
      </c>
      <c r="C544" s="2">
        <v>55</v>
      </c>
      <c r="D544">
        <v>55000</v>
      </c>
      <c r="E544" t="s">
        <v>3081</v>
      </c>
      <c r="F544" s="5">
        <v>43867.345148271634</v>
      </c>
      <c r="G544" s="5">
        <v>31884.057971014496</v>
      </c>
      <c r="H544" s="5">
        <f ca="1">OFFSET(F544,0,Brains!$D$1,1,1)</f>
        <v>31884.057971014496</v>
      </c>
      <c r="I544" t="s">
        <v>1868</v>
      </c>
      <c r="J544" t="s">
        <v>1858</v>
      </c>
      <c r="K544" t="s">
        <v>3083</v>
      </c>
      <c r="L544" t="s">
        <v>3083</v>
      </c>
      <c r="M544" s="7" t="s">
        <v>3941</v>
      </c>
      <c r="N544" t="s">
        <v>1866</v>
      </c>
      <c r="O544" s="7" t="s">
        <v>3921</v>
      </c>
      <c r="P544" s="17" t="str">
        <f t="shared" ca="1" si="16"/>
        <v>30-49.9K</v>
      </c>
      <c r="Q544" s="17">
        <v>8</v>
      </c>
      <c r="R544">
        <v>10</v>
      </c>
      <c r="S544">
        <v>5</v>
      </c>
      <c r="T544">
        <v>2</v>
      </c>
      <c r="U544">
        <v>2</v>
      </c>
      <c r="V544" s="15">
        <f t="shared" ca="1" si="17"/>
        <v>3</v>
      </c>
    </row>
    <row r="545" spans="1:22">
      <c r="A545" t="s">
        <v>3090</v>
      </c>
      <c r="B545" s="1">
        <v>41055.29247685185</v>
      </c>
      <c r="C545" s="2" t="s">
        <v>3091</v>
      </c>
      <c r="D545">
        <v>21000</v>
      </c>
      <c r="E545" t="s">
        <v>1954</v>
      </c>
      <c r="F545" s="5">
        <v>33099.743713412965</v>
      </c>
      <c r="G545" s="5">
        <v>31157.270029673589</v>
      </c>
      <c r="H545" s="5">
        <f ca="1">OFFSET(F545,0,Brains!$D$1,1,1)</f>
        <v>31157.270029673589</v>
      </c>
      <c r="I545" t="s">
        <v>2022</v>
      </c>
      <c r="J545" t="s">
        <v>1858</v>
      </c>
      <c r="K545" t="s">
        <v>1956</v>
      </c>
      <c r="L545" t="s">
        <v>1956</v>
      </c>
      <c r="M545" s="7" t="s">
        <v>3941</v>
      </c>
      <c r="N545" t="s">
        <v>1866</v>
      </c>
      <c r="O545" s="7" t="s">
        <v>3921</v>
      </c>
      <c r="P545" s="17" t="str">
        <f t="shared" ca="1" si="16"/>
        <v>30-49.9K</v>
      </c>
      <c r="Q545" s="17">
        <v>8</v>
      </c>
      <c r="R545">
        <v>10</v>
      </c>
      <c r="S545">
        <v>5</v>
      </c>
      <c r="T545">
        <v>2</v>
      </c>
      <c r="U545">
        <v>2</v>
      </c>
      <c r="V545" s="15">
        <f t="shared" ca="1" si="17"/>
        <v>3</v>
      </c>
    </row>
    <row r="546" spans="1:22">
      <c r="A546" t="s">
        <v>446</v>
      </c>
      <c r="B546" s="1">
        <v>41057.967719907407</v>
      </c>
      <c r="C546" s="2" t="s">
        <v>447</v>
      </c>
      <c r="D546">
        <v>60000</v>
      </c>
      <c r="E546" t="s">
        <v>448</v>
      </c>
      <c r="F546" s="5">
        <v>18018.883790212141</v>
      </c>
      <c r="G546" s="5">
        <v>30241.935483870966</v>
      </c>
      <c r="H546" s="5">
        <f ca="1">OFFSET(F546,0,Brains!$D$1,1,1)</f>
        <v>30241.935483870966</v>
      </c>
      <c r="I546" t="s">
        <v>2022</v>
      </c>
      <c r="J546" t="s">
        <v>1858</v>
      </c>
      <c r="K546" t="s">
        <v>1959</v>
      </c>
      <c r="L546" t="s">
        <v>1959</v>
      </c>
      <c r="M546" s="7" t="s">
        <v>3941</v>
      </c>
      <c r="N546" t="s">
        <v>1866</v>
      </c>
      <c r="O546" s="7" t="s">
        <v>3921</v>
      </c>
      <c r="P546" s="17" t="str">
        <f t="shared" ca="1" si="16"/>
        <v>30-49.9K</v>
      </c>
      <c r="Q546" s="17">
        <v>8</v>
      </c>
      <c r="R546">
        <v>10</v>
      </c>
      <c r="S546">
        <v>5</v>
      </c>
      <c r="T546">
        <v>2</v>
      </c>
      <c r="U546">
        <v>2</v>
      </c>
      <c r="V546" s="15">
        <f t="shared" ca="1" si="17"/>
        <v>3</v>
      </c>
    </row>
    <row r="547" spans="1:22">
      <c r="A547" t="s">
        <v>1164</v>
      </c>
      <c r="B547" s="1">
        <v>41060.842673611114</v>
      </c>
      <c r="C547" s="2">
        <v>1000000</v>
      </c>
      <c r="D547">
        <v>1000000</v>
      </c>
      <c r="E547" t="s">
        <v>1908</v>
      </c>
      <c r="F547" s="5">
        <v>17807.916687442568</v>
      </c>
      <c r="G547" s="5">
        <v>49795.837068021116</v>
      </c>
      <c r="H547" s="5">
        <f ca="1">OFFSET(F547,0,Brains!$D$1,1,1)</f>
        <v>49795.837068021116</v>
      </c>
      <c r="I547" t="s">
        <v>2693</v>
      </c>
      <c r="J547" t="s">
        <v>1858</v>
      </c>
      <c r="K547" t="s">
        <v>1859</v>
      </c>
      <c r="L547" t="s">
        <v>1859</v>
      </c>
      <c r="M547" s="7" t="s">
        <v>3941</v>
      </c>
      <c r="N547" t="s">
        <v>1866</v>
      </c>
      <c r="O547" s="7" t="s">
        <v>3921</v>
      </c>
      <c r="P547" s="17" t="str">
        <f t="shared" ca="1" si="16"/>
        <v>30-49.9K</v>
      </c>
      <c r="Q547" s="17">
        <v>8</v>
      </c>
      <c r="R547">
        <v>10</v>
      </c>
      <c r="S547">
        <v>5</v>
      </c>
      <c r="T547">
        <v>2</v>
      </c>
      <c r="U547">
        <v>2</v>
      </c>
      <c r="V547" s="15">
        <f t="shared" ca="1" si="17"/>
        <v>3</v>
      </c>
    </row>
    <row r="548" spans="1:22">
      <c r="A548" t="s">
        <v>1730</v>
      </c>
      <c r="B548" s="1">
        <v>41075.897407407407</v>
      </c>
      <c r="C548" s="2" t="s">
        <v>1731</v>
      </c>
      <c r="D548">
        <v>16110</v>
      </c>
      <c r="E548" t="s">
        <v>1856</v>
      </c>
      <c r="F548" s="5">
        <v>16110</v>
      </c>
      <c r="G548" s="5">
        <v>16110</v>
      </c>
      <c r="H548" s="5">
        <f ca="1">OFFSET(F548,0,Brains!$D$1,1,1)</f>
        <v>16110</v>
      </c>
      <c r="I548" t="s">
        <v>1732</v>
      </c>
      <c r="J548" t="s">
        <v>1858</v>
      </c>
      <c r="K548" t="s">
        <v>1733</v>
      </c>
      <c r="L548" t="s">
        <v>2152</v>
      </c>
      <c r="M548" s="7" t="s">
        <v>3941</v>
      </c>
      <c r="N548" t="s">
        <v>1866</v>
      </c>
      <c r="O548" s="7" t="s">
        <v>3921</v>
      </c>
      <c r="P548" s="17" t="str">
        <f t="shared" ca="1" si="16"/>
        <v>15-29.9K</v>
      </c>
      <c r="Q548" s="17">
        <v>8</v>
      </c>
      <c r="R548">
        <v>10</v>
      </c>
      <c r="S548">
        <v>5</v>
      </c>
      <c r="T548">
        <v>2</v>
      </c>
      <c r="U548">
        <v>2</v>
      </c>
      <c r="V548" s="15">
        <f t="shared" ca="1" si="17"/>
        <v>2</v>
      </c>
    </row>
    <row r="549" spans="1:22">
      <c r="A549" t="s">
        <v>214</v>
      </c>
      <c r="B549" s="1">
        <v>41057.648182870369</v>
      </c>
      <c r="C549" s="2">
        <v>600</v>
      </c>
      <c r="D549">
        <v>7200</v>
      </c>
      <c r="E549" t="s">
        <v>1856</v>
      </c>
      <c r="F549" s="5">
        <v>7200</v>
      </c>
      <c r="G549" s="5">
        <v>7200</v>
      </c>
      <c r="H549" s="5">
        <f ca="1">OFFSET(F549,0,Brains!$D$1,1,1)</f>
        <v>7200</v>
      </c>
      <c r="I549" t="s">
        <v>215</v>
      </c>
      <c r="J549" t="s">
        <v>1858</v>
      </c>
      <c r="K549" t="s">
        <v>1859</v>
      </c>
      <c r="L549" t="s">
        <v>1859</v>
      </c>
      <c r="M549" s="7" t="s">
        <v>3941</v>
      </c>
      <c r="N549" t="s">
        <v>1866</v>
      </c>
      <c r="O549" s="7" t="s">
        <v>3921</v>
      </c>
      <c r="P549" s="17" t="str">
        <f t="shared" ca="1" si="16"/>
        <v>0-14.9K</v>
      </c>
      <c r="Q549" s="17">
        <v>8</v>
      </c>
      <c r="R549">
        <v>10</v>
      </c>
      <c r="S549">
        <v>5</v>
      </c>
      <c r="T549">
        <v>2</v>
      </c>
      <c r="U549">
        <v>2</v>
      </c>
      <c r="V549" s="15">
        <f t="shared" ca="1" si="17"/>
        <v>1</v>
      </c>
    </row>
    <row r="550" spans="1:22">
      <c r="A550" t="s">
        <v>520</v>
      </c>
      <c r="B550" s="1">
        <v>41058.070138888892</v>
      </c>
      <c r="C550" s="2">
        <v>80000</v>
      </c>
      <c r="D550">
        <v>80000</v>
      </c>
      <c r="E550" t="s">
        <v>1856</v>
      </c>
      <c r="F550" s="5">
        <v>80000</v>
      </c>
      <c r="G550" s="5">
        <v>80000</v>
      </c>
      <c r="H550" s="5">
        <f ca="1">OFFSET(F550,0,Brains!$D$1,1,1)</f>
        <v>80000</v>
      </c>
      <c r="I550" t="s">
        <v>521</v>
      </c>
      <c r="J550" t="s">
        <v>1858</v>
      </c>
      <c r="K550" t="s">
        <v>2344</v>
      </c>
      <c r="L550" t="s">
        <v>2344</v>
      </c>
      <c r="M550" s="11" t="s">
        <v>3916</v>
      </c>
      <c r="N550" t="s">
        <v>1884</v>
      </c>
      <c r="O550" s="7" t="s">
        <v>3921</v>
      </c>
      <c r="P550" s="17" t="str">
        <f t="shared" ca="1" si="16"/>
        <v>75-99.9K</v>
      </c>
      <c r="Q550" s="17">
        <v>1.5</v>
      </c>
      <c r="R550">
        <v>6</v>
      </c>
      <c r="S550">
        <v>2</v>
      </c>
      <c r="T550">
        <v>2</v>
      </c>
      <c r="U550">
        <v>2</v>
      </c>
      <c r="V550" s="15">
        <f t="shared" ca="1" si="17"/>
        <v>5</v>
      </c>
    </row>
    <row r="551" spans="1:22">
      <c r="A551" t="s">
        <v>585</v>
      </c>
      <c r="B551" s="1">
        <v>41058.324259259258</v>
      </c>
      <c r="C551" s="2">
        <v>70000</v>
      </c>
      <c r="D551">
        <v>70000</v>
      </c>
      <c r="E551" t="s">
        <v>1856</v>
      </c>
      <c r="F551" s="5">
        <v>70000</v>
      </c>
      <c r="G551" s="5">
        <v>70000</v>
      </c>
      <c r="H551" s="5">
        <f ca="1">OFFSET(F551,0,Brains!$D$1,1,1)</f>
        <v>70000</v>
      </c>
      <c r="I551" t="s">
        <v>586</v>
      </c>
      <c r="J551" t="s">
        <v>1858</v>
      </c>
      <c r="K551" t="s">
        <v>1869</v>
      </c>
      <c r="L551" t="s">
        <v>1869</v>
      </c>
      <c r="M551" s="11" t="s">
        <v>3916</v>
      </c>
      <c r="N551" t="s">
        <v>1884</v>
      </c>
      <c r="O551" s="7" t="s">
        <v>3921</v>
      </c>
      <c r="P551" s="17" t="str">
        <f t="shared" ca="1" si="16"/>
        <v>50-74.9K</v>
      </c>
      <c r="Q551" s="17">
        <v>1.5</v>
      </c>
      <c r="R551">
        <v>6</v>
      </c>
      <c r="S551">
        <v>2</v>
      </c>
      <c r="T551">
        <v>2</v>
      </c>
      <c r="U551">
        <v>2</v>
      </c>
      <c r="V551" s="15">
        <f t="shared" ca="1" si="17"/>
        <v>4</v>
      </c>
    </row>
    <row r="552" spans="1:22">
      <c r="A552" t="s">
        <v>415</v>
      </c>
      <c r="B552" s="1">
        <v>41057.950370370374</v>
      </c>
      <c r="C552" s="2" t="s">
        <v>416</v>
      </c>
      <c r="D552">
        <v>200000</v>
      </c>
      <c r="E552" t="s">
        <v>1908</v>
      </c>
      <c r="F552" s="5">
        <v>3561.5833374885137</v>
      </c>
      <c r="G552" s="5">
        <v>9959.167413604222</v>
      </c>
      <c r="H552" s="5">
        <f ca="1">OFFSET(F552,0,Brains!$D$1,1,1)</f>
        <v>9959.167413604222</v>
      </c>
      <c r="I552" t="s">
        <v>2972</v>
      </c>
      <c r="J552" t="s">
        <v>1858</v>
      </c>
      <c r="K552" t="s">
        <v>1859</v>
      </c>
      <c r="L552" t="s">
        <v>1859</v>
      </c>
      <c r="M552" s="11" t="s">
        <v>3916</v>
      </c>
      <c r="N552" t="s">
        <v>1884</v>
      </c>
      <c r="O552" s="7" t="s">
        <v>3921</v>
      </c>
      <c r="P552" s="17" t="str">
        <f t="shared" ca="1" si="16"/>
        <v>0-14.9K</v>
      </c>
      <c r="Q552" s="17">
        <v>1.5</v>
      </c>
      <c r="R552">
        <v>6</v>
      </c>
      <c r="S552">
        <v>2</v>
      </c>
      <c r="T552">
        <v>2</v>
      </c>
      <c r="U552">
        <v>2</v>
      </c>
      <c r="V552" s="15">
        <f t="shared" ca="1" si="17"/>
        <v>1</v>
      </c>
    </row>
    <row r="553" spans="1:22">
      <c r="A553" t="s">
        <v>1323</v>
      </c>
      <c r="B553" s="1">
        <v>41063.196458333332</v>
      </c>
      <c r="C553" s="2">
        <v>106000</v>
      </c>
      <c r="D553">
        <v>106000</v>
      </c>
      <c r="E553" t="s">
        <v>1856</v>
      </c>
      <c r="F553" s="5">
        <v>106000</v>
      </c>
      <c r="G553" s="5">
        <v>106000</v>
      </c>
      <c r="H553" s="5">
        <f ca="1">OFFSET(F553,0,Brains!$D$1,1,1)</f>
        <v>106000</v>
      </c>
      <c r="I553" t="s">
        <v>1324</v>
      </c>
      <c r="J553" t="s">
        <v>1858</v>
      </c>
      <c r="K553" t="s">
        <v>3478</v>
      </c>
      <c r="L553" t="s">
        <v>3478</v>
      </c>
      <c r="M553" s="11" t="s">
        <v>3916</v>
      </c>
      <c r="N553" t="s">
        <v>1884</v>
      </c>
      <c r="O553" s="7" t="s">
        <v>3921</v>
      </c>
      <c r="P553" s="17" t="str">
        <f t="shared" ca="1" si="16"/>
        <v>100-149.9K</v>
      </c>
      <c r="Q553" s="17">
        <v>1.5</v>
      </c>
      <c r="R553">
        <v>7</v>
      </c>
      <c r="S553">
        <v>2</v>
      </c>
      <c r="T553">
        <v>2</v>
      </c>
      <c r="U553">
        <v>2</v>
      </c>
      <c r="V553" s="15">
        <f t="shared" ca="1" si="17"/>
        <v>6</v>
      </c>
    </row>
    <row r="554" spans="1:22">
      <c r="A554" t="s">
        <v>3815</v>
      </c>
      <c r="B554" s="1">
        <v>41056.846412037034</v>
      </c>
      <c r="C554" s="2" t="s">
        <v>3491</v>
      </c>
      <c r="D554">
        <v>95000</v>
      </c>
      <c r="E554" t="s">
        <v>1973</v>
      </c>
      <c r="F554" s="5">
        <v>96891.417358250401</v>
      </c>
      <c r="G554" s="5">
        <v>60432.56997455471</v>
      </c>
      <c r="H554" s="5">
        <f ca="1">OFFSET(F554,0,Brains!$D$1,1,1)</f>
        <v>60432.56997455471</v>
      </c>
      <c r="I554" t="s">
        <v>3816</v>
      </c>
      <c r="J554" t="s">
        <v>1858</v>
      </c>
      <c r="K554" t="s">
        <v>1975</v>
      </c>
      <c r="L554" t="s">
        <v>1975</v>
      </c>
      <c r="M554" s="11" t="s">
        <v>3916</v>
      </c>
      <c r="N554" t="s">
        <v>1884</v>
      </c>
      <c r="O554" s="7" t="s">
        <v>3921</v>
      </c>
      <c r="P554" s="17" t="str">
        <f t="shared" ca="1" si="16"/>
        <v>50-74.9K</v>
      </c>
      <c r="Q554" s="17">
        <v>1.5</v>
      </c>
      <c r="R554">
        <v>7</v>
      </c>
      <c r="S554">
        <v>2</v>
      </c>
      <c r="T554">
        <v>2</v>
      </c>
      <c r="U554">
        <v>2</v>
      </c>
      <c r="V554" s="15">
        <f t="shared" ca="1" si="17"/>
        <v>4</v>
      </c>
    </row>
    <row r="555" spans="1:22">
      <c r="A555" t="s">
        <v>571</v>
      </c>
      <c r="B555" s="1">
        <v>41058.223368055558</v>
      </c>
      <c r="C555" s="2">
        <v>55000</v>
      </c>
      <c r="D555">
        <v>55000</v>
      </c>
      <c r="E555" t="s">
        <v>1856</v>
      </c>
      <c r="F555" s="5">
        <v>55000</v>
      </c>
      <c r="G555" s="5">
        <v>55000</v>
      </c>
      <c r="H555" s="5">
        <f ca="1">OFFSET(F555,0,Brains!$D$1,1,1)</f>
        <v>55000</v>
      </c>
      <c r="I555" t="s">
        <v>271</v>
      </c>
      <c r="J555" t="s">
        <v>1858</v>
      </c>
      <c r="K555" t="s">
        <v>1869</v>
      </c>
      <c r="L555" t="s">
        <v>1869</v>
      </c>
      <c r="M555" s="11" t="s">
        <v>3916</v>
      </c>
      <c r="N555" t="s">
        <v>1884</v>
      </c>
      <c r="O555" s="7" t="s">
        <v>3921</v>
      </c>
      <c r="P555" s="17" t="str">
        <f t="shared" ca="1" si="16"/>
        <v>50-74.9K</v>
      </c>
      <c r="Q555" s="17">
        <v>1.5</v>
      </c>
      <c r="R555">
        <v>7</v>
      </c>
      <c r="S555">
        <v>2</v>
      </c>
      <c r="T555">
        <v>2</v>
      </c>
      <c r="U555">
        <v>2</v>
      </c>
      <c r="V555" s="15">
        <f t="shared" ca="1" si="17"/>
        <v>4</v>
      </c>
    </row>
    <row r="556" spans="1:22">
      <c r="A556" t="s">
        <v>3065</v>
      </c>
      <c r="B556" s="1">
        <v>41055.25582175926</v>
      </c>
      <c r="C556" s="2">
        <v>35000</v>
      </c>
      <c r="D556">
        <v>35000</v>
      </c>
      <c r="E556" t="s">
        <v>1856</v>
      </c>
      <c r="F556" s="5">
        <v>35000</v>
      </c>
      <c r="G556" s="5">
        <v>35000</v>
      </c>
      <c r="H556" s="5">
        <f ca="1">OFFSET(F556,0,Brains!$D$1,1,1)</f>
        <v>35000</v>
      </c>
      <c r="I556" t="s">
        <v>3066</v>
      </c>
      <c r="J556" t="s">
        <v>1858</v>
      </c>
      <c r="K556" t="s">
        <v>1869</v>
      </c>
      <c r="L556" t="s">
        <v>1869</v>
      </c>
      <c r="M556" s="11" t="s">
        <v>3916</v>
      </c>
      <c r="N556" t="s">
        <v>1884</v>
      </c>
      <c r="O556" s="7" t="s">
        <v>3921</v>
      </c>
      <c r="P556" s="17" t="str">
        <f t="shared" ca="1" si="16"/>
        <v>30-49.9K</v>
      </c>
      <c r="Q556" s="17">
        <v>1.5</v>
      </c>
      <c r="R556">
        <v>7</v>
      </c>
      <c r="S556">
        <v>2</v>
      </c>
      <c r="T556">
        <v>2</v>
      </c>
      <c r="U556">
        <v>2</v>
      </c>
      <c r="V556" s="15">
        <f t="shared" ca="1" si="17"/>
        <v>3</v>
      </c>
    </row>
    <row r="557" spans="1:22">
      <c r="A557" t="s">
        <v>3557</v>
      </c>
      <c r="B557" s="1">
        <v>41055.878877314812</v>
      </c>
      <c r="C557" s="2" t="s">
        <v>3558</v>
      </c>
      <c r="D557">
        <v>377000</v>
      </c>
      <c r="E557" t="s">
        <v>1908</v>
      </c>
      <c r="F557" s="5">
        <v>6713.584591165848</v>
      </c>
      <c r="G557" s="5">
        <v>18773.030574643959</v>
      </c>
      <c r="H557" s="5">
        <f ca="1">OFFSET(F557,0,Brains!$D$1,1,1)</f>
        <v>18773.030574643959</v>
      </c>
      <c r="I557" t="s">
        <v>3559</v>
      </c>
      <c r="J557" t="s">
        <v>1858</v>
      </c>
      <c r="K557" t="s">
        <v>1859</v>
      </c>
      <c r="L557" t="s">
        <v>1859</v>
      </c>
      <c r="M557" s="11" t="s">
        <v>3916</v>
      </c>
      <c r="N557" t="s">
        <v>1884</v>
      </c>
      <c r="O557" s="7" t="s">
        <v>3921</v>
      </c>
      <c r="P557" s="17" t="str">
        <f t="shared" ca="1" si="16"/>
        <v>15-29.9K</v>
      </c>
      <c r="Q557" s="17">
        <v>1.5</v>
      </c>
      <c r="R557">
        <v>7</v>
      </c>
      <c r="S557">
        <v>2</v>
      </c>
      <c r="T557">
        <v>2</v>
      </c>
      <c r="U557">
        <v>2</v>
      </c>
      <c r="V557" s="15">
        <f t="shared" ca="1" si="17"/>
        <v>2</v>
      </c>
    </row>
    <row r="558" spans="1:22">
      <c r="A558" t="s">
        <v>3694</v>
      </c>
      <c r="B558" s="1">
        <v>41056.194826388892</v>
      </c>
      <c r="C558" s="2">
        <v>65000</v>
      </c>
      <c r="D558">
        <v>65000</v>
      </c>
      <c r="E558" t="s">
        <v>1856</v>
      </c>
      <c r="F558" s="5">
        <v>65000</v>
      </c>
      <c r="G558" s="5">
        <v>65000</v>
      </c>
      <c r="H558" s="5">
        <f ca="1">OFFSET(F558,0,Brains!$D$1,1,1)</f>
        <v>65000</v>
      </c>
      <c r="I558" t="s">
        <v>3695</v>
      </c>
      <c r="J558" t="s">
        <v>1858</v>
      </c>
      <c r="K558" t="s">
        <v>1869</v>
      </c>
      <c r="L558" t="s">
        <v>1869</v>
      </c>
      <c r="M558" s="11" t="s">
        <v>3916</v>
      </c>
      <c r="N558" t="s">
        <v>1884</v>
      </c>
      <c r="O558" s="7" t="s">
        <v>3921</v>
      </c>
      <c r="P558" s="17" t="str">
        <f t="shared" ca="1" si="16"/>
        <v>50-74.9K</v>
      </c>
      <c r="Q558" s="17">
        <v>1.5</v>
      </c>
      <c r="R558">
        <v>8</v>
      </c>
      <c r="S558">
        <v>2</v>
      </c>
      <c r="T558">
        <v>2</v>
      </c>
      <c r="U558">
        <v>2</v>
      </c>
      <c r="V558" s="15">
        <f t="shared" ca="1" si="17"/>
        <v>4</v>
      </c>
    </row>
    <row r="559" spans="1:22">
      <c r="A559" t="s">
        <v>797</v>
      </c>
      <c r="B559" s="1">
        <v>41058.797650462962</v>
      </c>
      <c r="C559" s="2">
        <v>110000</v>
      </c>
      <c r="D559">
        <v>110000</v>
      </c>
      <c r="E559" t="s">
        <v>1856</v>
      </c>
      <c r="F559" s="5">
        <v>110000</v>
      </c>
      <c r="G559" s="5">
        <v>110000</v>
      </c>
      <c r="H559" s="5">
        <f ca="1">OFFSET(F559,0,Brains!$D$1,1,1)</f>
        <v>110000</v>
      </c>
      <c r="I559" t="s">
        <v>798</v>
      </c>
      <c r="J559" t="s">
        <v>1858</v>
      </c>
      <c r="K559" t="s">
        <v>1869</v>
      </c>
      <c r="L559" t="s">
        <v>1869</v>
      </c>
      <c r="M559" s="11" t="s">
        <v>3916</v>
      </c>
      <c r="N559" t="s">
        <v>1884</v>
      </c>
      <c r="O559" s="7" t="s">
        <v>3921</v>
      </c>
      <c r="P559" s="17" t="str">
        <f t="shared" ca="1" si="16"/>
        <v>100-149.9K</v>
      </c>
      <c r="Q559" s="17">
        <v>1.5</v>
      </c>
      <c r="R559">
        <v>10</v>
      </c>
      <c r="S559">
        <v>2</v>
      </c>
      <c r="T559">
        <v>2</v>
      </c>
      <c r="U559">
        <v>2</v>
      </c>
      <c r="V559" s="15">
        <f t="shared" ca="1" si="17"/>
        <v>6</v>
      </c>
    </row>
    <row r="560" spans="1:22">
      <c r="A560" t="s">
        <v>203</v>
      </c>
      <c r="B560" s="1">
        <v>41057.636342592596</v>
      </c>
      <c r="C560" s="2" t="s">
        <v>204</v>
      </c>
      <c r="D560">
        <v>438000</v>
      </c>
      <c r="E560" t="s">
        <v>1908</v>
      </c>
      <c r="F560" s="5">
        <v>7799.8675090998449</v>
      </c>
      <c r="G560" s="5">
        <v>21810.576635793248</v>
      </c>
      <c r="H560" s="5">
        <f ca="1">OFFSET(F560,0,Brains!$D$1,1,1)</f>
        <v>21810.576635793248</v>
      </c>
      <c r="I560" t="s">
        <v>205</v>
      </c>
      <c r="J560" t="s">
        <v>1858</v>
      </c>
      <c r="K560" t="s">
        <v>1859</v>
      </c>
      <c r="L560" t="s">
        <v>1859</v>
      </c>
      <c r="M560" s="11" t="s">
        <v>3916</v>
      </c>
      <c r="N560" t="s">
        <v>1884</v>
      </c>
      <c r="O560" s="7" t="s">
        <v>3921</v>
      </c>
      <c r="P560" s="17" t="str">
        <f t="shared" ca="1" si="16"/>
        <v>15-29.9K</v>
      </c>
      <c r="Q560" s="17">
        <v>1.5</v>
      </c>
      <c r="R560">
        <v>10</v>
      </c>
      <c r="S560">
        <v>2</v>
      </c>
      <c r="T560">
        <v>2</v>
      </c>
      <c r="U560">
        <v>2</v>
      </c>
      <c r="V560" s="15">
        <f t="shared" ca="1" si="17"/>
        <v>2</v>
      </c>
    </row>
    <row r="561" spans="1:22">
      <c r="A561" t="s">
        <v>3648</v>
      </c>
      <c r="B561" s="1">
        <v>41056.005462962959</v>
      </c>
      <c r="C561" s="2">
        <v>6000</v>
      </c>
      <c r="D561">
        <v>6000</v>
      </c>
      <c r="E561" t="s">
        <v>1856</v>
      </c>
      <c r="F561" s="5">
        <v>6000</v>
      </c>
      <c r="G561" s="5">
        <v>6000</v>
      </c>
      <c r="H561" s="5">
        <f ca="1">OFFSET(F561,0,Brains!$D$1,1,1)</f>
        <v>6000</v>
      </c>
      <c r="I561" t="s">
        <v>3649</v>
      </c>
      <c r="J561" t="s">
        <v>1858</v>
      </c>
      <c r="K561" t="s">
        <v>3650</v>
      </c>
      <c r="L561" t="s">
        <v>2152</v>
      </c>
      <c r="M561" s="11" t="s">
        <v>3916</v>
      </c>
      <c r="N561" t="s">
        <v>1884</v>
      </c>
      <c r="O561" s="7" t="s">
        <v>3921</v>
      </c>
      <c r="P561" s="17" t="str">
        <f t="shared" ca="1" si="16"/>
        <v>0-14.9K</v>
      </c>
      <c r="Q561" s="17">
        <v>1.5</v>
      </c>
      <c r="R561">
        <v>10</v>
      </c>
      <c r="S561">
        <v>2</v>
      </c>
      <c r="T561">
        <v>2</v>
      </c>
      <c r="U561">
        <v>2</v>
      </c>
      <c r="V561" s="15">
        <f t="shared" ca="1" si="17"/>
        <v>1</v>
      </c>
    </row>
    <row r="562" spans="1:22">
      <c r="A562" t="s">
        <v>3727</v>
      </c>
      <c r="B562" s="1">
        <v>41056.52447916667</v>
      </c>
      <c r="C562" s="2" t="s">
        <v>3728</v>
      </c>
      <c r="D562">
        <v>300000</v>
      </c>
      <c r="E562" t="s">
        <v>1908</v>
      </c>
      <c r="F562" s="5">
        <v>5342.3750062327708</v>
      </c>
      <c r="G562" s="5">
        <v>14938.751120406334</v>
      </c>
      <c r="H562" s="5">
        <f ca="1">OFFSET(F562,0,Brains!$D$1,1,1)</f>
        <v>14938.751120406334</v>
      </c>
      <c r="I562" t="s">
        <v>3729</v>
      </c>
      <c r="J562" t="s">
        <v>1858</v>
      </c>
      <c r="K562" t="s">
        <v>1859</v>
      </c>
      <c r="L562" t="s">
        <v>1859</v>
      </c>
      <c r="M562" s="11" t="s">
        <v>3916</v>
      </c>
      <c r="N562" t="s">
        <v>1884</v>
      </c>
      <c r="O562" s="7" t="s">
        <v>3921</v>
      </c>
      <c r="P562" s="17" t="str">
        <f t="shared" ca="1" si="16"/>
        <v>0-14.9K</v>
      </c>
      <c r="Q562" s="17">
        <v>1.5</v>
      </c>
      <c r="R562">
        <v>10</v>
      </c>
      <c r="S562">
        <v>2</v>
      </c>
      <c r="T562">
        <v>2</v>
      </c>
      <c r="U562">
        <v>2</v>
      </c>
      <c r="V562" s="15">
        <f t="shared" ca="1" si="17"/>
        <v>1</v>
      </c>
    </row>
    <row r="563" spans="1:22">
      <c r="A563" t="s">
        <v>3784</v>
      </c>
      <c r="B563" s="1">
        <v>41056.655636574076</v>
      </c>
      <c r="C563" s="2">
        <v>75010</v>
      </c>
      <c r="D563">
        <v>75010</v>
      </c>
      <c r="E563" t="s">
        <v>1856</v>
      </c>
      <c r="F563" s="5">
        <v>75010</v>
      </c>
      <c r="G563" s="5">
        <v>75010</v>
      </c>
      <c r="H563" s="5">
        <f ca="1">OFFSET(F563,0,Brains!$D$1,1,1)</f>
        <v>75010</v>
      </c>
      <c r="I563" t="s">
        <v>2680</v>
      </c>
      <c r="J563" t="s">
        <v>1858</v>
      </c>
      <c r="K563" t="s">
        <v>1869</v>
      </c>
      <c r="L563" t="s">
        <v>1869</v>
      </c>
      <c r="M563" s="11" t="s">
        <v>3917</v>
      </c>
      <c r="N563" t="s">
        <v>1873</v>
      </c>
      <c r="O563" s="7" t="s">
        <v>3921</v>
      </c>
      <c r="P563" s="17" t="str">
        <f t="shared" ca="1" si="16"/>
        <v>75-99.9K</v>
      </c>
      <c r="Q563" s="17">
        <v>2.5</v>
      </c>
      <c r="R563">
        <v>6</v>
      </c>
      <c r="S563">
        <v>3</v>
      </c>
      <c r="T563">
        <v>2</v>
      </c>
      <c r="U563">
        <v>2</v>
      </c>
      <c r="V563" s="15">
        <f t="shared" ca="1" si="17"/>
        <v>5</v>
      </c>
    </row>
    <row r="564" spans="1:22">
      <c r="A564" t="s">
        <v>270</v>
      </c>
      <c r="B564" s="1">
        <v>41057.698287037034</v>
      </c>
      <c r="C564" s="2" t="s">
        <v>1953</v>
      </c>
      <c r="D564">
        <v>35000</v>
      </c>
      <c r="E564" t="s">
        <v>1954</v>
      </c>
      <c r="F564" s="5">
        <v>55166.239522354947</v>
      </c>
      <c r="G564" s="5">
        <v>51928.783382789312</v>
      </c>
      <c r="H564" s="5">
        <f ca="1">OFFSET(F564,0,Brains!$D$1,1,1)</f>
        <v>51928.783382789312</v>
      </c>
      <c r="I564" t="s">
        <v>271</v>
      </c>
      <c r="J564" t="s">
        <v>1858</v>
      </c>
      <c r="K564" t="s">
        <v>1956</v>
      </c>
      <c r="L564" t="s">
        <v>1956</v>
      </c>
      <c r="M564" s="11" t="s">
        <v>3917</v>
      </c>
      <c r="N564" t="s">
        <v>1873</v>
      </c>
      <c r="O564" s="7" t="s">
        <v>3921</v>
      </c>
      <c r="P564" s="17" t="str">
        <f t="shared" ca="1" si="16"/>
        <v>50-74.9K</v>
      </c>
      <c r="Q564" s="17">
        <v>2.5</v>
      </c>
      <c r="R564">
        <v>6</v>
      </c>
      <c r="S564">
        <v>3</v>
      </c>
      <c r="T564">
        <v>2</v>
      </c>
      <c r="U564">
        <v>2</v>
      </c>
      <c r="V564" s="15">
        <f t="shared" ca="1" si="17"/>
        <v>4</v>
      </c>
    </row>
    <row r="565" spans="1:22">
      <c r="A565" t="s">
        <v>910</v>
      </c>
      <c r="B565" s="1">
        <v>41059.029745370368</v>
      </c>
      <c r="C565" s="2">
        <v>40000</v>
      </c>
      <c r="D565">
        <v>40000</v>
      </c>
      <c r="E565" t="s">
        <v>1856</v>
      </c>
      <c r="F565" s="5">
        <v>40000</v>
      </c>
      <c r="G565" s="5">
        <v>40000</v>
      </c>
      <c r="H565" s="5">
        <f ca="1">OFFSET(F565,0,Brains!$D$1,1,1)</f>
        <v>40000</v>
      </c>
      <c r="I565" t="s">
        <v>2983</v>
      </c>
      <c r="J565" t="s">
        <v>1858</v>
      </c>
      <c r="K565" t="s">
        <v>1869</v>
      </c>
      <c r="L565" t="s">
        <v>1869</v>
      </c>
      <c r="M565" s="11" t="s">
        <v>3917</v>
      </c>
      <c r="N565" t="s">
        <v>1873</v>
      </c>
      <c r="O565" s="7" t="s">
        <v>3921</v>
      </c>
      <c r="P565" s="17" t="str">
        <f t="shared" ca="1" si="16"/>
        <v>30-49.9K</v>
      </c>
      <c r="Q565" s="17">
        <v>2.5</v>
      </c>
      <c r="R565">
        <v>6</v>
      </c>
      <c r="S565">
        <v>3</v>
      </c>
      <c r="T565">
        <v>2</v>
      </c>
      <c r="U565">
        <v>2</v>
      </c>
      <c r="V565" s="15">
        <f t="shared" ca="1" si="17"/>
        <v>3</v>
      </c>
    </row>
    <row r="566" spans="1:22">
      <c r="A566" t="s">
        <v>343</v>
      </c>
      <c r="B566" s="1">
        <v>41057.809074074074</v>
      </c>
      <c r="C566" s="2" t="s">
        <v>344</v>
      </c>
      <c r="D566">
        <v>853000</v>
      </c>
      <c r="E566" t="s">
        <v>1908</v>
      </c>
      <c r="F566" s="5">
        <v>15190.15293438851</v>
      </c>
      <c r="G566" s="5">
        <v>42475.849019022011</v>
      </c>
      <c r="H566" s="5">
        <f ca="1">OFFSET(F566,0,Brains!$D$1,1,1)</f>
        <v>42475.849019022011</v>
      </c>
      <c r="I566" t="s">
        <v>345</v>
      </c>
      <c r="J566" t="s">
        <v>1858</v>
      </c>
      <c r="K566" t="s">
        <v>1859</v>
      </c>
      <c r="L566" t="s">
        <v>1859</v>
      </c>
      <c r="M566" s="11" t="s">
        <v>3917</v>
      </c>
      <c r="N566" t="s">
        <v>1873</v>
      </c>
      <c r="O566" s="7" t="s">
        <v>3921</v>
      </c>
      <c r="P566" s="17" t="str">
        <f t="shared" ca="1" si="16"/>
        <v>30-49.9K</v>
      </c>
      <c r="Q566" s="17">
        <v>2.5</v>
      </c>
      <c r="R566">
        <v>6</v>
      </c>
      <c r="S566">
        <v>3</v>
      </c>
      <c r="T566">
        <v>2</v>
      </c>
      <c r="U566">
        <v>2</v>
      </c>
      <c r="V566" s="15">
        <f t="shared" ca="1" si="17"/>
        <v>3</v>
      </c>
    </row>
    <row r="567" spans="1:22">
      <c r="A567" t="s">
        <v>3461</v>
      </c>
      <c r="B567" s="1">
        <v>41055.701921296299</v>
      </c>
      <c r="C567" s="2">
        <v>8000</v>
      </c>
      <c r="D567">
        <v>8000</v>
      </c>
      <c r="E567" t="s">
        <v>1856</v>
      </c>
      <c r="F567" s="5">
        <v>8000</v>
      </c>
      <c r="G567" s="5">
        <v>8000</v>
      </c>
      <c r="H567" s="5">
        <f ca="1">OFFSET(F567,0,Brains!$D$1,1,1)</f>
        <v>8000</v>
      </c>
      <c r="I567" t="s">
        <v>2195</v>
      </c>
      <c r="J567" t="s">
        <v>1858</v>
      </c>
      <c r="K567" t="s">
        <v>1859</v>
      </c>
      <c r="L567" t="s">
        <v>1859</v>
      </c>
      <c r="M567" s="11" t="s">
        <v>3917</v>
      </c>
      <c r="N567" t="s">
        <v>1873</v>
      </c>
      <c r="O567" s="7" t="s">
        <v>3921</v>
      </c>
      <c r="P567" s="17" t="str">
        <f t="shared" ca="1" si="16"/>
        <v>0-14.9K</v>
      </c>
      <c r="Q567" s="17">
        <v>2.5</v>
      </c>
      <c r="R567">
        <v>6</v>
      </c>
      <c r="S567">
        <v>3</v>
      </c>
      <c r="T567">
        <v>2</v>
      </c>
      <c r="U567">
        <v>2</v>
      </c>
      <c r="V567" s="15">
        <f t="shared" ca="1" si="17"/>
        <v>1</v>
      </c>
    </row>
    <row r="568" spans="1:22">
      <c r="A568" t="s">
        <v>1136</v>
      </c>
      <c r="B568" s="1">
        <v>41060.673935185187</v>
      </c>
      <c r="C568" s="2" t="s">
        <v>1137</v>
      </c>
      <c r="D568">
        <v>380000</v>
      </c>
      <c r="E568" t="s">
        <v>1908</v>
      </c>
      <c r="F568" s="5">
        <v>6767.0083412281756</v>
      </c>
      <c r="G568" s="5">
        <v>18922.418085848021</v>
      </c>
      <c r="H568" s="5">
        <f ca="1">OFFSET(F568,0,Brains!$D$1,1,1)</f>
        <v>18922.418085848021</v>
      </c>
      <c r="I568" t="s">
        <v>1138</v>
      </c>
      <c r="J568" t="s">
        <v>1858</v>
      </c>
      <c r="K568" t="s">
        <v>1859</v>
      </c>
      <c r="L568" t="s">
        <v>1859</v>
      </c>
      <c r="M568" s="11" t="s">
        <v>3917</v>
      </c>
      <c r="N568" t="s">
        <v>1873</v>
      </c>
      <c r="O568" s="7" t="s">
        <v>3921</v>
      </c>
      <c r="P568" s="17" t="str">
        <f t="shared" ca="1" si="16"/>
        <v>15-29.9K</v>
      </c>
      <c r="Q568" s="17">
        <v>2.5</v>
      </c>
      <c r="R568">
        <v>6</v>
      </c>
      <c r="S568">
        <v>3</v>
      </c>
      <c r="T568">
        <v>2</v>
      </c>
      <c r="U568">
        <v>2</v>
      </c>
      <c r="V568" s="15">
        <f t="shared" ca="1" si="17"/>
        <v>2</v>
      </c>
    </row>
    <row r="569" spans="1:22">
      <c r="A569" t="s">
        <v>994</v>
      </c>
      <c r="B569" s="1">
        <v>41059.598576388889</v>
      </c>
      <c r="C569" s="2">
        <v>360000</v>
      </c>
      <c r="D569">
        <v>360000</v>
      </c>
      <c r="E569" t="s">
        <v>1908</v>
      </c>
      <c r="F569" s="5">
        <v>6410.8500074793246</v>
      </c>
      <c r="G569" s="5">
        <v>17926.501344487599</v>
      </c>
      <c r="H569" s="5">
        <f ca="1">OFFSET(F569,0,Brains!$D$1,1,1)</f>
        <v>17926.501344487599</v>
      </c>
      <c r="I569" t="s">
        <v>2290</v>
      </c>
      <c r="J569" t="s">
        <v>1858</v>
      </c>
      <c r="K569" t="s">
        <v>1859</v>
      </c>
      <c r="L569" t="s">
        <v>1859</v>
      </c>
      <c r="M569" s="11" t="s">
        <v>3917</v>
      </c>
      <c r="N569" t="s">
        <v>1873</v>
      </c>
      <c r="O569" s="7" t="s">
        <v>3921</v>
      </c>
      <c r="P569" s="17" t="str">
        <f t="shared" ca="1" si="16"/>
        <v>15-29.9K</v>
      </c>
      <c r="Q569" s="17">
        <v>2.5</v>
      </c>
      <c r="R569">
        <v>6</v>
      </c>
      <c r="S569">
        <v>3</v>
      </c>
      <c r="T569">
        <v>2</v>
      </c>
      <c r="U569">
        <v>2</v>
      </c>
      <c r="V569" s="15">
        <f t="shared" ca="1" si="17"/>
        <v>2</v>
      </c>
    </row>
    <row r="570" spans="1:22">
      <c r="A570" t="s">
        <v>599</v>
      </c>
      <c r="B570" s="1">
        <v>41058.361967592595</v>
      </c>
      <c r="C570" s="2">
        <v>110000</v>
      </c>
      <c r="D570">
        <v>110000</v>
      </c>
      <c r="E570" t="s">
        <v>1973</v>
      </c>
      <c r="F570" s="5">
        <v>112190.06220428993</v>
      </c>
      <c r="G570" s="5">
        <v>69974.554707379139</v>
      </c>
      <c r="H570" s="5">
        <f ca="1">OFFSET(F570,0,Brains!$D$1,1,1)</f>
        <v>69974.554707379139</v>
      </c>
      <c r="I570" t="s">
        <v>1858</v>
      </c>
      <c r="J570" t="s">
        <v>1858</v>
      </c>
      <c r="K570" t="s">
        <v>1975</v>
      </c>
      <c r="L570" t="s">
        <v>1975</v>
      </c>
      <c r="M570" s="11" t="s">
        <v>3917</v>
      </c>
      <c r="N570" t="s">
        <v>1873</v>
      </c>
      <c r="O570" s="7" t="s">
        <v>3921</v>
      </c>
      <c r="P570" s="17" t="str">
        <f t="shared" ca="1" si="16"/>
        <v>50-74.9K</v>
      </c>
      <c r="Q570" s="17">
        <v>2.5</v>
      </c>
      <c r="R570">
        <v>7</v>
      </c>
      <c r="S570">
        <v>3</v>
      </c>
      <c r="T570">
        <v>2</v>
      </c>
      <c r="U570">
        <v>2</v>
      </c>
      <c r="V570" s="15">
        <f t="shared" ca="1" si="17"/>
        <v>4</v>
      </c>
    </row>
    <row r="571" spans="1:22">
      <c r="A571" t="s">
        <v>829</v>
      </c>
      <c r="B571" s="1">
        <v>41058.870636574073</v>
      </c>
      <c r="C571" s="2">
        <v>95000</v>
      </c>
      <c r="D571">
        <v>95000</v>
      </c>
      <c r="E571" t="s">
        <v>1856</v>
      </c>
      <c r="F571" s="5">
        <v>95000</v>
      </c>
      <c r="G571" s="5">
        <v>95000</v>
      </c>
      <c r="H571" s="5">
        <f ca="1">OFFSET(F571,0,Brains!$D$1,1,1)</f>
        <v>95000</v>
      </c>
      <c r="I571" t="s">
        <v>3045</v>
      </c>
      <c r="J571" t="s">
        <v>1858</v>
      </c>
      <c r="K571" t="s">
        <v>1869</v>
      </c>
      <c r="L571" t="s">
        <v>1869</v>
      </c>
      <c r="M571" s="11" t="s">
        <v>3917</v>
      </c>
      <c r="N571" t="s">
        <v>1873</v>
      </c>
      <c r="O571" s="7" t="s">
        <v>3921</v>
      </c>
      <c r="P571" s="17" t="str">
        <f t="shared" ca="1" si="16"/>
        <v>75-99.9K</v>
      </c>
      <c r="Q571" s="17">
        <v>2.5</v>
      </c>
      <c r="R571">
        <v>7</v>
      </c>
      <c r="S571">
        <v>3</v>
      </c>
      <c r="T571">
        <v>2</v>
      </c>
      <c r="U571">
        <v>2</v>
      </c>
      <c r="V571" s="15">
        <f t="shared" ca="1" si="17"/>
        <v>5</v>
      </c>
    </row>
    <row r="572" spans="1:22">
      <c r="A572" t="s">
        <v>181</v>
      </c>
      <c r="B572" s="1">
        <v>41057.61173611111</v>
      </c>
      <c r="C572" s="2" t="s">
        <v>182</v>
      </c>
      <c r="D572">
        <v>530000</v>
      </c>
      <c r="E572" t="s">
        <v>1908</v>
      </c>
      <c r="F572" s="5">
        <v>9438.1958443445619</v>
      </c>
      <c r="G572" s="5">
        <v>26391.793646051188</v>
      </c>
      <c r="H572" s="5">
        <f ca="1">OFFSET(F572,0,Brains!$D$1,1,1)</f>
        <v>26391.793646051188</v>
      </c>
      <c r="I572" t="s">
        <v>183</v>
      </c>
      <c r="J572" t="s">
        <v>1858</v>
      </c>
      <c r="K572" t="s">
        <v>1859</v>
      </c>
      <c r="L572" t="s">
        <v>1859</v>
      </c>
      <c r="M572" s="11" t="s">
        <v>3917</v>
      </c>
      <c r="N572" t="s">
        <v>1873</v>
      </c>
      <c r="O572" s="7" t="s">
        <v>3921</v>
      </c>
      <c r="P572" s="17" t="str">
        <f t="shared" ca="1" si="16"/>
        <v>15-29.9K</v>
      </c>
      <c r="Q572" s="17">
        <v>2.5</v>
      </c>
      <c r="R572">
        <v>7</v>
      </c>
      <c r="S572">
        <v>3</v>
      </c>
      <c r="T572">
        <v>2</v>
      </c>
      <c r="U572">
        <v>2</v>
      </c>
      <c r="V572" s="15">
        <f t="shared" ca="1" si="17"/>
        <v>2</v>
      </c>
    </row>
    <row r="573" spans="1:22">
      <c r="A573" t="s">
        <v>1428</v>
      </c>
      <c r="B573" s="1">
        <v>41065.863437499997</v>
      </c>
      <c r="C573" s="2">
        <v>90000</v>
      </c>
      <c r="D573">
        <v>90000</v>
      </c>
      <c r="E573" t="s">
        <v>1856</v>
      </c>
      <c r="F573" s="5">
        <v>90000</v>
      </c>
      <c r="G573" s="5">
        <v>90000</v>
      </c>
      <c r="H573" s="5">
        <f ca="1">OFFSET(F573,0,Brains!$D$1,1,1)</f>
        <v>90000</v>
      </c>
      <c r="I573" t="s">
        <v>1429</v>
      </c>
      <c r="J573" t="s">
        <v>1858</v>
      </c>
      <c r="K573" t="s">
        <v>1869</v>
      </c>
      <c r="L573" t="s">
        <v>1869</v>
      </c>
      <c r="M573" s="11" t="s">
        <v>3917</v>
      </c>
      <c r="N573" t="s">
        <v>1873</v>
      </c>
      <c r="O573" s="7" t="s">
        <v>3921</v>
      </c>
      <c r="P573" s="17" t="str">
        <f t="shared" ca="1" si="16"/>
        <v>75-99.9K</v>
      </c>
      <c r="Q573" s="17">
        <v>2.5</v>
      </c>
      <c r="R573">
        <v>8</v>
      </c>
      <c r="S573">
        <v>3</v>
      </c>
      <c r="T573">
        <v>2</v>
      </c>
      <c r="U573">
        <v>2</v>
      </c>
      <c r="V573" s="15">
        <f t="shared" ca="1" si="17"/>
        <v>5</v>
      </c>
    </row>
    <row r="574" spans="1:22">
      <c r="A574" t="s">
        <v>3713</v>
      </c>
      <c r="B574" s="1">
        <v>41056.409375000003</v>
      </c>
      <c r="C574" s="2">
        <v>5000</v>
      </c>
      <c r="D574">
        <v>60000</v>
      </c>
      <c r="E574" t="s">
        <v>1856</v>
      </c>
      <c r="F574" s="5">
        <v>60000</v>
      </c>
      <c r="G574" s="5">
        <v>60000</v>
      </c>
      <c r="H574" s="5">
        <f ca="1">OFFSET(F574,0,Brains!$D$1,1,1)</f>
        <v>60000</v>
      </c>
      <c r="I574" t="s">
        <v>3714</v>
      </c>
      <c r="J574" t="s">
        <v>1858</v>
      </c>
      <c r="K574" t="s">
        <v>1869</v>
      </c>
      <c r="L574" t="s">
        <v>1869</v>
      </c>
      <c r="M574" s="11" t="s">
        <v>3917</v>
      </c>
      <c r="N574" t="s">
        <v>1873</v>
      </c>
      <c r="O574" s="7" t="s">
        <v>3921</v>
      </c>
      <c r="P574" s="17" t="str">
        <f t="shared" ca="1" si="16"/>
        <v>50-74.9K</v>
      </c>
      <c r="Q574" s="17">
        <v>2.5</v>
      </c>
      <c r="R574">
        <v>8</v>
      </c>
      <c r="S574">
        <v>3</v>
      </c>
      <c r="T574">
        <v>2</v>
      </c>
      <c r="U574">
        <v>2</v>
      </c>
      <c r="V574" s="15">
        <f t="shared" ca="1" si="17"/>
        <v>4</v>
      </c>
    </row>
    <row r="575" spans="1:22">
      <c r="A575" t="s">
        <v>3159</v>
      </c>
      <c r="B575" s="1">
        <v>41055.430960648147</v>
      </c>
      <c r="C575" s="2">
        <v>30000</v>
      </c>
      <c r="D575">
        <v>30000</v>
      </c>
      <c r="E575" t="s">
        <v>1856</v>
      </c>
      <c r="F575" s="5">
        <v>30000</v>
      </c>
      <c r="G575" s="5">
        <v>30000</v>
      </c>
      <c r="H575" s="5">
        <f ca="1">OFFSET(F575,0,Brains!$D$1,1,1)</f>
        <v>30000</v>
      </c>
      <c r="I575" t="s">
        <v>3160</v>
      </c>
      <c r="J575" t="s">
        <v>1858</v>
      </c>
      <c r="K575" t="s">
        <v>1869</v>
      </c>
      <c r="L575" t="s">
        <v>1869</v>
      </c>
      <c r="M575" s="11" t="s">
        <v>3917</v>
      </c>
      <c r="N575" t="s">
        <v>1873</v>
      </c>
      <c r="O575" s="7" t="s">
        <v>3921</v>
      </c>
      <c r="P575" s="17" t="str">
        <f t="shared" ca="1" si="16"/>
        <v>30-49.9K</v>
      </c>
      <c r="Q575" s="17">
        <v>2.5</v>
      </c>
      <c r="R575">
        <v>8</v>
      </c>
      <c r="S575">
        <v>3</v>
      </c>
      <c r="T575">
        <v>2</v>
      </c>
      <c r="U575">
        <v>2</v>
      </c>
      <c r="V575" s="15">
        <f t="shared" ca="1" si="17"/>
        <v>3</v>
      </c>
    </row>
    <row r="576" spans="1:22">
      <c r="A576" t="s">
        <v>1050</v>
      </c>
      <c r="B576" s="1">
        <v>41059.862812500003</v>
      </c>
      <c r="C576" s="2">
        <v>10000</v>
      </c>
      <c r="D576">
        <v>10000</v>
      </c>
      <c r="E576" t="s">
        <v>1954</v>
      </c>
      <c r="F576" s="5">
        <v>15761.782720672842</v>
      </c>
      <c r="G576" s="5">
        <v>14836.795252225518</v>
      </c>
      <c r="H576" s="5">
        <f ca="1">OFFSET(F576,0,Brains!$D$1,1,1)</f>
        <v>14836.795252225518</v>
      </c>
      <c r="I576" t="s">
        <v>1858</v>
      </c>
      <c r="J576" t="s">
        <v>1858</v>
      </c>
      <c r="K576" t="s">
        <v>1956</v>
      </c>
      <c r="L576" t="s">
        <v>1956</v>
      </c>
      <c r="M576" s="11" t="s">
        <v>3917</v>
      </c>
      <c r="N576" t="s">
        <v>1873</v>
      </c>
      <c r="O576" s="7" t="s">
        <v>3921</v>
      </c>
      <c r="P576" s="17" t="str">
        <f t="shared" ca="1" si="16"/>
        <v>0-14.9K</v>
      </c>
      <c r="Q576" s="17">
        <v>2.5</v>
      </c>
      <c r="R576">
        <v>8</v>
      </c>
      <c r="S576">
        <v>3</v>
      </c>
      <c r="T576">
        <v>2</v>
      </c>
      <c r="U576">
        <v>2</v>
      </c>
      <c r="V576" s="15">
        <f t="shared" ca="1" si="17"/>
        <v>1</v>
      </c>
    </row>
    <row r="577" spans="1:22">
      <c r="A577" t="s">
        <v>542</v>
      </c>
      <c r="B577" s="1">
        <v>41058.136134259257</v>
      </c>
      <c r="C577" s="2">
        <v>150000</v>
      </c>
      <c r="D577">
        <v>150000</v>
      </c>
      <c r="E577" t="s">
        <v>1973</v>
      </c>
      <c r="F577" s="5">
        <v>152986.44846039536</v>
      </c>
      <c r="G577" s="5">
        <v>95419.847328244272</v>
      </c>
      <c r="H577" s="5">
        <f ca="1">OFFSET(F577,0,Brains!$D$1,1,1)</f>
        <v>95419.847328244272</v>
      </c>
      <c r="I577" t="s">
        <v>1858</v>
      </c>
      <c r="J577" t="s">
        <v>1858</v>
      </c>
      <c r="K577" t="s">
        <v>1975</v>
      </c>
      <c r="L577" t="s">
        <v>1975</v>
      </c>
      <c r="M577" s="11" t="s">
        <v>3917</v>
      </c>
      <c r="N577" t="s">
        <v>1873</v>
      </c>
      <c r="O577" s="7" t="s">
        <v>3921</v>
      </c>
      <c r="P577" s="17" t="str">
        <f t="shared" ca="1" si="16"/>
        <v>75-99.9K</v>
      </c>
      <c r="Q577" s="17">
        <v>2.5</v>
      </c>
      <c r="R577">
        <v>10</v>
      </c>
      <c r="S577">
        <v>3</v>
      </c>
      <c r="T577">
        <v>2</v>
      </c>
      <c r="U577">
        <v>2</v>
      </c>
      <c r="V577" s="15">
        <f t="shared" ca="1" si="17"/>
        <v>5</v>
      </c>
    </row>
    <row r="578" spans="1:22">
      <c r="A578" t="s">
        <v>3538</v>
      </c>
      <c r="B578" s="1">
        <v>41055.846944444442</v>
      </c>
      <c r="C578" s="2">
        <v>65000</v>
      </c>
      <c r="D578">
        <v>65000</v>
      </c>
      <c r="E578" t="s">
        <v>1856</v>
      </c>
      <c r="F578" s="5">
        <v>65000</v>
      </c>
      <c r="G578" s="5">
        <v>65000</v>
      </c>
      <c r="H578" s="5">
        <f ca="1">OFFSET(F578,0,Brains!$D$1,1,1)</f>
        <v>65000</v>
      </c>
      <c r="I578" t="s">
        <v>3539</v>
      </c>
      <c r="J578" t="s">
        <v>1858</v>
      </c>
      <c r="K578" t="s">
        <v>1869</v>
      </c>
      <c r="L578" t="s">
        <v>1869</v>
      </c>
      <c r="M578" s="11" t="s">
        <v>3917</v>
      </c>
      <c r="N578" t="s">
        <v>1873</v>
      </c>
      <c r="O578" s="7" t="s">
        <v>3921</v>
      </c>
      <c r="P578" s="17" t="str">
        <f t="shared" ref="P578:P641" ca="1" si="18">IF(H578&lt;15000,"0-14.9K",IF(H578&lt;30000,"15-29.9K",IF(H578&lt;50000,"30-49.9K",IF(H578&lt;75000,"50-74.9K",IF(H578&lt;100000,"75-99.9K",IF(H578&lt;150000,"100-149.9K",IF(H578&lt;250000,"150-249.9K","250K+")))))))</f>
        <v>50-74.9K</v>
      </c>
      <c r="Q578" s="17">
        <v>2.5</v>
      </c>
      <c r="R578">
        <v>10</v>
      </c>
      <c r="S578">
        <v>3</v>
      </c>
      <c r="T578">
        <v>2</v>
      </c>
      <c r="U578">
        <v>2</v>
      </c>
      <c r="V578" s="15">
        <f t="shared" ref="V578:V641" ca="1" si="19">IF(H578&lt;15000,1,IF(H578&lt;30000,2,IF(H578&lt;50000,3,IF(H578&lt;75000,4,IF(H578&lt;100000,5,IF(H578&lt;150000,6,IF(H578&lt;250000,7,8)))))))</f>
        <v>4</v>
      </c>
    </row>
    <row r="579" spans="1:22">
      <c r="A579" t="s">
        <v>877</v>
      </c>
      <c r="B579" s="1">
        <v>41058.951574074075</v>
      </c>
      <c r="C579" s="2">
        <v>65000</v>
      </c>
      <c r="D579">
        <v>65000</v>
      </c>
      <c r="E579" t="s">
        <v>1856</v>
      </c>
      <c r="F579" s="5">
        <v>65000</v>
      </c>
      <c r="G579" s="5">
        <v>65000</v>
      </c>
      <c r="H579" s="5">
        <f ca="1">OFFSET(F579,0,Brains!$D$1,1,1)</f>
        <v>65000</v>
      </c>
      <c r="I579" t="s">
        <v>878</v>
      </c>
      <c r="J579" t="s">
        <v>1858</v>
      </c>
      <c r="K579" t="s">
        <v>1869</v>
      </c>
      <c r="L579" t="s">
        <v>1869</v>
      </c>
      <c r="M579" s="11" t="s">
        <v>3917</v>
      </c>
      <c r="N579" t="s">
        <v>1873</v>
      </c>
      <c r="O579" s="7" t="s">
        <v>3921</v>
      </c>
      <c r="P579" s="17" t="str">
        <f t="shared" ca="1" si="18"/>
        <v>50-74.9K</v>
      </c>
      <c r="Q579" s="17">
        <v>2.5</v>
      </c>
      <c r="R579">
        <v>10</v>
      </c>
      <c r="S579">
        <v>3</v>
      </c>
      <c r="T579">
        <v>2</v>
      </c>
      <c r="U579">
        <v>2</v>
      </c>
      <c r="V579" s="15">
        <f t="shared" ca="1" si="19"/>
        <v>4</v>
      </c>
    </row>
    <row r="580" spans="1:22">
      <c r="A580" t="s">
        <v>1620</v>
      </c>
      <c r="B580" s="1">
        <v>41072.124490740738</v>
      </c>
      <c r="C580" s="2">
        <v>65000</v>
      </c>
      <c r="D580">
        <v>65000</v>
      </c>
      <c r="E580" t="s">
        <v>1856</v>
      </c>
      <c r="F580" s="5">
        <v>65000</v>
      </c>
      <c r="G580" s="5">
        <v>65000</v>
      </c>
      <c r="H580" s="5">
        <f ca="1">OFFSET(F580,0,Brains!$D$1,1,1)</f>
        <v>65000</v>
      </c>
      <c r="I580" t="s">
        <v>2099</v>
      </c>
      <c r="J580" t="s">
        <v>1858</v>
      </c>
      <c r="K580" t="s">
        <v>1869</v>
      </c>
      <c r="L580" t="s">
        <v>1869</v>
      </c>
      <c r="M580" s="11" t="s">
        <v>3917</v>
      </c>
      <c r="N580" t="s">
        <v>1873</v>
      </c>
      <c r="O580" s="7" t="s">
        <v>3921</v>
      </c>
      <c r="P580" s="17" t="str">
        <f t="shared" ca="1" si="18"/>
        <v>50-74.9K</v>
      </c>
      <c r="Q580" s="17">
        <v>2.5</v>
      </c>
      <c r="R580">
        <v>10</v>
      </c>
      <c r="S580">
        <v>3</v>
      </c>
      <c r="T580">
        <v>2</v>
      </c>
      <c r="U580">
        <v>2</v>
      </c>
      <c r="V580" s="15">
        <f t="shared" ca="1" si="19"/>
        <v>4</v>
      </c>
    </row>
    <row r="581" spans="1:22">
      <c r="A581" t="s">
        <v>1034</v>
      </c>
      <c r="B581" s="1">
        <v>41059.786076388889</v>
      </c>
      <c r="C581" s="2">
        <v>60000</v>
      </c>
      <c r="D581">
        <v>60000</v>
      </c>
      <c r="E581" t="s">
        <v>1856</v>
      </c>
      <c r="F581" s="5">
        <v>60000</v>
      </c>
      <c r="G581" s="5">
        <v>60000</v>
      </c>
      <c r="H581" s="5">
        <f ca="1">OFFSET(F581,0,Brains!$D$1,1,1)</f>
        <v>60000</v>
      </c>
      <c r="I581" t="s">
        <v>1035</v>
      </c>
      <c r="J581" t="s">
        <v>1858</v>
      </c>
      <c r="K581" t="s">
        <v>1036</v>
      </c>
      <c r="L581" t="s">
        <v>2175</v>
      </c>
      <c r="M581" s="11" t="s">
        <v>3917</v>
      </c>
      <c r="N581" t="s">
        <v>1873</v>
      </c>
      <c r="O581" s="7" t="s">
        <v>3921</v>
      </c>
      <c r="P581" s="17" t="str">
        <f t="shared" ca="1" si="18"/>
        <v>50-74.9K</v>
      </c>
      <c r="Q581" s="17">
        <v>2.5</v>
      </c>
      <c r="R581">
        <v>10</v>
      </c>
      <c r="S581">
        <v>3</v>
      </c>
      <c r="T581">
        <v>2</v>
      </c>
      <c r="U581">
        <v>2</v>
      </c>
      <c r="V581" s="15">
        <f t="shared" ca="1" si="19"/>
        <v>4</v>
      </c>
    </row>
    <row r="582" spans="1:22">
      <c r="A582" t="s">
        <v>1327</v>
      </c>
      <c r="B582" s="1">
        <v>41063.404629629629</v>
      </c>
      <c r="C582" s="2">
        <v>75000</v>
      </c>
      <c r="D582">
        <v>75000</v>
      </c>
      <c r="E582" t="s">
        <v>3081</v>
      </c>
      <c r="F582" s="5">
        <v>59819.107020370408</v>
      </c>
      <c r="G582" s="5">
        <v>43478.260869565216</v>
      </c>
      <c r="H582" s="5">
        <f ca="1">OFFSET(F582,0,Brains!$D$1,1,1)</f>
        <v>43478.260869565216</v>
      </c>
      <c r="I582" t="s">
        <v>1328</v>
      </c>
      <c r="J582" t="s">
        <v>1858</v>
      </c>
      <c r="K582" t="s">
        <v>1329</v>
      </c>
      <c r="L582" t="s">
        <v>3083</v>
      </c>
      <c r="M582" s="11" t="s">
        <v>3917</v>
      </c>
      <c r="N582" t="s">
        <v>1873</v>
      </c>
      <c r="O582" s="7" t="s">
        <v>3921</v>
      </c>
      <c r="P582" s="17" t="str">
        <f t="shared" ca="1" si="18"/>
        <v>30-49.9K</v>
      </c>
      <c r="Q582" s="17">
        <v>2.5</v>
      </c>
      <c r="R582">
        <v>10</v>
      </c>
      <c r="S582">
        <v>3</v>
      </c>
      <c r="T582">
        <v>2</v>
      </c>
      <c r="U582">
        <v>2</v>
      </c>
      <c r="V582" s="15">
        <f t="shared" ca="1" si="19"/>
        <v>3</v>
      </c>
    </row>
    <row r="583" spans="1:22">
      <c r="A583" t="s">
        <v>3876</v>
      </c>
      <c r="B583" s="1">
        <v>41057.148773148147</v>
      </c>
      <c r="C583" s="2">
        <v>45000</v>
      </c>
      <c r="D583">
        <v>45000</v>
      </c>
      <c r="E583" t="s">
        <v>1880</v>
      </c>
      <c r="F583" s="5">
        <v>57167.974754622352</v>
      </c>
      <c r="G583" s="5">
        <v>56528.970469265834</v>
      </c>
      <c r="H583" s="5">
        <f ca="1">OFFSET(F583,0,Brains!$D$1,1,1)</f>
        <v>56528.970469265834</v>
      </c>
      <c r="I583" t="s">
        <v>3877</v>
      </c>
      <c r="J583" t="s">
        <v>1858</v>
      </c>
      <c r="K583" t="s">
        <v>3878</v>
      </c>
      <c r="L583" t="s">
        <v>2998</v>
      </c>
      <c r="M583" s="11" t="s">
        <v>3917</v>
      </c>
      <c r="N583" t="s">
        <v>1873</v>
      </c>
      <c r="O583" s="7" t="s">
        <v>3921</v>
      </c>
      <c r="P583" s="17" t="str">
        <f t="shared" ca="1" si="18"/>
        <v>50-74.9K</v>
      </c>
      <c r="Q583" s="17">
        <v>2.5</v>
      </c>
      <c r="R583">
        <v>10</v>
      </c>
      <c r="S583">
        <v>3</v>
      </c>
      <c r="T583">
        <v>2</v>
      </c>
      <c r="U583">
        <v>2</v>
      </c>
      <c r="V583" s="15">
        <f t="shared" ca="1" si="19"/>
        <v>4</v>
      </c>
    </row>
    <row r="584" spans="1:22">
      <c r="A584" t="s">
        <v>691</v>
      </c>
      <c r="B584" s="1">
        <v>41058.621770833335</v>
      </c>
      <c r="C584" s="2" t="s">
        <v>692</v>
      </c>
      <c r="D584">
        <v>36000</v>
      </c>
      <c r="E584" t="s">
        <v>1856</v>
      </c>
      <c r="F584" s="5">
        <v>36000</v>
      </c>
      <c r="G584" s="5">
        <v>36000</v>
      </c>
      <c r="H584" s="5">
        <f ca="1">OFFSET(F584,0,Brains!$D$1,1,1)</f>
        <v>36000</v>
      </c>
      <c r="I584" t="s">
        <v>2303</v>
      </c>
      <c r="J584" t="s">
        <v>1858</v>
      </c>
      <c r="K584" t="s">
        <v>133</v>
      </c>
      <c r="L584" t="s">
        <v>133</v>
      </c>
      <c r="M584" s="11" t="s">
        <v>3917</v>
      </c>
      <c r="N584" t="s">
        <v>1873</v>
      </c>
      <c r="O584" s="7" t="s">
        <v>3921</v>
      </c>
      <c r="P584" s="17" t="str">
        <f t="shared" ca="1" si="18"/>
        <v>30-49.9K</v>
      </c>
      <c r="Q584" s="17">
        <v>2.5</v>
      </c>
      <c r="R584">
        <v>10</v>
      </c>
      <c r="S584">
        <v>3</v>
      </c>
      <c r="T584">
        <v>2</v>
      </c>
      <c r="U584">
        <v>2</v>
      </c>
      <c r="V584" s="15">
        <f t="shared" ca="1" si="19"/>
        <v>3</v>
      </c>
    </row>
    <row r="585" spans="1:22">
      <c r="A585" t="s">
        <v>3565</v>
      </c>
      <c r="B585" s="1">
        <v>41055.884618055556</v>
      </c>
      <c r="C585" s="2">
        <v>33900</v>
      </c>
      <c r="D585">
        <v>33900</v>
      </c>
      <c r="E585" t="s">
        <v>1856</v>
      </c>
      <c r="F585" s="5">
        <v>33900</v>
      </c>
      <c r="G585" s="5">
        <v>33900</v>
      </c>
      <c r="H585" s="5">
        <f ca="1">OFFSET(F585,0,Brains!$D$1,1,1)</f>
        <v>33900</v>
      </c>
      <c r="I585" t="s">
        <v>2303</v>
      </c>
      <c r="J585" t="s">
        <v>1858</v>
      </c>
      <c r="K585" t="s">
        <v>1869</v>
      </c>
      <c r="L585" t="s">
        <v>1869</v>
      </c>
      <c r="M585" s="11" t="s">
        <v>3917</v>
      </c>
      <c r="N585" t="s">
        <v>1873</v>
      </c>
      <c r="O585" s="7" t="s">
        <v>3921</v>
      </c>
      <c r="P585" s="17" t="str">
        <f t="shared" ca="1" si="18"/>
        <v>30-49.9K</v>
      </c>
      <c r="Q585" s="17">
        <v>2.5</v>
      </c>
      <c r="R585">
        <v>10</v>
      </c>
      <c r="S585">
        <v>3</v>
      </c>
      <c r="T585">
        <v>2</v>
      </c>
      <c r="U585">
        <v>2</v>
      </c>
      <c r="V585" s="15">
        <f t="shared" ca="1" si="19"/>
        <v>3</v>
      </c>
    </row>
    <row r="586" spans="1:22">
      <c r="A586" t="s">
        <v>3552</v>
      </c>
      <c r="B586" s="1">
        <v>41055.873113425929</v>
      </c>
      <c r="C586" s="2">
        <v>15000</v>
      </c>
      <c r="D586">
        <v>15000</v>
      </c>
      <c r="E586" t="s">
        <v>1880</v>
      </c>
      <c r="F586" s="5">
        <v>19055.991584874118</v>
      </c>
      <c r="G586" s="5">
        <v>18842.990156421944</v>
      </c>
      <c r="H586" s="5">
        <f ca="1">OFFSET(F586,0,Brains!$D$1,1,1)</f>
        <v>18842.990156421944</v>
      </c>
      <c r="I586" t="s">
        <v>3553</v>
      </c>
      <c r="J586" t="s">
        <v>1858</v>
      </c>
      <c r="K586" t="s">
        <v>2957</v>
      </c>
      <c r="L586" t="s">
        <v>2957</v>
      </c>
      <c r="M586" s="11" t="s">
        <v>3917</v>
      </c>
      <c r="N586" t="s">
        <v>1873</v>
      </c>
      <c r="O586" s="7" t="s">
        <v>3921</v>
      </c>
      <c r="P586" s="17" t="str">
        <f t="shared" ca="1" si="18"/>
        <v>15-29.9K</v>
      </c>
      <c r="Q586" s="17">
        <v>2.5</v>
      </c>
      <c r="R586">
        <v>10</v>
      </c>
      <c r="S586">
        <v>3</v>
      </c>
      <c r="T586">
        <v>2</v>
      </c>
      <c r="U586">
        <v>2</v>
      </c>
      <c r="V586" s="15">
        <f t="shared" ca="1" si="19"/>
        <v>2</v>
      </c>
    </row>
    <row r="587" spans="1:22">
      <c r="A587" t="s">
        <v>128</v>
      </c>
      <c r="B587" s="1">
        <v>41057.543703703705</v>
      </c>
      <c r="C587" s="2" t="s">
        <v>129</v>
      </c>
      <c r="D587">
        <v>420000</v>
      </c>
      <c r="E587" t="s">
        <v>1908</v>
      </c>
      <c r="F587" s="5">
        <v>7479.3250087258784</v>
      </c>
      <c r="G587" s="5">
        <v>20914.251568568867</v>
      </c>
      <c r="H587" s="5">
        <f ca="1">OFFSET(F587,0,Brains!$D$1,1,1)</f>
        <v>20914.251568568867</v>
      </c>
      <c r="I587" t="s">
        <v>1858</v>
      </c>
      <c r="J587" t="s">
        <v>1858</v>
      </c>
      <c r="K587" t="s">
        <v>1859</v>
      </c>
      <c r="L587" t="s">
        <v>1859</v>
      </c>
      <c r="M587" s="11" t="s">
        <v>3917</v>
      </c>
      <c r="N587" t="s">
        <v>1873</v>
      </c>
      <c r="O587" s="7" t="s">
        <v>3921</v>
      </c>
      <c r="P587" s="17" t="str">
        <f t="shared" ca="1" si="18"/>
        <v>15-29.9K</v>
      </c>
      <c r="Q587" s="17">
        <v>2.5</v>
      </c>
      <c r="R587">
        <v>10</v>
      </c>
      <c r="S587">
        <v>3</v>
      </c>
      <c r="T587">
        <v>2</v>
      </c>
      <c r="U587">
        <v>2</v>
      </c>
      <c r="V587" s="15">
        <f t="shared" ca="1" si="19"/>
        <v>2</v>
      </c>
    </row>
    <row r="588" spans="1:22">
      <c r="A588" t="s">
        <v>1767</v>
      </c>
      <c r="B588" s="1">
        <v>41077.533935185187</v>
      </c>
      <c r="C588" s="2">
        <v>5000</v>
      </c>
      <c r="D588">
        <v>5000</v>
      </c>
      <c r="E588" t="s">
        <v>1856</v>
      </c>
      <c r="F588" s="5">
        <v>5000</v>
      </c>
      <c r="G588" s="5">
        <v>5000</v>
      </c>
      <c r="H588" s="5">
        <f ca="1">OFFSET(F588,0,Brains!$D$1,1,1)</f>
        <v>5000</v>
      </c>
      <c r="I588" t="s">
        <v>1471</v>
      </c>
      <c r="J588" t="s">
        <v>1858</v>
      </c>
      <c r="K588" t="s">
        <v>1859</v>
      </c>
      <c r="L588" t="s">
        <v>1859</v>
      </c>
      <c r="M588" s="11" t="s">
        <v>3917</v>
      </c>
      <c r="N588" t="s">
        <v>1873</v>
      </c>
      <c r="O588" s="7" t="s">
        <v>3921</v>
      </c>
      <c r="P588" s="17" t="str">
        <f t="shared" ca="1" si="18"/>
        <v>0-14.9K</v>
      </c>
      <c r="Q588" s="17">
        <v>2.5</v>
      </c>
      <c r="R588">
        <v>10</v>
      </c>
      <c r="S588">
        <v>3</v>
      </c>
      <c r="T588">
        <v>2</v>
      </c>
      <c r="U588">
        <v>2</v>
      </c>
      <c r="V588" s="15">
        <f t="shared" ca="1" si="19"/>
        <v>1</v>
      </c>
    </row>
    <row r="589" spans="1:22">
      <c r="A589" t="s">
        <v>1115</v>
      </c>
      <c r="B589" s="1">
        <v>41060.303888888891</v>
      </c>
      <c r="C589" s="2">
        <v>145000</v>
      </c>
      <c r="D589">
        <v>145000</v>
      </c>
      <c r="E589" t="s">
        <v>1856</v>
      </c>
      <c r="F589" s="5">
        <v>145000</v>
      </c>
      <c r="G589" s="5">
        <v>145000</v>
      </c>
      <c r="H589" s="5">
        <f ca="1">OFFSET(F589,0,Brains!$D$1,1,1)</f>
        <v>145000</v>
      </c>
      <c r="I589" t="s">
        <v>2972</v>
      </c>
      <c r="J589" t="s">
        <v>1858</v>
      </c>
      <c r="K589" t="s">
        <v>1869</v>
      </c>
      <c r="L589" t="s">
        <v>1869</v>
      </c>
      <c r="M589" s="11" t="s">
        <v>3918</v>
      </c>
      <c r="N589" t="s">
        <v>1860</v>
      </c>
      <c r="O589" s="7" t="s">
        <v>3921</v>
      </c>
      <c r="P589" s="17" t="str">
        <f t="shared" ca="1" si="18"/>
        <v>100-149.9K</v>
      </c>
      <c r="Q589" s="17">
        <v>5</v>
      </c>
      <c r="R589">
        <v>6</v>
      </c>
      <c r="S589">
        <v>4</v>
      </c>
      <c r="T589">
        <v>2</v>
      </c>
      <c r="U589">
        <v>2</v>
      </c>
      <c r="V589" s="15">
        <f t="shared" ca="1" si="19"/>
        <v>6</v>
      </c>
    </row>
    <row r="590" spans="1:22">
      <c r="A590" t="s">
        <v>1460</v>
      </c>
      <c r="B590" s="1">
        <v>41066.245127314818</v>
      </c>
      <c r="C590" s="2">
        <v>81000</v>
      </c>
      <c r="D590">
        <v>81000</v>
      </c>
      <c r="E590" t="s">
        <v>1856</v>
      </c>
      <c r="F590" s="5">
        <v>81000</v>
      </c>
      <c r="G590" s="5">
        <v>81000</v>
      </c>
      <c r="H590" s="5">
        <f ca="1">OFFSET(F590,0,Brains!$D$1,1,1)</f>
        <v>81000</v>
      </c>
      <c r="I590" t="s">
        <v>1461</v>
      </c>
      <c r="J590" t="s">
        <v>1858</v>
      </c>
      <c r="K590" t="s">
        <v>1869</v>
      </c>
      <c r="L590" t="s">
        <v>1869</v>
      </c>
      <c r="M590" s="11" t="s">
        <v>3918</v>
      </c>
      <c r="N590" t="s">
        <v>1860</v>
      </c>
      <c r="O590" s="7" t="s">
        <v>3921</v>
      </c>
      <c r="P590" s="17" t="str">
        <f t="shared" ca="1" si="18"/>
        <v>75-99.9K</v>
      </c>
      <c r="Q590" s="17">
        <v>5</v>
      </c>
      <c r="R590">
        <v>6</v>
      </c>
      <c r="S590">
        <v>4</v>
      </c>
      <c r="T590">
        <v>2</v>
      </c>
      <c r="U590">
        <v>2</v>
      </c>
      <c r="V590" s="15">
        <f t="shared" ca="1" si="19"/>
        <v>5</v>
      </c>
    </row>
    <row r="591" spans="1:22">
      <c r="A591" t="s">
        <v>465</v>
      </c>
      <c r="B591" s="1">
        <v>41057.985324074078</v>
      </c>
      <c r="C591" s="2">
        <v>80000</v>
      </c>
      <c r="D591">
        <v>80000</v>
      </c>
      <c r="E591" t="s">
        <v>1856</v>
      </c>
      <c r="F591" s="5">
        <v>80000</v>
      </c>
      <c r="G591" s="5">
        <v>80000</v>
      </c>
      <c r="H591" s="5">
        <f ca="1">OFFSET(F591,0,Brains!$D$1,1,1)</f>
        <v>80000</v>
      </c>
      <c r="I591" t="s">
        <v>466</v>
      </c>
      <c r="J591" t="s">
        <v>1858</v>
      </c>
      <c r="K591" t="s">
        <v>1869</v>
      </c>
      <c r="L591" t="s">
        <v>1869</v>
      </c>
      <c r="M591" s="11" t="s">
        <v>3918</v>
      </c>
      <c r="N591" t="s">
        <v>1860</v>
      </c>
      <c r="O591" s="7" t="s">
        <v>3921</v>
      </c>
      <c r="P591" s="17" t="str">
        <f t="shared" ca="1" si="18"/>
        <v>75-99.9K</v>
      </c>
      <c r="Q591" s="17">
        <v>5</v>
      </c>
      <c r="R591">
        <v>6</v>
      </c>
      <c r="S591">
        <v>4</v>
      </c>
      <c r="T591">
        <v>2</v>
      </c>
      <c r="U591">
        <v>2</v>
      </c>
      <c r="V591" s="15">
        <f t="shared" ca="1" si="19"/>
        <v>5</v>
      </c>
    </row>
    <row r="592" spans="1:22">
      <c r="A592" t="s">
        <v>1738</v>
      </c>
      <c r="B592" s="1">
        <v>41075.99318287037</v>
      </c>
      <c r="C592" s="2">
        <v>67000</v>
      </c>
      <c r="D592">
        <v>67000</v>
      </c>
      <c r="E592" t="s">
        <v>1856</v>
      </c>
      <c r="F592" s="5">
        <v>67000</v>
      </c>
      <c r="G592" s="5">
        <v>67000</v>
      </c>
      <c r="H592" s="5">
        <f ca="1">OFFSET(F592,0,Brains!$D$1,1,1)</f>
        <v>67000</v>
      </c>
      <c r="I592" t="s">
        <v>1739</v>
      </c>
      <c r="J592" t="s">
        <v>1858</v>
      </c>
      <c r="K592" t="s">
        <v>1869</v>
      </c>
      <c r="L592" t="s">
        <v>1869</v>
      </c>
      <c r="M592" s="11" t="s">
        <v>3918</v>
      </c>
      <c r="N592" t="s">
        <v>1860</v>
      </c>
      <c r="O592" s="7" t="s">
        <v>3921</v>
      </c>
      <c r="P592" s="17" t="str">
        <f t="shared" ca="1" si="18"/>
        <v>50-74.9K</v>
      </c>
      <c r="Q592" s="17">
        <v>5</v>
      </c>
      <c r="R592">
        <v>6</v>
      </c>
      <c r="S592">
        <v>4</v>
      </c>
      <c r="T592">
        <v>2</v>
      </c>
      <c r="U592">
        <v>2</v>
      </c>
      <c r="V592" s="15">
        <f t="shared" ca="1" si="19"/>
        <v>4</v>
      </c>
    </row>
    <row r="593" spans="1:22">
      <c r="A593" t="s">
        <v>1744</v>
      </c>
      <c r="B593" s="1">
        <v>41076.262418981481</v>
      </c>
      <c r="C593" s="2">
        <v>63000</v>
      </c>
      <c r="D593">
        <v>63000</v>
      </c>
      <c r="E593" t="s">
        <v>1856</v>
      </c>
      <c r="F593" s="5">
        <v>63000</v>
      </c>
      <c r="G593" s="5">
        <v>63000</v>
      </c>
      <c r="H593" s="5">
        <f ca="1">OFFSET(F593,0,Brains!$D$1,1,1)</f>
        <v>63000</v>
      </c>
      <c r="I593" t="s">
        <v>1745</v>
      </c>
      <c r="J593" t="s">
        <v>1858</v>
      </c>
      <c r="K593" t="s">
        <v>1869</v>
      </c>
      <c r="L593" t="s">
        <v>1869</v>
      </c>
      <c r="M593" s="11" t="s">
        <v>3918</v>
      </c>
      <c r="N593" t="s">
        <v>1860</v>
      </c>
      <c r="O593" s="7" t="s">
        <v>3921</v>
      </c>
      <c r="P593" s="17" t="str">
        <f t="shared" ca="1" si="18"/>
        <v>50-74.9K</v>
      </c>
      <c r="Q593" s="17">
        <v>5</v>
      </c>
      <c r="R593">
        <v>6</v>
      </c>
      <c r="S593">
        <v>4</v>
      </c>
      <c r="T593">
        <v>2</v>
      </c>
      <c r="U593">
        <v>2</v>
      </c>
      <c r="V593" s="15">
        <f t="shared" ca="1" si="19"/>
        <v>4</v>
      </c>
    </row>
    <row r="594" spans="1:22">
      <c r="A594" t="s">
        <v>413</v>
      </c>
      <c r="B594" s="1">
        <v>41057.94903935185</v>
      </c>
      <c r="C594" s="2" t="s">
        <v>414</v>
      </c>
      <c r="D594">
        <v>53000</v>
      </c>
      <c r="E594" t="s">
        <v>1979</v>
      </c>
      <c r="F594" s="5">
        <v>52118.160720607324</v>
      </c>
      <c r="G594" s="5">
        <v>42433.947157726172</v>
      </c>
      <c r="H594" s="5">
        <f ca="1">OFFSET(F594,0,Brains!$D$1,1,1)</f>
        <v>42433.947157726172</v>
      </c>
      <c r="I594" t="s">
        <v>2099</v>
      </c>
      <c r="J594" t="s">
        <v>1858</v>
      </c>
      <c r="K594" t="s">
        <v>1981</v>
      </c>
      <c r="L594" t="s">
        <v>1981</v>
      </c>
      <c r="M594" s="11" t="s">
        <v>3918</v>
      </c>
      <c r="N594" t="s">
        <v>1860</v>
      </c>
      <c r="O594" s="7" t="s">
        <v>3921</v>
      </c>
      <c r="P594" s="17" t="str">
        <f t="shared" ca="1" si="18"/>
        <v>30-49.9K</v>
      </c>
      <c r="Q594" s="17">
        <v>5</v>
      </c>
      <c r="R594">
        <v>6</v>
      </c>
      <c r="S594">
        <v>4</v>
      </c>
      <c r="T594">
        <v>2</v>
      </c>
      <c r="U594">
        <v>2</v>
      </c>
      <c r="V594" s="15">
        <f t="shared" ca="1" si="19"/>
        <v>3</v>
      </c>
    </row>
    <row r="595" spans="1:22">
      <c r="A595" t="s">
        <v>1409</v>
      </c>
      <c r="B595" s="1">
        <v>41065.210648148146</v>
      </c>
      <c r="C595" s="2">
        <v>48500</v>
      </c>
      <c r="D595">
        <v>48500</v>
      </c>
      <c r="E595" t="s">
        <v>1856</v>
      </c>
      <c r="F595" s="5">
        <v>48500</v>
      </c>
      <c r="G595" s="5">
        <v>48500</v>
      </c>
      <c r="H595" s="5">
        <f ca="1">OFFSET(F595,0,Brains!$D$1,1,1)</f>
        <v>48500</v>
      </c>
      <c r="I595" t="s">
        <v>1410</v>
      </c>
      <c r="J595" t="s">
        <v>1858</v>
      </c>
      <c r="K595" t="s">
        <v>1869</v>
      </c>
      <c r="L595" t="s">
        <v>1869</v>
      </c>
      <c r="M595" s="11" t="s">
        <v>3918</v>
      </c>
      <c r="N595" t="s">
        <v>1860</v>
      </c>
      <c r="O595" s="7" t="s">
        <v>3921</v>
      </c>
      <c r="P595" s="17" t="str">
        <f t="shared" ca="1" si="18"/>
        <v>30-49.9K</v>
      </c>
      <c r="Q595" s="17">
        <v>5</v>
      </c>
      <c r="R595">
        <v>6</v>
      </c>
      <c r="S595">
        <v>4</v>
      </c>
      <c r="T595">
        <v>2</v>
      </c>
      <c r="U595">
        <v>2</v>
      </c>
      <c r="V595" s="15">
        <f t="shared" ca="1" si="19"/>
        <v>3</v>
      </c>
    </row>
    <row r="596" spans="1:22">
      <c r="A596" t="s">
        <v>1426</v>
      </c>
      <c r="B596" s="1">
        <v>41065.833043981482</v>
      </c>
      <c r="C596" s="2">
        <v>33000</v>
      </c>
      <c r="D596">
        <v>33000</v>
      </c>
      <c r="E596" t="s">
        <v>1880</v>
      </c>
      <c r="F596" s="5">
        <v>41923.181486723057</v>
      </c>
      <c r="G596" s="5">
        <v>41454.578344128277</v>
      </c>
      <c r="H596" s="5">
        <f ca="1">OFFSET(F596,0,Brains!$D$1,1,1)</f>
        <v>41454.578344128277</v>
      </c>
      <c r="I596" t="s">
        <v>781</v>
      </c>
      <c r="J596" t="s">
        <v>1858</v>
      </c>
      <c r="K596" t="s">
        <v>1427</v>
      </c>
      <c r="L596" t="s">
        <v>2015</v>
      </c>
      <c r="M596" s="11" t="s">
        <v>3918</v>
      </c>
      <c r="N596" t="s">
        <v>1860</v>
      </c>
      <c r="O596" s="7" t="s">
        <v>3921</v>
      </c>
      <c r="P596" s="17" t="str">
        <f t="shared" ca="1" si="18"/>
        <v>30-49.9K</v>
      </c>
      <c r="Q596" s="17">
        <v>5</v>
      </c>
      <c r="R596">
        <v>6</v>
      </c>
      <c r="S596">
        <v>4</v>
      </c>
      <c r="T596">
        <v>2</v>
      </c>
      <c r="U596">
        <v>2</v>
      </c>
      <c r="V596" s="15">
        <f t="shared" ca="1" si="19"/>
        <v>3</v>
      </c>
    </row>
    <row r="597" spans="1:22">
      <c r="A597" t="s">
        <v>33</v>
      </c>
      <c r="B597" s="1">
        <v>41057.37773148148</v>
      </c>
      <c r="C597" s="2">
        <v>19000</v>
      </c>
      <c r="D597">
        <v>19000</v>
      </c>
      <c r="E597" t="s">
        <v>1856</v>
      </c>
      <c r="F597" s="5">
        <v>19000</v>
      </c>
      <c r="G597" s="5">
        <v>19000</v>
      </c>
      <c r="H597" s="5">
        <f ca="1">OFFSET(F597,0,Brains!$D$1,1,1)</f>
        <v>19000</v>
      </c>
      <c r="I597" t="s">
        <v>34</v>
      </c>
      <c r="J597" t="s">
        <v>1858</v>
      </c>
      <c r="K597" t="s">
        <v>35</v>
      </c>
      <c r="L597" t="s">
        <v>35</v>
      </c>
      <c r="M597" s="11" t="s">
        <v>3918</v>
      </c>
      <c r="N597" t="s">
        <v>1860</v>
      </c>
      <c r="O597" s="7" t="s">
        <v>3921</v>
      </c>
      <c r="P597" s="17" t="str">
        <f t="shared" ca="1" si="18"/>
        <v>15-29.9K</v>
      </c>
      <c r="Q597" s="17">
        <v>5</v>
      </c>
      <c r="R597">
        <v>6</v>
      </c>
      <c r="S597">
        <v>4</v>
      </c>
      <c r="T597">
        <v>2</v>
      </c>
      <c r="U597">
        <v>2</v>
      </c>
      <c r="V597" s="15">
        <f t="shared" ca="1" si="19"/>
        <v>2</v>
      </c>
    </row>
    <row r="598" spans="1:22">
      <c r="A598" t="s">
        <v>3170</v>
      </c>
      <c r="B598" s="1">
        <v>41055.4452662037</v>
      </c>
      <c r="C598" s="2" t="s">
        <v>3171</v>
      </c>
      <c r="D598">
        <v>850000</v>
      </c>
      <c r="E598" t="s">
        <v>1908</v>
      </c>
      <c r="F598" s="5">
        <v>15136.729184326183</v>
      </c>
      <c r="G598" s="5">
        <v>42326.461507817949</v>
      </c>
      <c r="H598" s="5">
        <f ca="1">OFFSET(F598,0,Brains!$D$1,1,1)</f>
        <v>42326.461507817949</v>
      </c>
      <c r="I598" t="s">
        <v>2022</v>
      </c>
      <c r="J598" t="s">
        <v>1858</v>
      </c>
      <c r="K598" t="s">
        <v>1859</v>
      </c>
      <c r="L598" t="s">
        <v>1859</v>
      </c>
      <c r="M598" s="11" t="s">
        <v>3918</v>
      </c>
      <c r="N598" t="s">
        <v>1860</v>
      </c>
      <c r="O598" s="7" t="s">
        <v>3921</v>
      </c>
      <c r="P598" s="17" t="str">
        <f t="shared" ca="1" si="18"/>
        <v>30-49.9K</v>
      </c>
      <c r="Q598" s="17">
        <v>5</v>
      </c>
      <c r="R598">
        <v>6</v>
      </c>
      <c r="S598">
        <v>4</v>
      </c>
      <c r="T598">
        <v>2</v>
      </c>
      <c r="U598">
        <v>2</v>
      </c>
      <c r="V598" s="15">
        <f t="shared" ca="1" si="19"/>
        <v>3</v>
      </c>
    </row>
    <row r="599" spans="1:22">
      <c r="A599" t="s">
        <v>1753</v>
      </c>
      <c r="B599" s="1">
        <v>41076.742673611108</v>
      </c>
      <c r="C599" s="2" t="s">
        <v>1754</v>
      </c>
      <c r="D599">
        <v>350000</v>
      </c>
      <c r="E599" t="s">
        <v>1908</v>
      </c>
      <c r="F599" s="5">
        <v>6232.7708406048987</v>
      </c>
      <c r="G599" s="5">
        <v>17428.542973807391</v>
      </c>
      <c r="H599" s="5">
        <f ca="1">OFFSET(F599,0,Brains!$D$1,1,1)</f>
        <v>17428.542973807391</v>
      </c>
      <c r="I599" t="s">
        <v>1858</v>
      </c>
      <c r="J599" t="s">
        <v>1858</v>
      </c>
      <c r="K599" t="s">
        <v>1859</v>
      </c>
      <c r="L599" t="s">
        <v>1859</v>
      </c>
      <c r="M599" s="11" t="s">
        <v>3918</v>
      </c>
      <c r="N599" t="s">
        <v>1860</v>
      </c>
      <c r="O599" s="7" t="s">
        <v>3921</v>
      </c>
      <c r="P599" s="17" t="str">
        <f t="shared" ca="1" si="18"/>
        <v>15-29.9K</v>
      </c>
      <c r="Q599" s="17">
        <v>5</v>
      </c>
      <c r="R599">
        <v>6</v>
      </c>
      <c r="S599">
        <v>4</v>
      </c>
      <c r="T599">
        <v>2</v>
      </c>
      <c r="U599">
        <v>2</v>
      </c>
      <c r="V599" s="15">
        <f t="shared" ca="1" si="19"/>
        <v>2</v>
      </c>
    </row>
    <row r="600" spans="1:22">
      <c r="A600" t="s">
        <v>527</v>
      </c>
      <c r="B600" s="1">
        <v>41058.07640046296</v>
      </c>
      <c r="C600" s="2">
        <v>300000</v>
      </c>
      <c r="D600">
        <v>300000</v>
      </c>
      <c r="E600" t="s">
        <v>1908</v>
      </c>
      <c r="F600" s="5">
        <v>5342.3750062327708</v>
      </c>
      <c r="G600" s="5">
        <v>14938.751120406334</v>
      </c>
      <c r="H600" s="5">
        <f ca="1">OFFSET(F600,0,Brains!$D$1,1,1)</f>
        <v>14938.751120406334</v>
      </c>
      <c r="I600" t="s">
        <v>3833</v>
      </c>
      <c r="J600" t="s">
        <v>1858</v>
      </c>
      <c r="K600" t="s">
        <v>1859</v>
      </c>
      <c r="L600" t="s">
        <v>1859</v>
      </c>
      <c r="M600" s="11" t="s">
        <v>3918</v>
      </c>
      <c r="N600" t="s">
        <v>1860</v>
      </c>
      <c r="O600" s="7" t="s">
        <v>3921</v>
      </c>
      <c r="P600" s="17" t="str">
        <f t="shared" ca="1" si="18"/>
        <v>0-14.9K</v>
      </c>
      <c r="Q600" s="17">
        <v>5</v>
      </c>
      <c r="R600">
        <v>6</v>
      </c>
      <c r="S600">
        <v>4</v>
      </c>
      <c r="T600">
        <v>2</v>
      </c>
      <c r="U600">
        <v>2</v>
      </c>
      <c r="V600" s="15">
        <f t="shared" ca="1" si="19"/>
        <v>1</v>
      </c>
    </row>
    <row r="601" spans="1:22">
      <c r="A601" t="s">
        <v>1242</v>
      </c>
      <c r="B601" s="1">
        <v>41061.618530092594</v>
      </c>
      <c r="C601" s="2">
        <v>4500</v>
      </c>
      <c r="D601">
        <v>4500</v>
      </c>
      <c r="E601" t="s">
        <v>1856</v>
      </c>
      <c r="F601" s="5">
        <v>4500</v>
      </c>
      <c r="G601" s="5">
        <v>4500</v>
      </c>
      <c r="H601" s="5">
        <f ca="1">OFFSET(F601,0,Brains!$D$1,1,1)</f>
        <v>4500</v>
      </c>
      <c r="I601" t="s">
        <v>1243</v>
      </c>
      <c r="J601" t="s">
        <v>1858</v>
      </c>
      <c r="K601" t="s">
        <v>1872</v>
      </c>
      <c r="L601" t="s">
        <v>1872</v>
      </c>
      <c r="M601" s="11" t="s">
        <v>3918</v>
      </c>
      <c r="N601" t="s">
        <v>1860</v>
      </c>
      <c r="O601" s="7" t="s">
        <v>3921</v>
      </c>
      <c r="P601" s="17" t="str">
        <f t="shared" ca="1" si="18"/>
        <v>0-14.9K</v>
      </c>
      <c r="Q601" s="17">
        <v>5</v>
      </c>
      <c r="R601">
        <v>6</v>
      </c>
      <c r="S601">
        <v>4</v>
      </c>
      <c r="T601">
        <v>2</v>
      </c>
      <c r="U601">
        <v>2</v>
      </c>
      <c r="V601" s="15">
        <f t="shared" ca="1" si="19"/>
        <v>1</v>
      </c>
    </row>
    <row r="602" spans="1:22">
      <c r="A602" t="s">
        <v>3666</v>
      </c>
      <c r="B602" s="1">
        <v>41056.0702662037</v>
      </c>
      <c r="C602" s="2" t="s">
        <v>3667</v>
      </c>
      <c r="D602">
        <v>1000000</v>
      </c>
      <c r="E602" t="s">
        <v>1908</v>
      </c>
      <c r="F602" s="5">
        <v>17807.916687442568</v>
      </c>
      <c r="G602" s="5">
        <v>49795.837068021116</v>
      </c>
      <c r="H602" s="5">
        <f ca="1">OFFSET(F602,0,Brains!$D$1,1,1)</f>
        <v>49795.837068021116</v>
      </c>
      <c r="I602" t="s">
        <v>2531</v>
      </c>
      <c r="J602" t="s">
        <v>1858</v>
      </c>
      <c r="K602" t="s">
        <v>1859</v>
      </c>
      <c r="L602" t="s">
        <v>1859</v>
      </c>
      <c r="M602" s="11" t="s">
        <v>3918</v>
      </c>
      <c r="N602" t="s">
        <v>1860</v>
      </c>
      <c r="O602" s="7" t="s">
        <v>3921</v>
      </c>
      <c r="P602" s="17" t="str">
        <f t="shared" ca="1" si="18"/>
        <v>30-49.9K</v>
      </c>
      <c r="Q602" s="17">
        <v>5</v>
      </c>
      <c r="R602">
        <v>6.5</v>
      </c>
      <c r="S602">
        <v>4</v>
      </c>
      <c r="T602">
        <v>2</v>
      </c>
      <c r="U602">
        <v>2</v>
      </c>
      <c r="V602" s="15">
        <f t="shared" ca="1" si="19"/>
        <v>3</v>
      </c>
    </row>
    <row r="603" spans="1:22">
      <c r="A603" t="s">
        <v>1010</v>
      </c>
      <c r="B603" s="1">
        <v>41059.705451388887</v>
      </c>
      <c r="C603" s="2">
        <v>118000</v>
      </c>
      <c r="D603">
        <v>118000</v>
      </c>
      <c r="E603" t="s">
        <v>1880</v>
      </c>
      <c r="F603" s="5">
        <v>149907.13380100971</v>
      </c>
      <c r="G603" s="5">
        <v>148231.52256385263</v>
      </c>
      <c r="H603" s="5">
        <f ca="1">OFFSET(F603,0,Brains!$D$1,1,1)</f>
        <v>148231.52256385263</v>
      </c>
      <c r="I603" t="s">
        <v>1011</v>
      </c>
      <c r="J603" t="s">
        <v>1858</v>
      </c>
      <c r="K603" t="s">
        <v>1012</v>
      </c>
      <c r="L603" t="s">
        <v>864</v>
      </c>
      <c r="M603" s="11" t="s">
        <v>3918</v>
      </c>
      <c r="N603" t="s">
        <v>1860</v>
      </c>
      <c r="O603" s="7" t="s">
        <v>3921</v>
      </c>
      <c r="P603" s="17" t="str">
        <f t="shared" ca="1" si="18"/>
        <v>100-149.9K</v>
      </c>
      <c r="Q603" s="17">
        <v>5</v>
      </c>
      <c r="R603">
        <v>7</v>
      </c>
      <c r="S603">
        <v>4</v>
      </c>
      <c r="T603">
        <v>2</v>
      </c>
      <c r="U603">
        <v>2</v>
      </c>
      <c r="V603" s="15">
        <f t="shared" ca="1" si="19"/>
        <v>6</v>
      </c>
    </row>
    <row r="604" spans="1:22">
      <c r="A604" t="s">
        <v>850</v>
      </c>
      <c r="B604" s="1">
        <v>41058.908483796295</v>
      </c>
      <c r="C604" s="2" t="s">
        <v>851</v>
      </c>
      <c r="D604">
        <v>60000</v>
      </c>
      <c r="E604" t="s">
        <v>1954</v>
      </c>
      <c r="F604" s="5">
        <v>94570.696324037053</v>
      </c>
      <c r="G604" s="5">
        <v>89020.771513353116</v>
      </c>
      <c r="H604" s="5">
        <f ca="1">OFFSET(F604,0,Brains!$D$1,1,1)</f>
        <v>89020.771513353116</v>
      </c>
      <c r="I604" t="s">
        <v>1858</v>
      </c>
      <c r="J604" t="s">
        <v>1858</v>
      </c>
      <c r="K604" t="s">
        <v>1956</v>
      </c>
      <c r="L604" t="s">
        <v>1956</v>
      </c>
      <c r="M604" s="11" t="s">
        <v>3918</v>
      </c>
      <c r="N604" t="s">
        <v>1860</v>
      </c>
      <c r="O604" s="7" t="s">
        <v>3921</v>
      </c>
      <c r="P604" s="17" t="str">
        <f t="shared" ca="1" si="18"/>
        <v>75-99.9K</v>
      </c>
      <c r="Q604" s="17">
        <v>5</v>
      </c>
      <c r="R604">
        <v>7</v>
      </c>
      <c r="S604">
        <v>4</v>
      </c>
      <c r="T604">
        <v>2</v>
      </c>
      <c r="U604">
        <v>2</v>
      </c>
      <c r="V604" s="15">
        <f t="shared" ca="1" si="19"/>
        <v>5</v>
      </c>
    </row>
    <row r="605" spans="1:22">
      <c r="A605" t="s">
        <v>3431</v>
      </c>
      <c r="B605" s="1">
        <v>41055.666481481479</v>
      </c>
      <c r="C605" s="2" t="s">
        <v>3432</v>
      </c>
      <c r="D605">
        <v>66000</v>
      </c>
      <c r="E605" t="s">
        <v>1880</v>
      </c>
      <c r="F605" s="5">
        <v>83846.362973446114</v>
      </c>
      <c r="G605" s="5">
        <v>82909.156688256553</v>
      </c>
      <c r="H605" s="5">
        <f ca="1">OFFSET(F605,0,Brains!$D$1,1,1)</f>
        <v>82909.156688256553</v>
      </c>
      <c r="I605" t="s">
        <v>3433</v>
      </c>
      <c r="J605" t="s">
        <v>1858</v>
      </c>
      <c r="K605" t="s">
        <v>2529</v>
      </c>
      <c r="L605" t="s">
        <v>1883</v>
      </c>
      <c r="M605" s="11" t="s">
        <v>3918</v>
      </c>
      <c r="N605" t="s">
        <v>1860</v>
      </c>
      <c r="O605" s="7" t="s">
        <v>3921</v>
      </c>
      <c r="P605" s="17" t="str">
        <f t="shared" ca="1" si="18"/>
        <v>75-99.9K</v>
      </c>
      <c r="Q605" s="17">
        <v>5</v>
      </c>
      <c r="R605">
        <v>7</v>
      </c>
      <c r="S605">
        <v>4</v>
      </c>
      <c r="T605">
        <v>2</v>
      </c>
      <c r="U605">
        <v>2</v>
      </c>
      <c r="V605" s="15">
        <f t="shared" ca="1" si="19"/>
        <v>5</v>
      </c>
    </row>
    <row r="606" spans="1:22">
      <c r="A606" t="s">
        <v>1225</v>
      </c>
      <c r="B606" s="1">
        <v>41061.272094907406</v>
      </c>
      <c r="C606" s="2">
        <v>80000</v>
      </c>
      <c r="D606">
        <v>80000</v>
      </c>
      <c r="E606" t="s">
        <v>1979</v>
      </c>
      <c r="F606" s="5">
        <v>78668.921842426149</v>
      </c>
      <c r="G606" s="5">
        <v>64051.240992794228</v>
      </c>
      <c r="H606" s="5">
        <f ca="1">OFFSET(F606,0,Brains!$D$1,1,1)</f>
        <v>64051.240992794228</v>
      </c>
      <c r="I606" t="s">
        <v>1226</v>
      </c>
      <c r="J606" t="s">
        <v>1858</v>
      </c>
      <c r="K606" t="s">
        <v>1981</v>
      </c>
      <c r="L606" t="s">
        <v>1981</v>
      </c>
      <c r="M606" s="11" t="s">
        <v>3918</v>
      </c>
      <c r="N606" t="s">
        <v>1860</v>
      </c>
      <c r="O606" s="7" t="s">
        <v>3921</v>
      </c>
      <c r="P606" s="17" t="str">
        <f t="shared" ca="1" si="18"/>
        <v>50-74.9K</v>
      </c>
      <c r="Q606" s="17">
        <v>5</v>
      </c>
      <c r="R606">
        <v>7</v>
      </c>
      <c r="S606">
        <v>4</v>
      </c>
      <c r="T606">
        <v>2</v>
      </c>
      <c r="U606">
        <v>2</v>
      </c>
      <c r="V606" s="15">
        <f t="shared" ca="1" si="19"/>
        <v>4</v>
      </c>
    </row>
    <row r="607" spans="1:22">
      <c r="A607" t="s">
        <v>867</v>
      </c>
      <c r="B607" s="1">
        <v>41058.926608796297</v>
      </c>
      <c r="C607" s="2">
        <v>77500</v>
      </c>
      <c r="D607">
        <v>77500</v>
      </c>
      <c r="E607" t="s">
        <v>1856</v>
      </c>
      <c r="F607" s="5">
        <v>77500</v>
      </c>
      <c r="G607" s="5">
        <v>77500</v>
      </c>
      <c r="H607" s="5">
        <f ca="1">OFFSET(F607,0,Brains!$D$1,1,1)</f>
        <v>77500</v>
      </c>
      <c r="I607" t="s">
        <v>2310</v>
      </c>
      <c r="J607" t="s">
        <v>1858</v>
      </c>
      <c r="K607" t="s">
        <v>1869</v>
      </c>
      <c r="L607" t="s">
        <v>1869</v>
      </c>
      <c r="M607" s="11" t="s">
        <v>3918</v>
      </c>
      <c r="N607" t="s">
        <v>1860</v>
      </c>
      <c r="O607" s="7" t="s">
        <v>3921</v>
      </c>
      <c r="P607" s="17" t="str">
        <f t="shared" ca="1" si="18"/>
        <v>75-99.9K</v>
      </c>
      <c r="Q607" s="17">
        <v>5</v>
      </c>
      <c r="R607">
        <v>7</v>
      </c>
      <c r="S607">
        <v>4</v>
      </c>
      <c r="T607">
        <v>2</v>
      </c>
      <c r="U607">
        <v>2</v>
      </c>
      <c r="V607" s="15">
        <f t="shared" ca="1" si="19"/>
        <v>5</v>
      </c>
    </row>
    <row r="608" spans="1:22">
      <c r="A608" t="s">
        <v>793</v>
      </c>
      <c r="B608" s="1">
        <v>41058.792916666665</v>
      </c>
      <c r="C608" s="2">
        <v>75000</v>
      </c>
      <c r="D608">
        <v>75000</v>
      </c>
      <c r="E608" t="s">
        <v>1856</v>
      </c>
      <c r="F608" s="5">
        <v>75000</v>
      </c>
      <c r="G608" s="5">
        <v>75000</v>
      </c>
      <c r="H608" s="5">
        <f ca="1">OFFSET(F608,0,Brains!$D$1,1,1)</f>
        <v>75000</v>
      </c>
      <c r="I608" t="s">
        <v>1868</v>
      </c>
      <c r="J608" t="s">
        <v>1858</v>
      </c>
      <c r="K608" t="s">
        <v>1869</v>
      </c>
      <c r="L608" t="s">
        <v>1869</v>
      </c>
      <c r="M608" s="11" t="s">
        <v>3918</v>
      </c>
      <c r="N608" t="s">
        <v>1860</v>
      </c>
      <c r="O608" s="7" t="s">
        <v>3921</v>
      </c>
      <c r="P608" s="17" t="str">
        <f t="shared" ca="1" si="18"/>
        <v>75-99.9K</v>
      </c>
      <c r="Q608" s="17">
        <v>5</v>
      </c>
      <c r="R608">
        <v>7</v>
      </c>
      <c r="S608">
        <v>4</v>
      </c>
      <c r="T608">
        <v>2</v>
      </c>
      <c r="U608">
        <v>2</v>
      </c>
      <c r="V608" s="15">
        <f t="shared" ca="1" si="19"/>
        <v>5</v>
      </c>
    </row>
    <row r="609" spans="1:22">
      <c r="A609" t="s">
        <v>921</v>
      </c>
      <c r="B609" s="1">
        <v>41059.059224537035</v>
      </c>
      <c r="C609" s="2">
        <v>50000</v>
      </c>
      <c r="D609">
        <v>50000</v>
      </c>
      <c r="E609" t="s">
        <v>1856</v>
      </c>
      <c r="F609" s="5">
        <v>50000</v>
      </c>
      <c r="G609" s="5">
        <v>50000</v>
      </c>
      <c r="H609" s="5">
        <f ca="1">OFFSET(F609,0,Brains!$D$1,1,1)</f>
        <v>50000</v>
      </c>
      <c r="I609" t="s">
        <v>922</v>
      </c>
      <c r="J609" t="s">
        <v>1858</v>
      </c>
      <c r="K609" t="s">
        <v>1869</v>
      </c>
      <c r="L609" t="s">
        <v>1869</v>
      </c>
      <c r="M609" s="11" t="s">
        <v>3918</v>
      </c>
      <c r="N609" t="s">
        <v>1860</v>
      </c>
      <c r="O609" s="7" t="s">
        <v>3921</v>
      </c>
      <c r="P609" s="17" t="str">
        <f t="shared" ca="1" si="18"/>
        <v>50-74.9K</v>
      </c>
      <c r="Q609" s="17">
        <v>5</v>
      </c>
      <c r="R609">
        <v>7</v>
      </c>
      <c r="S609">
        <v>4</v>
      </c>
      <c r="T609">
        <v>2</v>
      </c>
      <c r="U609">
        <v>2</v>
      </c>
      <c r="V609" s="15">
        <f t="shared" ca="1" si="19"/>
        <v>4</v>
      </c>
    </row>
    <row r="610" spans="1:22">
      <c r="A610" t="s">
        <v>1163</v>
      </c>
      <c r="B610" s="1">
        <v>41060.827418981484</v>
      </c>
      <c r="C610" s="2" t="s">
        <v>2071</v>
      </c>
      <c r="D610">
        <v>30000</v>
      </c>
      <c r="E610" t="s">
        <v>1954</v>
      </c>
      <c r="F610" s="5">
        <v>47285.348162018527</v>
      </c>
      <c r="G610" s="5">
        <v>44510.385756676558</v>
      </c>
      <c r="H610" s="5">
        <f ca="1">OFFSET(F610,0,Brains!$D$1,1,1)</f>
        <v>44510.385756676558</v>
      </c>
      <c r="I610" t="s">
        <v>3045</v>
      </c>
      <c r="J610" t="s">
        <v>1858</v>
      </c>
      <c r="K610" t="s">
        <v>1956</v>
      </c>
      <c r="L610" t="s">
        <v>1956</v>
      </c>
      <c r="M610" s="11" t="s">
        <v>3918</v>
      </c>
      <c r="N610" t="s">
        <v>1860</v>
      </c>
      <c r="O610" s="7" t="s">
        <v>3921</v>
      </c>
      <c r="P610" s="17" t="str">
        <f t="shared" ca="1" si="18"/>
        <v>30-49.9K</v>
      </c>
      <c r="Q610" s="17">
        <v>5</v>
      </c>
      <c r="R610">
        <v>7</v>
      </c>
      <c r="S610">
        <v>4</v>
      </c>
      <c r="T610">
        <v>2</v>
      </c>
      <c r="U610">
        <v>2</v>
      </c>
      <c r="V610" s="15">
        <f t="shared" ca="1" si="19"/>
        <v>3</v>
      </c>
    </row>
    <row r="611" spans="1:22">
      <c r="A611" t="s">
        <v>618</v>
      </c>
      <c r="B611" s="1">
        <v>41058.423344907409</v>
      </c>
      <c r="C611" s="2">
        <v>45000</v>
      </c>
      <c r="D611">
        <v>45000</v>
      </c>
      <c r="E611" t="s">
        <v>1856</v>
      </c>
      <c r="F611" s="5">
        <v>45000</v>
      </c>
      <c r="G611" s="5">
        <v>45000</v>
      </c>
      <c r="H611" s="5">
        <f ca="1">OFFSET(F611,0,Brains!$D$1,1,1)</f>
        <v>45000</v>
      </c>
      <c r="I611" t="s">
        <v>619</v>
      </c>
      <c r="J611" t="s">
        <v>1858</v>
      </c>
      <c r="K611" t="s">
        <v>1869</v>
      </c>
      <c r="L611" t="s">
        <v>1869</v>
      </c>
      <c r="M611" s="11" t="s">
        <v>3918</v>
      </c>
      <c r="N611" t="s">
        <v>1860</v>
      </c>
      <c r="O611" s="7" t="s">
        <v>3921</v>
      </c>
      <c r="P611" s="17" t="str">
        <f t="shared" ca="1" si="18"/>
        <v>30-49.9K</v>
      </c>
      <c r="Q611" s="17">
        <v>5</v>
      </c>
      <c r="R611">
        <v>7</v>
      </c>
      <c r="S611">
        <v>4</v>
      </c>
      <c r="T611">
        <v>2</v>
      </c>
      <c r="U611">
        <v>2</v>
      </c>
      <c r="V611" s="15">
        <f t="shared" ca="1" si="19"/>
        <v>3</v>
      </c>
    </row>
    <row r="612" spans="1:22">
      <c r="A612" t="s">
        <v>675</v>
      </c>
      <c r="B612" s="1">
        <v>41058.579606481479</v>
      </c>
      <c r="C612" s="2" t="s">
        <v>676</v>
      </c>
      <c r="D612">
        <v>1500000</v>
      </c>
      <c r="E612" t="s">
        <v>1908</v>
      </c>
      <c r="F612" s="5">
        <v>26711.875031163851</v>
      </c>
      <c r="G612" s="5">
        <v>74693.75560203167</v>
      </c>
      <c r="H612" s="5">
        <f ca="1">OFFSET(F612,0,Brains!$D$1,1,1)</f>
        <v>74693.75560203167</v>
      </c>
      <c r="I612" t="s">
        <v>1858</v>
      </c>
      <c r="J612" t="s">
        <v>1858</v>
      </c>
      <c r="K612" t="s">
        <v>1859</v>
      </c>
      <c r="L612" t="s">
        <v>1859</v>
      </c>
      <c r="M612" s="11" t="s">
        <v>3918</v>
      </c>
      <c r="N612" t="s">
        <v>1860</v>
      </c>
      <c r="O612" s="7" t="s">
        <v>3921</v>
      </c>
      <c r="P612" s="17" t="str">
        <f t="shared" ca="1" si="18"/>
        <v>50-74.9K</v>
      </c>
      <c r="Q612" s="17">
        <v>5</v>
      </c>
      <c r="R612">
        <v>7</v>
      </c>
      <c r="S612">
        <v>4</v>
      </c>
      <c r="T612">
        <v>2</v>
      </c>
      <c r="U612">
        <v>2</v>
      </c>
      <c r="V612" s="15">
        <f t="shared" ca="1" si="19"/>
        <v>4</v>
      </c>
    </row>
    <row r="613" spans="1:22">
      <c r="A613" t="s">
        <v>192</v>
      </c>
      <c r="B613" s="1">
        <v>41057.618090277778</v>
      </c>
      <c r="C613" s="2">
        <v>100000</v>
      </c>
      <c r="D613">
        <v>1200000</v>
      </c>
      <c r="E613" t="s">
        <v>1908</v>
      </c>
      <c r="F613" s="5">
        <v>21369.500024931083</v>
      </c>
      <c r="G613" s="5">
        <v>59755.004481625336</v>
      </c>
      <c r="H613" s="5">
        <f ca="1">OFFSET(F613,0,Brains!$D$1,1,1)</f>
        <v>59755.004481625336</v>
      </c>
      <c r="I613" t="s">
        <v>3191</v>
      </c>
      <c r="J613" t="s">
        <v>1858</v>
      </c>
      <c r="K613" t="s">
        <v>1859</v>
      </c>
      <c r="L613" t="s">
        <v>1859</v>
      </c>
      <c r="M613" s="11" t="s">
        <v>3918</v>
      </c>
      <c r="N613" t="s">
        <v>1860</v>
      </c>
      <c r="O613" s="7" t="s">
        <v>3921</v>
      </c>
      <c r="P613" s="17" t="str">
        <f t="shared" ca="1" si="18"/>
        <v>50-74.9K</v>
      </c>
      <c r="Q613" s="17">
        <v>5</v>
      </c>
      <c r="R613">
        <v>7</v>
      </c>
      <c r="S613">
        <v>4</v>
      </c>
      <c r="T613">
        <v>2</v>
      </c>
      <c r="U613">
        <v>2</v>
      </c>
      <c r="V613" s="15">
        <f t="shared" ca="1" si="19"/>
        <v>4</v>
      </c>
    </row>
    <row r="614" spans="1:22">
      <c r="A614" t="s">
        <v>184</v>
      </c>
      <c r="B614" s="1">
        <v>41057.613657407404</v>
      </c>
      <c r="C614" s="2" t="s">
        <v>185</v>
      </c>
      <c r="D614">
        <v>18000</v>
      </c>
      <c r="E614" t="s">
        <v>1856</v>
      </c>
      <c r="F614" s="5">
        <v>18000</v>
      </c>
      <c r="G614" s="5">
        <v>18000</v>
      </c>
      <c r="H614" s="5">
        <f ca="1">OFFSET(F614,0,Brains!$D$1,1,1)</f>
        <v>18000</v>
      </c>
      <c r="I614" t="s">
        <v>1858</v>
      </c>
      <c r="J614" t="s">
        <v>1858</v>
      </c>
      <c r="K614" t="s">
        <v>1959</v>
      </c>
      <c r="L614" t="s">
        <v>1959</v>
      </c>
      <c r="M614" s="11" t="s">
        <v>3918</v>
      </c>
      <c r="N614" t="s">
        <v>1860</v>
      </c>
      <c r="O614" s="7" t="s">
        <v>3921</v>
      </c>
      <c r="P614" s="17" t="str">
        <f t="shared" ca="1" si="18"/>
        <v>15-29.9K</v>
      </c>
      <c r="Q614" s="17">
        <v>5</v>
      </c>
      <c r="R614">
        <v>7</v>
      </c>
      <c r="S614">
        <v>4</v>
      </c>
      <c r="T614">
        <v>2</v>
      </c>
      <c r="U614">
        <v>2</v>
      </c>
      <c r="V614" s="15">
        <f t="shared" ca="1" si="19"/>
        <v>2</v>
      </c>
    </row>
    <row r="615" spans="1:22">
      <c r="A615" t="s">
        <v>48</v>
      </c>
      <c r="B615" s="1">
        <v>41057.410694444443</v>
      </c>
      <c r="C615" s="2" t="s">
        <v>2677</v>
      </c>
      <c r="D615">
        <v>500000</v>
      </c>
      <c r="E615" t="s">
        <v>1908</v>
      </c>
      <c r="F615" s="5">
        <v>8903.9583437212841</v>
      </c>
      <c r="G615" s="5">
        <v>24897.918534010558</v>
      </c>
      <c r="H615" s="5">
        <f ca="1">OFFSET(F615,0,Brains!$D$1,1,1)</f>
        <v>24897.918534010558</v>
      </c>
      <c r="I615" t="s">
        <v>2195</v>
      </c>
      <c r="J615" t="s">
        <v>1858</v>
      </c>
      <c r="K615" t="s">
        <v>1859</v>
      </c>
      <c r="L615" t="s">
        <v>1859</v>
      </c>
      <c r="M615" s="11" t="s">
        <v>3918</v>
      </c>
      <c r="N615" t="s">
        <v>1860</v>
      </c>
      <c r="O615" s="7" t="s">
        <v>3921</v>
      </c>
      <c r="P615" s="17" t="str">
        <f t="shared" ca="1" si="18"/>
        <v>15-29.9K</v>
      </c>
      <c r="Q615" s="17">
        <v>5</v>
      </c>
      <c r="R615">
        <v>7</v>
      </c>
      <c r="S615">
        <v>4</v>
      </c>
      <c r="T615">
        <v>2</v>
      </c>
      <c r="U615">
        <v>2</v>
      </c>
      <c r="V615" s="15">
        <f t="shared" ca="1" si="19"/>
        <v>2</v>
      </c>
    </row>
    <row r="616" spans="1:22">
      <c r="A616" t="s">
        <v>965</v>
      </c>
      <c r="B616" s="1">
        <v>41059.517627314817</v>
      </c>
      <c r="C616" s="2">
        <v>480000</v>
      </c>
      <c r="D616">
        <v>480000</v>
      </c>
      <c r="E616" t="s">
        <v>1908</v>
      </c>
      <c r="F616" s="5">
        <v>8547.8000099724322</v>
      </c>
      <c r="G616" s="5">
        <v>23902.001792650135</v>
      </c>
      <c r="H616" s="5">
        <f ca="1">OFFSET(F616,0,Brains!$D$1,1,1)</f>
        <v>23902.001792650135</v>
      </c>
      <c r="I616" t="s">
        <v>425</v>
      </c>
      <c r="J616" t="s">
        <v>1858</v>
      </c>
      <c r="K616" t="s">
        <v>1859</v>
      </c>
      <c r="L616" t="s">
        <v>1859</v>
      </c>
      <c r="M616" s="11" t="s">
        <v>3918</v>
      </c>
      <c r="N616" t="s">
        <v>1860</v>
      </c>
      <c r="O616" s="7" t="s">
        <v>3921</v>
      </c>
      <c r="P616" s="17" t="str">
        <f t="shared" ca="1" si="18"/>
        <v>15-29.9K</v>
      </c>
      <c r="Q616" s="17">
        <v>5</v>
      </c>
      <c r="R616">
        <v>7</v>
      </c>
      <c r="S616">
        <v>4</v>
      </c>
      <c r="T616">
        <v>2</v>
      </c>
      <c r="U616">
        <v>2</v>
      </c>
      <c r="V616" s="15">
        <f t="shared" ca="1" si="19"/>
        <v>2</v>
      </c>
    </row>
    <row r="617" spans="1:22">
      <c r="A617" t="s">
        <v>453</v>
      </c>
      <c r="B617" s="1">
        <v>41057.971944444442</v>
      </c>
      <c r="C617" s="2" t="s">
        <v>454</v>
      </c>
      <c r="D617">
        <v>540000</v>
      </c>
      <c r="E617" t="s">
        <v>1908</v>
      </c>
      <c r="F617" s="5">
        <v>9616.275011218986</v>
      </c>
      <c r="G617" s="5">
        <v>26889.7520167314</v>
      </c>
      <c r="H617" s="5">
        <f ca="1">OFFSET(F617,0,Brains!$D$1,1,1)</f>
        <v>26889.7520167314</v>
      </c>
      <c r="I617" t="s">
        <v>455</v>
      </c>
      <c r="J617" t="s">
        <v>1858</v>
      </c>
      <c r="K617" t="s">
        <v>1859</v>
      </c>
      <c r="L617" t="s">
        <v>1859</v>
      </c>
      <c r="M617" s="11" t="s">
        <v>3918</v>
      </c>
      <c r="N617" t="s">
        <v>1860</v>
      </c>
      <c r="O617" s="7" t="s">
        <v>3921</v>
      </c>
      <c r="P617" s="17" t="str">
        <f t="shared" ca="1" si="18"/>
        <v>15-29.9K</v>
      </c>
      <c r="Q617" s="17">
        <v>5</v>
      </c>
      <c r="R617">
        <v>7.9</v>
      </c>
      <c r="S617">
        <v>4</v>
      </c>
      <c r="T617">
        <v>2</v>
      </c>
      <c r="U617">
        <v>2</v>
      </c>
      <c r="V617" s="15">
        <f t="shared" ca="1" si="19"/>
        <v>2</v>
      </c>
    </row>
    <row r="618" spans="1:22">
      <c r="A618" t="s">
        <v>1803</v>
      </c>
      <c r="B618" s="1">
        <v>41079.814872685187</v>
      </c>
      <c r="C618" s="2">
        <v>74000</v>
      </c>
      <c r="D618">
        <v>74000</v>
      </c>
      <c r="E618" t="s">
        <v>1973</v>
      </c>
      <c r="F618" s="5">
        <v>75473.31457379504</v>
      </c>
      <c r="G618" s="5">
        <v>47073.791348600513</v>
      </c>
      <c r="H618" s="5">
        <f ca="1">OFFSET(F618,0,Brains!$D$1,1,1)</f>
        <v>47073.791348600513</v>
      </c>
      <c r="I618" t="s">
        <v>271</v>
      </c>
      <c r="J618" t="s">
        <v>1858</v>
      </c>
      <c r="K618" t="s">
        <v>1975</v>
      </c>
      <c r="L618" t="s">
        <v>1975</v>
      </c>
      <c r="M618" s="11" t="s">
        <v>3918</v>
      </c>
      <c r="N618" t="s">
        <v>1860</v>
      </c>
      <c r="O618" s="7" t="s">
        <v>3921</v>
      </c>
      <c r="P618" s="17" t="str">
        <f t="shared" ca="1" si="18"/>
        <v>30-49.9K</v>
      </c>
      <c r="Q618" s="17">
        <v>5</v>
      </c>
      <c r="R618">
        <v>8</v>
      </c>
      <c r="S618">
        <v>4</v>
      </c>
      <c r="T618">
        <v>2</v>
      </c>
      <c r="U618">
        <v>2</v>
      </c>
      <c r="V618" s="15">
        <f t="shared" ca="1" si="19"/>
        <v>3</v>
      </c>
    </row>
    <row r="619" spans="1:22">
      <c r="A619" t="s">
        <v>1436</v>
      </c>
      <c r="B619" s="1">
        <v>41065.916435185187</v>
      </c>
      <c r="C619" s="2">
        <v>65000</v>
      </c>
      <c r="D619">
        <v>65000</v>
      </c>
      <c r="E619" t="s">
        <v>1856</v>
      </c>
      <c r="F619" s="5">
        <v>65000</v>
      </c>
      <c r="G619" s="5">
        <v>65000</v>
      </c>
      <c r="H619" s="5">
        <f ca="1">OFFSET(F619,0,Brains!$D$1,1,1)</f>
        <v>65000</v>
      </c>
      <c r="I619" t="s">
        <v>2195</v>
      </c>
      <c r="J619" t="s">
        <v>1858</v>
      </c>
      <c r="K619" t="s">
        <v>1869</v>
      </c>
      <c r="L619" t="s">
        <v>1869</v>
      </c>
      <c r="M619" s="11" t="s">
        <v>3918</v>
      </c>
      <c r="N619" t="s">
        <v>1860</v>
      </c>
      <c r="O619" s="7" t="s">
        <v>3921</v>
      </c>
      <c r="P619" s="17" t="str">
        <f t="shared" ca="1" si="18"/>
        <v>50-74.9K</v>
      </c>
      <c r="Q619" s="17">
        <v>5</v>
      </c>
      <c r="R619">
        <v>8</v>
      </c>
      <c r="S619">
        <v>4</v>
      </c>
      <c r="T619">
        <v>2</v>
      </c>
      <c r="U619">
        <v>2</v>
      </c>
      <c r="V619" s="15">
        <f t="shared" ca="1" si="19"/>
        <v>4</v>
      </c>
    </row>
    <row r="620" spans="1:22">
      <c r="A620" t="s">
        <v>696</v>
      </c>
      <c r="B620" s="1">
        <v>41058.624432870369</v>
      </c>
      <c r="C620" s="2" t="s">
        <v>697</v>
      </c>
      <c r="D620">
        <v>48500</v>
      </c>
      <c r="E620" t="s">
        <v>1880</v>
      </c>
      <c r="F620" s="5">
        <v>61614.372791092981</v>
      </c>
      <c r="G620" s="5">
        <v>60925.668172430953</v>
      </c>
      <c r="H620" s="5">
        <f ca="1">OFFSET(F620,0,Brains!$D$1,1,1)</f>
        <v>60925.668172430953</v>
      </c>
      <c r="I620" t="s">
        <v>698</v>
      </c>
      <c r="J620" t="s">
        <v>1858</v>
      </c>
      <c r="K620" t="s">
        <v>2998</v>
      </c>
      <c r="L620" t="s">
        <v>2998</v>
      </c>
      <c r="M620" s="11" t="s">
        <v>3918</v>
      </c>
      <c r="N620" t="s">
        <v>1860</v>
      </c>
      <c r="O620" s="7" t="s">
        <v>3921</v>
      </c>
      <c r="P620" s="17" t="str">
        <f t="shared" ca="1" si="18"/>
        <v>50-74.9K</v>
      </c>
      <c r="Q620" s="17">
        <v>5</v>
      </c>
      <c r="R620">
        <v>8</v>
      </c>
      <c r="S620">
        <v>4</v>
      </c>
      <c r="T620">
        <v>2</v>
      </c>
      <c r="U620">
        <v>2</v>
      </c>
      <c r="V620" s="15">
        <f t="shared" ca="1" si="19"/>
        <v>4</v>
      </c>
    </row>
    <row r="621" spans="1:22">
      <c r="A621" t="s">
        <v>812</v>
      </c>
      <c r="B621" s="1">
        <v>41058.819155092591</v>
      </c>
      <c r="C621" s="2" t="s">
        <v>813</v>
      </c>
      <c r="D621">
        <v>4000000</v>
      </c>
      <c r="E621" t="s">
        <v>814</v>
      </c>
      <c r="F621" s="5">
        <v>50694.322109187968</v>
      </c>
      <c r="G621" s="5">
        <v>38498.55630413859</v>
      </c>
      <c r="H621" s="5">
        <f ca="1">OFFSET(F621,0,Brains!$D$1,1,1)</f>
        <v>38498.55630413859</v>
      </c>
      <c r="I621" t="s">
        <v>815</v>
      </c>
      <c r="J621" t="s">
        <v>1858</v>
      </c>
      <c r="K621" t="s">
        <v>3048</v>
      </c>
      <c r="L621" t="s">
        <v>3048</v>
      </c>
      <c r="M621" s="11" t="s">
        <v>3918</v>
      </c>
      <c r="N621" t="s">
        <v>1860</v>
      </c>
      <c r="O621" s="7" t="s">
        <v>3921</v>
      </c>
      <c r="P621" s="17" t="str">
        <f t="shared" ca="1" si="18"/>
        <v>30-49.9K</v>
      </c>
      <c r="Q621" s="17">
        <v>5</v>
      </c>
      <c r="R621">
        <v>8</v>
      </c>
      <c r="S621">
        <v>4</v>
      </c>
      <c r="T621">
        <v>2</v>
      </c>
      <c r="U621">
        <v>2</v>
      </c>
      <c r="V621" s="15">
        <f t="shared" ca="1" si="19"/>
        <v>3</v>
      </c>
    </row>
    <row r="622" spans="1:22">
      <c r="A622" t="s">
        <v>1825</v>
      </c>
      <c r="B622" s="1">
        <v>41080.163831018515</v>
      </c>
      <c r="C622" s="2">
        <v>46000</v>
      </c>
      <c r="D622">
        <v>46000</v>
      </c>
      <c r="E622" t="s">
        <v>1856</v>
      </c>
      <c r="F622" s="5">
        <v>46000</v>
      </c>
      <c r="G622" s="5">
        <v>46000</v>
      </c>
      <c r="H622" s="5">
        <f ca="1">OFFSET(F622,0,Brains!$D$1,1,1)</f>
        <v>46000</v>
      </c>
      <c r="I622" t="s">
        <v>1826</v>
      </c>
      <c r="J622" t="s">
        <v>1858</v>
      </c>
      <c r="K622" t="s">
        <v>1869</v>
      </c>
      <c r="L622" t="s">
        <v>1869</v>
      </c>
      <c r="M622" s="11" t="s">
        <v>3918</v>
      </c>
      <c r="N622" t="s">
        <v>1860</v>
      </c>
      <c r="O622" s="7" t="s">
        <v>3921</v>
      </c>
      <c r="P622" s="17" t="str">
        <f t="shared" ca="1" si="18"/>
        <v>30-49.9K</v>
      </c>
      <c r="Q622" s="17">
        <v>5</v>
      </c>
      <c r="R622">
        <v>8</v>
      </c>
      <c r="S622">
        <v>4</v>
      </c>
      <c r="T622">
        <v>2</v>
      </c>
      <c r="U622">
        <v>2</v>
      </c>
      <c r="V622" s="15">
        <f t="shared" ca="1" si="19"/>
        <v>3</v>
      </c>
    </row>
    <row r="623" spans="1:22">
      <c r="A623" t="s">
        <v>1114</v>
      </c>
      <c r="B623" s="1">
        <v>41060.266608796293</v>
      </c>
      <c r="C623" s="2">
        <v>45000</v>
      </c>
      <c r="D623">
        <v>45000</v>
      </c>
      <c r="E623" t="s">
        <v>1856</v>
      </c>
      <c r="F623" s="5">
        <v>45000</v>
      </c>
      <c r="G623" s="5">
        <v>45000</v>
      </c>
      <c r="H623" s="5">
        <f ca="1">OFFSET(F623,0,Brains!$D$1,1,1)</f>
        <v>45000</v>
      </c>
      <c r="I623" t="s">
        <v>2195</v>
      </c>
      <c r="J623" t="s">
        <v>1858</v>
      </c>
      <c r="K623" t="s">
        <v>1869</v>
      </c>
      <c r="L623" t="s">
        <v>1869</v>
      </c>
      <c r="M623" s="11" t="s">
        <v>3918</v>
      </c>
      <c r="N623" t="s">
        <v>1860</v>
      </c>
      <c r="O623" s="7" t="s">
        <v>3921</v>
      </c>
      <c r="P623" s="17" t="str">
        <f t="shared" ca="1" si="18"/>
        <v>30-49.9K</v>
      </c>
      <c r="Q623" s="17">
        <v>5</v>
      </c>
      <c r="R623">
        <v>8</v>
      </c>
      <c r="S623">
        <v>4</v>
      </c>
      <c r="T623">
        <v>2</v>
      </c>
      <c r="U623">
        <v>2</v>
      </c>
      <c r="V623" s="15">
        <f t="shared" ca="1" si="19"/>
        <v>3</v>
      </c>
    </row>
    <row r="624" spans="1:22">
      <c r="A624" t="s">
        <v>3116</v>
      </c>
      <c r="B624" s="1">
        <v>41055.337071759262</v>
      </c>
      <c r="C624" s="2">
        <v>40414</v>
      </c>
      <c r="D624">
        <v>40414</v>
      </c>
      <c r="E624" t="s">
        <v>1856</v>
      </c>
      <c r="F624" s="5">
        <v>40414</v>
      </c>
      <c r="G624" s="5">
        <v>40414</v>
      </c>
      <c r="H624" s="5">
        <f ca="1">OFFSET(F624,0,Brains!$D$1,1,1)</f>
        <v>40414</v>
      </c>
      <c r="I624" t="s">
        <v>3117</v>
      </c>
      <c r="J624" t="s">
        <v>1858</v>
      </c>
      <c r="K624" t="s">
        <v>1869</v>
      </c>
      <c r="L624" t="s">
        <v>1869</v>
      </c>
      <c r="M624" s="11" t="s">
        <v>3918</v>
      </c>
      <c r="N624" t="s">
        <v>1860</v>
      </c>
      <c r="O624" s="7" t="s">
        <v>3921</v>
      </c>
      <c r="P624" s="17" t="str">
        <f t="shared" ca="1" si="18"/>
        <v>30-49.9K</v>
      </c>
      <c r="Q624" s="17">
        <v>5</v>
      </c>
      <c r="R624">
        <v>8</v>
      </c>
      <c r="S624">
        <v>4</v>
      </c>
      <c r="T624">
        <v>2</v>
      </c>
      <c r="U624">
        <v>2</v>
      </c>
      <c r="V624" s="15">
        <f t="shared" ca="1" si="19"/>
        <v>3</v>
      </c>
    </row>
    <row r="625" spans="1:22">
      <c r="A625" t="s">
        <v>1195</v>
      </c>
      <c r="B625" s="1">
        <v>41061.01290509259</v>
      </c>
      <c r="C625" s="2" t="s">
        <v>1196</v>
      </c>
      <c r="D625">
        <v>40000</v>
      </c>
      <c r="E625" t="s">
        <v>1856</v>
      </c>
      <c r="F625" s="5">
        <v>40000</v>
      </c>
      <c r="G625" s="5">
        <v>40000</v>
      </c>
      <c r="H625" s="5">
        <f ca="1">OFFSET(F625,0,Brains!$D$1,1,1)</f>
        <v>40000</v>
      </c>
      <c r="I625" t="s">
        <v>1197</v>
      </c>
      <c r="J625" t="s">
        <v>1858</v>
      </c>
      <c r="K625" t="s">
        <v>1869</v>
      </c>
      <c r="L625" t="s">
        <v>1869</v>
      </c>
      <c r="M625" s="11" t="s">
        <v>3918</v>
      </c>
      <c r="N625" t="s">
        <v>1860</v>
      </c>
      <c r="O625" s="7" t="s">
        <v>3921</v>
      </c>
      <c r="P625" s="17" t="str">
        <f t="shared" ca="1" si="18"/>
        <v>30-49.9K</v>
      </c>
      <c r="Q625" s="17">
        <v>5</v>
      </c>
      <c r="R625">
        <v>8</v>
      </c>
      <c r="S625">
        <v>4</v>
      </c>
      <c r="T625">
        <v>2</v>
      </c>
      <c r="U625">
        <v>2</v>
      </c>
      <c r="V625" s="15">
        <f t="shared" ca="1" si="19"/>
        <v>3</v>
      </c>
    </row>
    <row r="626" spans="1:22">
      <c r="A626" t="s">
        <v>3098</v>
      </c>
      <c r="B626" s="1">
        <v>41055.30263888889</v>
      </c>
      <c r="C626" s="2" t="s">
        <v>3099</v>
      </c>
      <c r="D626">
        <v>22000</v>
      </c>
      <c r="E626" t="s">
        <v>1973</v>
      </c>
      <c r="F626" s="5">
        <v>22438.012440857987</v>
      </c>
      <c r="G626" s="5">
        <v>13994.910941475828</v>
      </c>
      <c r="H626" s="5">
        <f ca="1">OFFSET(F626,0,Brains!$D$1,1,1)</f>
        <v>13994.910941475828</v>
      </c>
      <c r="I626" t="s">
        <v>2022</v>
      </c>
      <c r="J626" t="s">
        <v>1858</v>
      </c>
      <c r="K626" t="s">
        <v>1975</v>
      </c>
      <c r="L626" t="s">
        <v>1975</v>
      </c>
      <c r="M626" s="11" t="s">
        <v>3918</v>
      </c>
      <c r="N626" t="s">
        <v>1860</v>
      </c>
      <c r="O626" s="7" t="s">
        <v>3921</v>
      </c>
      <c r="P626" s="17" t="str">
        <f t="shared" ca="1" si="18"/>
        <v>0-14.9K</v>
      </c>
      <c r="Q626" s="17">
        <v>5</v>
      </c>
      <c r="R626">
        <v>8</v>
      </c>
      <c r="S626">
        <v>4</v>
      </c>
      <c r="T626">
        <v>2</v>
      </c>
      <c r="U626">
        <v>2</v>
      </c>
      <c r="V626" s="15">
        <f t="shared" ca="1" si="19"/>
        <v>1</v>
      </c>
    </row>
    <row r="627" spans="1:22">
      <c r="A627" t="s">
        <v>1387</v>
      </c>
      <c r="B627" s="1">
        <v>41064.985208333332</v>
      </c>
      <c r="C627" s="2" t="s">
        <v>1388</v>
      </c>
      <c r="D627">
        <v>11000</v>
      </c>
      <c r="E627" t="s">
        <v>1856</v>
      </c>
      <c r="F627" s="5">
        <v>11000</v>
      </c>
      <c r="G627" s="5">
        <v>11000</v>
      </c>
      <c r="H627" s="5">
        <f ca="1">OFFSET(F627,0,Brains!$D$1,1,1)</f>
        <v>11000</v>
      </c>
      <c r="I627" t="s">
        <v>1389</v>
      </c>
      <c r="J627" t="s">
        <v>1858</v>
      </c>
      <c r="K627" t="s">
        <v>1390</v>
      </c>
      <c r="L627" t="s">
        <v>1390</v>
      </c>
      <c r="M627" s="11" t="s">
        <v>3918</v>
      </c>
      <c r="N627" t="s">
        <v>1860</v>
      </c>
      <c r="O627" s="7" t="s">
        <v>3921</v>
      </c>
      <c r="P627" s="17" t="str">
        <f t="shared" ca="1" si="18"/>
        <v>0-14.9K</v>
      </c>
      <c r="Q627" s="17">
        <v>5</v>
      </c>
      <c r="R627">
        <v>8</v>
      </c>
      <c r="S627">
        <v>4</v>
      </c>
      <c r="T627">
        <v>2</v>
      </c>
      <c r="U627">
        <v>2</v>
      </c>
      <c r="V627" s="15">
        <f t="shared" ca="1" si="19"/>
        <v>1</v>
      </c>
    </row>
    <row r="628" spans="1:22">
      <c r="A628" t="s">
        <v>1119</v>
      </c>
      <c r="B628" s="1">
        <v>41060.437291666669</v>
      </c>
      <c r="C628" s="2">
        <v>500000</v>
      </c>
      <c r="D628">
        <v>500000</v>
      </c>
      <c r="E628" t="s">
        <v>1908</v>
      </c>
      <c r="F628" s="5">
        <v>8903.9583437212841</v>
      </c>
      <c r="G628" s="5">
        <v>24897.918534010558</v>
      </c>
      <c r="H628" s="5">
        <f ca="1">OFFSET(F628,0,Brains!$D$1,1,1)</f>
        <v>24897.918534010558</v>
      </c>
      <c r="I628" t="s">
        <v>289</v>
      </c>
      <c r="J628" t="s">
        <v>1858</v>
      </c>
      <c r="K628" t="s">
        <v>1859</v>
      </c>
      <c r="L628" t="s">
        <v>1859</v>
      </c>
      <c r="M628" s="11" t="s">
        <v>3918</v>
      </c>
      <c r="N628" t="s">
        <v>1860</v>
      </c>
      <c r="O628" s="7" t="s">
        <v>3921</v>
      </c>
      <c r="P628" s="17" t="str">
        <f t="shared" ca="1" si="18"/>
        <v>15-29.9K</v>
      </c>
      <c r="Q628" s="17">
        <v>5</v>
      </c>
      <c r="R628">
        <v>8</v>
      </c>
      <c r="S628">
        <v>4</v>
      </c>
      <c r="T628">
        <v>2</v>
      </c>
      <c r="U628">
        <v>2</v>
      </c>
      <c r="V628" s="15">
        <f t="shared" ca="1" si="19"/>
        <v>2</v>
      </c>
    </row>
    <row r="629" spans="1:22">
      <c r="A629" t="s">
        <v>1362</v>
      </c>
      <c r="B629" s="1">
        <v>41064.540347222224</v>
      </c>
      <c r="C629" s="2">
        <v>300000</v>
      </c>
      <c r="D629">
        <v>300000</v>
      </c>
      <c r="E629" t="s">
        <v>1908</v>
      </c>
      <c r="F629" s="5">
        <v>5342.3750062327708</v>
      </c>
      <c r="G629" s="5">
        <v>14938.751120406334</v>
      </c>
      <c r="H629" s="5">
        <f ca="1">OFFSET(F629,0,Brains!$D$1,1,1)</f>
        <v>14938.751120406334</v>
      </c>
      <c r="I629" t="s">
        <v>1363</v>
      </c>
      <c r="J629" t="s">
        <v>1858</v>
      </c>
      <c r="K629" t="s">
        <v>1859</v>
      </c>
      <c r="L629" t="s">
        <v>1859</v>
      </c>
      <c r="M629" s="11" t="s">
        <v>3918</v>
      </c>
      <c r="N629" t="s">
        <v>1860</v>
      </c>
      <c r="O629" s="7" t="s">
        <v>3921</v>
      </c>
      <c r="P629" s="17" t="str">
        <f t="shared" ca="1" si="18"/>
        <v>0-14.9K</v>
      </c>
      <c r="Q629" s="17">
        <v>5</v>
      </c>
      <c r="R629">
        <v>8</v>
      </c>
      <c r="S629">
        <v>4</v>
      </c>
      <c r="T629">
        <v>2</v>
      </c>
      <c r="U629">
        <v>2</v>
      </c>
      <c r="V629" s="15">
        <f t="shared" ca="1" si="19"/>
        <v>1</v>
      </c>
    </row>
    <row r="630" spans="1:22">
      <c r="A630" t="s">
        <v>1439</v>
      </c>
      <c r="B630" s="1">
        <v>41065.947534722225</v>
      </c>
      <c r="C630" s="2">
        <v>92000</v>
      </c>
      <c r="D630">
        <v>92000</v>
      </c>
      <c r="E630" t="s">
        <v>1856</v>
      </c>
      <c r="F630" s="5">
        <v>92000</v>
      </c>
      <c r="G630" s="5">
        <v>92000</v>
      </c>
      <c r="H630" s="5">
        <f ca="1">OFFSET(F630,0,Brains!$D$1,1,1)</f>
        <v>92000</v>
      </c>
      <c r="I630" t="s">
        <v>1440</v>
      </c>
      <c r="J630" t="s">
        <v>1858</v>
      </c>
      <c r="K630" t="s">
        <v>1869</v>
      </c>
      <c r="L630" t="s">
        <v>1869</v>
      </c>
      <c r="M630" s="11" t="s">
        <v>3918</v>
      </c>
      <c r="N630" t="s">
        <v>1860</v>
      </c>
      <c r="O630" s="7" t="s">
        <v>3921</v>
      </c>
      <c r="P630" s="17" t="str">
        <f t="shared" ca="1" si="18"/>
        <v>75-99.9K</v>
      </c>
      <c r="Q630" s="17">
        <v>5</v>
      </c>
      <c r="R630">
        <v>9</v>
      </c>
      <c r="S630">
        <v>4</v>
      </c>
      <c r="T630">
        <v>2</v>
      </c>
      <c r="U630">
        <v>2</v>
      </c>
      <c r="V630" s="15">
        <f t="shared" ca="1" si="19"/>
        <v>5</v>
      </c>
    </row>
    <row r="631" spans="1:22">
      <c r="A631" t="s">
        <v>1037</v>
      </c>
      <c r="B631" s="1">
        <v>41059.792592592596</v>
      </c>
      <c r="C631" s="2">
        <v>85000</v>
      </c>
      <c r="D631">
        <v>85000</v>
      </c>
      <c r="E631" t="s">
        <v>1856</v>
      </c>
      <c r="F631" s="5">
        <v>85000</v>
      </c>
      <c r="G631" s="5">
        <v>85000</v>
      </c>
      <c r="H631" s="5">
        <f ca="1">OFFSET(F631,0,Brains!$D$1,1,1)</f>
        <v>85000</v>
      </c>
      <c r="I631" t="s">
        <v>1038</v>
      </c>
      <c r="J631" t="s">
        <v>1858</v>
      </c>
      <c r="K631" t="s">
        <v>1869</v>
      </c>
      <c r="L631" t="s">
        <v>1869</v>
      </c>
      <c r="M631" s="11" t="s">
        <v>3918</v>
      </c>
      <c r="N631" t="s">
        <v>1860</v>
      </c>
      <c r="O631" s="7" t="s">
        <v>3921</v>
      </c>
      <c r="P631" s="17" t="str">
        <f t="shared" ca="1" si="18"/>
        <v>75-99.9K</v>
      </c>
      <c r="Q631" s="17">
        <v>5</v>
      </c>
      <c r="R631">
        <v>9</v>
      </c>
      <c r="S631">
        <v>4</v>
      </c>
      <c r="T631">
        <v>2</v>
      </c>
      <c r="U631">
        <v>2</v>
      </c>
      <c r="V631" s="15">
        <f t="shared" ca="1" si="19"/>
        <v>5</v>
      </c>
    </row>
    <row r="632" spans="1:22">
      <c r="A632" t="s">
        <v>1355</v>
      </c>
      <c r="B632" s="1">
        <v>41064.188807870371</v>
      </c>
      <c r="C632" s="2">
        <v>70000</v>
      </c>
      <c r="D632">
        <v>70000</v>
      </c>
      <c r="E632" t="s">
        <v>1856</v>
      </c>
      <c r="F632" s="5">
        <v>70000</v>
      </c>
      <c r="G632" s="5">
        <v>70000</v>
      </c>
      <c r="H632" s="5">
        <f ca="1">OFFSET(F632,0,Brains!$D$1,1,1)</f>
        <v>70000</v>
      </c>
      <c r="I632" t="s">
        <v>1356</v>
      </c>
      <c r="J632" t="s">
        <v>1858</v>
      </c>
      <c r="K632" t="s">
        <v>1869</v>
      </c>
      <c r="L632" t="s">
        <v>1869</v>
      </c>
      <c r="M632" s="11" t="s">
        <v>3918</v>
      </c>
      <c r="N632" t="s">
        <v>1860</v>
      </c>
      <c r="O632" s="7" t="s">
        <v>3921</v>
      </c>
      <c r="P632" s="17" t="str">
        <f t="shared" ca="1" si="18"/>
        <v>50-74.9K</v>
      </c>
      <c r="Q632" s="17">
        <v>5</v>
      </c>
      <c r="R632">
        <v>9</v>
      </c>
      <c r="S632">
        <v>4</v>
      </c>
      <c r="T632">
        <v>2</v>
      </c>
      <c r="U632">
        <v>2</v>
      </c>
      <c r="V632" s="15">
        <f t="shared" ca="1" si="19"/>
        <v>4</v>
      </c>
    </row>
    <row r="633" spans="1:22">
      <c r="A633" t="s">
        <v>1302</v>
      </c>
      <c r="B633" s="1">
        <v>41062.870127314818</v>
      </c>
      <c r="C633" s="2" t="s">
        <v>1303</v>
      </c>
      <c r="D633">
        <v>37000</v>
      </c>
      <c r="E633" t="s">
        <v>1954</v>
      </c>
      <c r="F633" s="5">
        <v>58318.59606648951</v>
      </c>
      <c r="G633" s="5">
        <v>54896.142433234418</v>
      </c>
      <c r="H633" s="5">
        <f ca="1">OFFSET(F633,0,Brains!$D$1,1,1)</f>
        <v>54896.142433234418</v>
      </c>
      <c r="I633" t="s">
        <v>1304</v>
      </c>
      <c r="J633" t="s">
        <v>1858</v>
      </c>
      <c r="K633" t="s">
        <v>1956</v>
      </c>
      <c r="L633" t="s">
        <v>1956</v>
      </c>
      <c r="M633" s="11" t="s">
        <v>3918</v>
      </c>
      <c r="N633" t="s">
        <v>1860</v>
      </c>
      <c r="O633" s="7" t="s">
        <v>3921</v>
      </c>
      <c r="P633" s="17" t="str">
        <f t="shared" ca="1" si="18"/>
        <v>50-74.9K</v>
      </c>
      <c r="Q633" s="17">
        <v>5</v>
      </c>
      <c r="R633">
        <v>9</v>
      </c>
      <c r="S633">
        <v>4</v>
      </c>
      <c r="T633">
        <v>2</v>
      </c>
      <c r="U633">
        <v>2</v>
      </c>
      <c r="V633" s="15">
        <f t="shared" ca="1" si="19"/>
        <v>4</v>
      </c>
    </row>
    <row r="634" spans="1:22">
      <c r="A634" t="s">
        <v>423</v>
      </c>
      <c r="B634" s="1">
        <v>41057.952997685185</v>
      </c>
      <c r="C634" s="2" t="s">
        <v>424</v>
      </c>
      <c r="D634">
        <v>32000</v>
      </c>
      <c r="E634" t="s">
        <v>1954</v>
      </c>
      <c r="F634" s="5">
        <v>50437.70470615309</v>
      </c>
      <c r="G634" s="5">
        <v>47477.744807121657</v>
      </c>
      <c r="H634" s="5">
        <f ca="1">OFFSET(F634,0,Brains!$D$1,1,1)</f>
        <v>47477.744807121657</v>
      </c>
      <c r="I634" t="s">
        <v>425</v>
      </c>
      <c r="J634" t="s">
        <v>1858</v>
      </c>
      <c r="K634" t="s">
        <v>1981</v>
      </c>
      <c r="L634" t="s">
        <v>1981</v>
      </c>
      <c r="M634" s="11" t="s">
        <v>3918</v>
      </c>
      <c r="N634" t="s">
        <v>1860</v>
      </c>
      <c r="O634" s="7" t="s">
        <v>3921</v>
      </c>
      <c r="P634" s="17" t="str">
        <f t="shared" ca="1" si="18"/>
        <v>30-49.9K</v>
      </c>
      <c r="Q634" s="17">
        <v>5</v>
      </c>
      <c r="R634">
        <v>9</v>
      </c>
      <c r="S634">
        <v>4</v>
      </c>
      <c r="T634">
        <v>2</v>
      </c>
      <c r="U634">
        <v>2</v>
      </c>
      <c r="V634" s="15">
        <f t="shared" ca="1" si="19"/>
        <v>3</v>
      </c>
    </row>
    <row r="635" spans="1:22">
      <c r="A635" t="s">
        <v>3249</v>
      </c>
      <c r="B635" s="1">
        <v>41055.517465277779</v>
      </c>
      <c r="C635" s="2">
        <v>21500</v>
      </c>
      <c r="D635">
        <v>21500</v>
      </c>
      <c r="E635" t="s">
        <v>1856</v>
      </c>
      <c r="F635" s="5">
        <v>21500</v>
      </c>
      <c r="G635" s="5">
        <v>21500</v>
      </c>
      <c r="H635" s="5">
        <f ca="1">OFFSET(F635,0,Brains!$D$1,1,1)</f>
        <v>21500</v>
      </c>
      <c r="I635" t="s">
        <v>3250</v>
      </c>
      <c r="J635" t="s">
        <v>1858</v>
      </c>
      <c r="K635" t="s">
        <v>1859</v>
      </c>
      <c r="L635" t="s">
        <v>1859</v>
      </c>
      <c r="M635" s="11" t="s">
        <v>3918</v>
      </c>
      <c r="N635" t="s">
        <v>1860</v>
      </c>
      <c r="O635" s="7" t="s">
        <v>3921</v>
      </c>
      <c r="P635" s="17" t="str">
        <f t="shared" ca="1" si="18"/>
        <v>15-29.9K</v>
      </c>
      <c r="Q635" s="17">
        <v>5</v>
      </c>
      <c r="R635">
        <v>9</v>
      </c>
      <c r="S635">
        <v>4</v>
      </c>
      <c r="T635">
        <v>2</v>
      </c>
      <c r="U635">
        <v>2</v>
      </c>
      <c r="V635" s="15">
        <f t="shared" ca="1" si="19"/>
        <v>2</v>
      </c>
    </row>
    <row r="636" spans="1:22">
      <c r="A636" t="s">
        <v>1204</v>
      </c>
      <c r="B636" s="1">
        <v>41061.115520833337</v>
      </c>
      <c r="C636" s="2" t="s">
        <v>2677</v>
      </c>
      <c r="D636">
        <v>500000</v>
      </c>
      <c r="E636" t="s">
        <v>1908</v>
      </c>
      <c r="F636" s="5">
        <v>8903.9583437212841</v>
      </c>
      <c r="G636" s="5">
        <v>24897.918534010558</v>
      </c>
      <c r="H636" s="5">
        <f ca="1">OFFSET(F636,0,Brains!$D$1,1,1)</f>
        <v>24897.918534010558</v>
      </c>
      <c r="I636" t="s">
        <v>2264</v>
      </c>
      <c r="J636" t="s">
        <v>1858</v>
      </c>
      <c r="K636" t="s">
        <v>1859</v>
      </c>
      <c r="L636" t="s">
        <v>1859</v>
      </c>
      <c r="M636" s="11" t="s">
        <v>3918</v>
      </c>
      <c r="N636" t="s">
        <v>1860</v>
      </c>
      <c r="O636" s="7" t="s">
        <v>3921</v>
      </c>
      <c r="P636" s="17" t="str">
        <f t="shared" ca="1" si="18"/>
        <v>15-29.9K</v>
      </c>
      <c r="Q636" s="17">
        <v>5</v>
      </c>
      <c r="R636">
        <v>9</v>
      </c>
      <c r="S636">
        <v>4</v>
      </c>
      <c r="T636">
        <v>2</v>
      </c>
      <c r="U636">
        <v>2</v>
      </c>
      <c r="V636" s="15">
        <f t="shared" ca="1" si="19"/>
        <v>2</v>
      </c>
    </row>
    <row r="637" spans="1:22">
      <c r="A637" t="s">
        <v>3710</v>
      </c>
      <c r="B637" s="1">
        <v>41056.371944444443</v>
      </c>
      <c r="C637" s="2">
        <v>115000</v>
      </c>
      <c r="D637">
        <v>115000</v>
      </c>
      <c r="E637" t="s">
        <v>1856</v>
      </c>
      <c r="F637" s="5">
        <v>115000</v>
      </c>
      <c r="G637" s="5">
        <v>115000</v>
      </c>
      <c r="H637" s="5">
        <f ca="1">OFFSET(F637,0,Brains!$D$1,1,1)</f>
        <v>115000</v>
      </c>
      <c r="I637" t="s">
        <v>3711</v>
      </c>
      <c r="J637" t="s">
        <v>1858</v>
      </c>
      <c r="K637" t="s">
        <v>1869</v>
      </c>
      <c r="L637" t="s">
        <v>1869</v>
      </c>
      <c r="M637" s="11" t="s">
        <v>3918</v>
      </c>
      <c r="N637" t="s">
        <v>1860</v>
      </c>
      <c r="O637" s="7" t="s">
        <v>3921</v>
      </c>
      <c r="P637" s="17" t="str">
        <f t="shared" ca="1" si="18"/>
        <v>100-149.9K</v>
      </c>
      <c r="Q637" s="17">
        <v>5</v>
      </c>
      <c r="R637">
        <v>10</v>
      </c>
      <c r="S637">
        <v>4</v>
      </c>
      <c r="T637">
        <v>2</v>
      </c>
      <c r="U637">
        <v>2</v>
      </c>
      <c r="V637" s="15">
        <f t="shared" ca="1" si="19"/>
        <v>6</v>
      </c>
    </row>
    <row r="638" spans="1:22">
      <c r="A638" t="s">
        <v>975</v>
      </c>
      <c r="B638" s="1">
        <v>41059.563599537039</v>
      </c>
      <c r="C638" s="2">
        <v>86000</v>
      </c>
      <c r="D638">
        <v>86000</v>
      </c>
      <c r="E638" t="s">
        <v>1973</v>
      </c>
      <c r="F638" s="5">
        <v>87712.230450626681</v>
      </c>
      <c r="G638" s="5">
        <v>54707.37913486005</v>
      </c>
      <c r="H638" s="5">
        <f ca="1">OFFSET(F638,0,Brains!$D$1,1,1)</f>
        <v>54707.37913486005</v>
      </c>
      <c r="I638" t="s">
        <v>2208</v>
      </c>
      <c r="J638" t="s">
        <v>1858</v>
      </c>
      <c r="K638" t="s">
        <v>1975</v>
      </c>
      <c r="L638" t="s">
        <v>1975</v>
      </c>
      <c r="M638" s="11" t="s">
        <v>3918</v>
      </c>
      <c r="N638" t="s">
        <v>1860</v>
      </c>
      <c r="O638" s="7" t="s">
        <v>3921</v>
      </c>
      <c r="P638" s="17" t="str">
        <f t="shared" ca="1" si="18"/>
        <v>50-74.9K</v>
      </c>
      <c r="Q638" s="17">
        <v>5</v>
      </c>
      <c r="R638">
        <v>10</v>
      </c>
      <c r="S638">
        <v>4</v>
      </c>
      <c r="T638">
        <v>2</v>
      </c>
      <c r="U638">
        <v>2</v>
      </c>
      <c r="V638" s="15">
        <f t="shared" ca="1" si="19"/>
        <v>4</v>
      </c>
    </row>
    <row r="639" spans="1:22">
      <c r="A639" t="s">
        <v>1179</v>
      </c>
      <c r="B639" s="1">
        <v>41060.921516203707</v>
      </c>
      <c r="C639" s="2">
        <v>74000</v>
      </c>
      <c r="D639">
        <v>74000</v>
      </c>
      <c r="E639" t="s">
        <v>1979</v>
      </c>
      <c r="F639" s="5">
        <v>72768.752704244194</v>
      </c>
      <c r="G639" s="5">
        <v>59247.39791833466</v>
      </c>
      <c r="H639" s="5">
        <f ca="1">OFFSET(F639,0,Brains!$D$1,1,1)</f>
        <v>59247.39791833466</v>
      </c>
      <c r="I639" t="s">
        <v>2544</v>
      </c>
      <c r="J639" t="s">
        <v>1858</v>
      </c>
      <c r="K639" t="s">
        <v>1981</v>
      </c>
      <c r="L639" t="s">
        <v>1981</v>
      </c>
      <c r="M639" s="11" t="s">
        <v>3918</v>
      </c>
      <c r="N639" t="s">
        <v>1860</v>
      </c>
      <c r="O639" s="7" t="s">
        <v>3921</v>
      </c>
      <c r="P639" s="17" t="str">
        <f t="shared" ca="1" si="18"/>
        <v>50-74.9K</v>
      </c>
      <c r="Q639" s="17">
        <v>5</v>
      </c>
      <c r="R639">
        <v>10</v>
      </c>
      <c r="S639">
        <v>4</v>
      </c>
      <c r="T639">
        <v>2</v>
      </c>
      <c r="U639">
        <v>2</v>
      </c>
      <c r="V639" s="15">
        <f t="shared" ca="1" si="19"/>
        <v>4</v>
      </c>
    </row>
    <row r="640" spans="1:22">
      <c r="A640" t="s">
        <v>1841</v>
      </c>
      <c r="B640" s="1">
        <v>41081.198888888888</v>
      </c>
      <c r="C640" s="2">
        <v>70000</v>
      </c>
      <c r="D640">
        <v>70000</v>
      </c>
      <c r="E640" t="s">
        <v>1856</v>
      </c>
      <c r="F640" s="5">
        <v>70000</v>
      </c>
      <c r="G640" s="5">
        <v>70000</v>
      </c>
      <c r="H640" s="5">
        <f ca="1">OFFSET(F640,0,Brains!$D$1,1,1)</f>
        <v>70000</v>
      </c>
      <c r="I640" t="s">
        <v>1842</v>
      </c>
      <c r="J640" t="s">
        <v>1858</v>
      </c>
      <c r="K640" t="s">
        <v>1869</v>
      </c>
      <c r="L640" t="s">
        <v>1869</v>
      </c>
      <c r="M640" s="11" t="s">
        <v>3918</v>
      </c>
      <c r="N640" t="s">
        <v>1860</v>
      </c>
      <c r="O640" s="7" t="s">
        <v>3921</v>
      </c>
      <c r="P640" s="17" t="str">
        <f t="shared" ca="1" si="18"/>
        <v>50-74.9K</v>
      </c>
      <c r="Q640" s="17">
        <v>5</v>
      </c>
      <c r="R640">
        <v>10</v>
      </c>
      <c r="S640">
        <v>4</v>
      </c>
      <c r="T640">
        <v>2</v>
      </c>
      <c r="U640">
        <v>2</v>
      </c>
      <c r="V640" s="15">
        <f t="shared" ca="1" si="19"/>
        <v>4</v>
      </c>
    </row>
    <row r="641" spans="1:22">
      <c r="A641" t="s">
        <v>3888</v>
      </c>
      <c r="B641" s="1">
        <v>41057.214722222219</v>
      </c>
      <c r="C641" s="2" t="s">
        <v>3889</v>
      </c>
      <c r="D641">
        <v>75000</v>
      </c>
      <c r="E641" t="s">
        <v>3081</v>
      </c>
      <c r="F641" s="5">
        <v>59819.107020370408</v>
      </c>
      <c r="G641" s="5">
        <v>43478.260869565216</v>
      </c>
      <c r="H641" s="5">
        <f ca="1">OFFSET(F641,0,Brains!$D$1,1,1)</f>
        <v>43478.260869565216</v>
      </c>
      <c r="I641" t="s">
        <v>2554</v>
      </c>
      <c r="J641" t="s">
        <v>1858</v>
      </c>
      <c r="K641" t="s">
        <v>3890</v>
      </c>
      <c r="L641" t="s">
        <v>3083</v>
      </c>
      <c r="M641" s="11" t="s">
        <v>3918</v>
      </c>
      <c r="N641" t="s">
        <v>1860</v>
      </c>
      <c r="O641" s="7" t="s">
        <v>3921</v>
      </c>
      <c r="P641" s="17" t="str">
        <f t="shared" ca="1" si="18"/>
        <v>30-49.9K</v>
      </c>
      <c r="Q641" s="17">
        <v>5</v>
      </c>
      <c r="R641">
        <v>10</v>
      </c>
      <c r="S641">
        <v>4</v>
      </c>
      <c r="T641">
        <v>2</v>
      </c>
      <c r="U641">
        <v>2</v>
      </c>
      <c r="V641" s="15">
        <f t="shared" ca="1" si="19"/>
        <v>3</v>
      </c>
    </row>
    <row r="642" spans="1:22">
      <c r="A642" t="s">
        <v>360</v>
      </c>
      <c r="B642" s="1">
        <v>41057.857986111114</v>
      </c>
      <c r="C642" s="2" t="s">
        <v>1953</v>
      </c>
      <c r="D642">
        <v>35000</v>
      </c>
      <c r="E642" t="s">
        <v>1954</v>
      </c>
      <c r="F642" s="5">
        <v>55166.239522354947</v>
      </c>
      <c r="G642" s="5">
        <v>51928.783382789312</v>
      </c>
      <c r="H642" s="5">
        <f ca="1">OFFSET(F642,0,Brains!$D$1,1,1)</f>
        <v>51928.783382789312</v>
      </c>
      <c r="I642" t="s">
        <v>361</v>
      </c>
      <c r="J642" t="s">
        <v>1858</v>
      </c>
      <c r="K642" t="s">
        <v>1956</v>
      </c>
      <c r="L642" t="s">
        <v>1956</v>
      </c>
      <c r="M642" s="11" t="s">
        <v>3918</v>
      </c>
      <c r="N642" t="s">
        <v>1860</v>
      </c>
      <c r="O642" s="7" t="s">
        <v>3921</v>
      </c>
      <c r="P642" s="17" t="str">
        <f t="shared" ref="P642:P705" ca="1" si="20">IF(H642&lt;15000,"0-14.9K",IF(H642&lt;30000,"15-29.9K",IF(H642&lt;50000,"30-49.9K",IF(H642&lt;75000,"50-74.9K",IF(H642&lt;100000,"75-99.9K",IF(H642&lt;150000,"100-149.9K",IF(H642&lt;250000,"150-249.9K","250K+")))))))</f>
        <v>50-74.9K</v>
      </c>
      <c r="Q642" s="17">
        <v>5</v>
      </c>
      <c r="R642">
        <v>10</v>
      </c>
      <c r="S642">
        <v>4</v>
      </c>
      <c r="T642">
        <v>2</v>
      </c>
      <c r="U642">
        <v>2</v>
      </c>
      <c r="V642" s="15">
        <f t="shared" ref="V642:V705" ca="1" si="21">IF(H642&lt;15000,1,IF(H642&lt;30000,2,IF(H642&lt;50000,3,IF(H642&lt;75000,4,IF(H642&lt;100000,5,IF(H642&lt;150000,6,IF(H642&lt;250000,7,8)))))))</f>
        <v>4</v>
      </c>
    </row>
    <row r="643" spans="1:22">
      <c r="A643" t="s">
        <v>3678</v>
      </c>
      <c r="B643" s="1">
        <v>41056.142418981479</v>
      </c>
      <c r="C643" s="2">
        <v>55000</v>
      </c>
      <c r="D643">
        <v>55000</v>
      </c>
      <c r="E643" t="s">
        <v>1856</v>
      </c>
      <c r="F643" s="5">
        <v>55000</v>
      </c>
      <c r="G643" s="5">
        <v>55000</v>
      </c>
      <c r="H643" s="5">
        <f ca="1">OFFSET(F643,0,Brains!$D$1,1,1)</f>
        <v>55000</v>
      </c>
      <c r="I643" t="s">
        <v>1858</v>
      </c>
      <c r="J643" t="s">
        <v>1858</v>
      </c>
      <c r="K643" t="s">
        <v>1869</v>
      </c>
      <c r="L643" t="s">
        <v>1869</v>
      </c>
      <c r="M643" s="11" t="s">
        <v>3918</v>
      </c>
      <c r="N643" t="s">
        <v>1860</v>
      </c>
      <c r="O643" s="7" t="s">
        <v>3921</v>
      </c>
      <c r="P643" s="17" t="str">
        <f t="shared" ca="1" si="20"/>
        <v>50-74.9K</v>
      </c>
      <c r="Q643" s="17">
        <v>5</v>
      </c>
      <c r="R643">
        <v>10</v>
      </c>
      <c r="S643">
        <v>4</v>
      </c>
      <c r="T643">
        <v>2</v>
      </c>
      <c r="U643">
        <v>2</v>
      </c>
      <c r="V643" s="15">
        <f t="shared" ca="1" si="21"/>
        <v>4</v>
      </c>
    </row>
    <row r="644" spans="1:22">
      <c r="A644" t="s">
        <v>886</v>
      </c>
      <c r="B644" s="1">
        <v>41058.964409722219</v>
      </c>
      <c r="C644" s="2">
        <v>49000</v>
      </c>
      <c r="D644">
        <v>49000</v>
      </c>
      <c r="E644" t="s">
        <v>1856</v>
      </c>
      <c r="F644" s="5">
        <v>49000</v>
      </c>
      <c r="G644" s="5">
        <v>49000</v>
      </c>
      <c r="H644" s="5">
        <f ca="1">OFFSET(F644,0,Brains!$D$1,1,1)</f>
        <v>49000</v>
      </c>
      <c r="I644" t="s">
        <v>2182</v>
      </c>
      <c r="J644" t="s">
        <v>1858</v>
      </c>
      <c r="K644" t="s">
        <v>1869</v>
      </c>
      <c r="L644" t="s">
        <v>1869</v>
      </c>
      <c r="M644" s="11" t="s">
        <v>3918</v>
      </c>
      <c r="N644" t="s">
        <v>1860</v>
      </c>
      <c r="O644" s="7" t="s">
        <v>3921</v>
      </c>
      <c r="P644" s="17" t="str">
        <f t="shared" ca="1" si="20"/>
        <v>30-49.9K</v>
      </c>
      <c r="Q644" s="17">
        <v>5</v>
      </c>
      <c r="R644">
        <v>10</v>
      </c>
      <c r="S644">
        <v>4</v>
      </c>
      <c r="T644">
        <v>2</v>
      </c>
      <c r="U644">
        <v>2</v>
      </c>
      <c r="V644" s="15">
        <f t="shared" ca="1" si="21"/>
        <v>3</v>
      </c>
    </row>
    <row r="645" spans="1:22">
      <c r="A645" t="s">
        <v>3405</v>
      </c>
      <c r="B645" s="1">
        <v>41055.630312499998</v>
      </c>
      <c r="C645" s="2">
        <v>35000</v>
      </c>
      <c r="D645">
        <v>35000</v>
      </c>
      <c r="E645" t="s">
        <v>1856</v>
      </c>
      <c r="F645" s="5">
        <v>35000</v>
      </c>
      <c r="G645" s="5">
        <v>35000</v>
      </c>
      <c r="H645" s="5">
        <f ca="1">OFFSET(F645,0,Brains!$D$1,1,1)</f>
        <v>35000</v>
      </c>
      <c r="I645" t="s">
        <v>2972</v>
      </c>
      <c r="J645" t="s">
        <v>1858</v>
      </c>
      <c r="K645" t="s">
        <v>1859</v>
      </c>
      <c r="L645" t="s">
        <v>1859</v>
      </c>
      <c r="M645" s="11" t="s">
        <v>3918</v>
      </c>
      <c r="N645" t="s">
        <v>1860</v>
      </c>
      <c r="O645" s="7" t="s">
        <v>3921</v>
      </c>
      <c r="P645" s="17" t="str">
        <f t="shared" ca="1" si="20"/>
        <v>30-49.9K</v>
      </c>
      <c r="Q645" s="17">
        <v>5</v>
      </c>
      <c r="R645">
        <v>10</v>
      </c>
      <c r="S645">
        <v>4</v>
      </c>
      <c r="T645">
        <v>2</v>
      </c>
      <c r="U645">
        <v>2</v>
      </c>
      <c r="V645" s="15">
        <f t="shared" ca="1" si="21"/>
        <v>3</v>
      </c>
    </row>
    <row r="646" spans="1:22">
      <c r="A646" t="s">
        <v>1664</v>
      </c>
      <c r="B646" s="1">
        <v>41073.222592592596</v>
      </c>
      <c r="C646" s="2" t="s">
        <v>1665</v>
      </c>
      <c r="D646">
        <v>19200</v>
      </c>
      <c r="E646" t="s">
        <v>1880</v>
      </c>
      <c r="F646" s="5">
        <v>24391.669228638868</v>
      </c>
      <c r="G646" s="5">
        <v>24119.027400220089</v>
      </c>
      <c r="H646" s="5">
        <f ca="1">OFFSET(F646,0,Brains!$D$1,1,1)</f>
        <v>24119.027400220089</v>
      </c>
      <c r="I646" t="s">
        <v>1666</v>
      </c>
      <c r="J646" t="s">
        <v>1858</v>
      </c>
      <c r="K646" t="s">
        <v>3511</v>
      </c>
      <c r="L646" t="s">
        <v>471</v>
      </c>
      <c r="M646" s="11" t="s">
        <v>3918</v>
      </c>
      <c r="N646" t="s">
        <v>1860</v>
      </c>
      <c r="O646" s="7" t="s">
        <v>3921</v>
      </c>
      <c r="P646" s="17" t="str">
        <f t="shared" ca="1" si="20"/>
        <v>15-29.9K</v>
      </c>
      <c r="Q646" s="17">
        <v>5</v>
      </c>
      <c r="R646">
        <v>10</v>
      </c>
      <c r="S646">
        <v>4</v>
      </c>
      <c r="T646">
        <v>2</v>
      </c>
      <c r="U646">
        <v>2</v>
      </c>
      <c r="V646" s="15">
        <f t="shared" ca="1" si="21"/>
        <v>2</v>
      </c>
    </row>
    <row r="647" spans="1:22">
      <c r="A647" t="s">
        <v>3640</v>
      </c>
      <c r="B647" s="1">
        <v>41055.985000000001</v>
      </c>
      <c r="C647" s="2">
        <v>1000000</v>
      </c>
      <c r="D647">
        <v>1000000</v>
      </c>
      <c r="E647" t="s">
        <v>1908</v>
      </c>
      <c r="F647" s="5">
        <v>17807.916687442568</v>
      </c>
      <c r="G647" s="5">
        <v>49795.837068021116</v>
      </c>
      <c r="H647" s="5">
        <f ca="1">OFFSET(F647,0,Brains!$D$1,1,1)</f>
        <v>49795.837068021116</v>
      </c>
      <c r="I647" t="s">
        <v>3641</v>
      </c>
      <c r="J647" t="s">
        <v>1858</v>
      </c>
      <c r="K647" t="s">
        <v>1859</v>
      </c>
      <c r="L647" t="s">
        <v>1859</v>
      </c>
      <c r="M647" s="11" t="s">
        <v>3918</v>
      </c>
      <c r="N647" t="s">
        <v>1860</v>
      </c>
      <c r="O647" s="7" t="s">
        <v>3921</v>
      </c>
      <c r="P647" s="17" t="str">
        <f t="shared" ca="1" si="20"/>
        <v>30-49.9K</v>
      </c>
      <c r="Q647" s="17">
        <v>5</v>
      </c>
      <c r="R647">
        <v>10</v>
      </c>
      <c r="S647">
        <v>4</v>
      </c>
      <c r="T647">
        <v>2</v>
      </c>
      <c r="U647">
        <v>2</v>
      </c>
      <c r="V647" s="15">
        <f t="shared" ca="1" si="21"/>
        <v>3</v>
      </c>
    </row>
    <row r="648" spans="1:22">
      <c r="A648" t="s">
        <v>626</v>
      </c>
      <c r="B648" s="1">
        <v>41058.450381944444</v>
      </c>
      <c r="C648" s="2" t="s">
        <v>627</v>
      </c>
      <c r="D648">
        <v>11800</v>
      </c>
      <c r="E648" t="s">
        <v>1856</v>
      </c>
      <c r="F648" s="5">
        <v>11800</v>
      </c>
      <c r="G648" s="5">
        <v>11800</v>
      </c>
      <c r="H648" s="5">
        <f ca="1">OFFSET(F648,0,Brains!$D$1,1,1)</f>
        <v>11800</v>
      </c>
      <c r="I648" t="s">
        <v>628</v>
      </c>
      <c r="J648" t="s">
        <v>1858</v>
      </c>
      <c r="K648" t="s">
        <v>1859</v>
      </c>
      <c r="L648" t="s">
        <v>1859</v>
      </c>
      <c r="M648" s="11" t="s">
        <v>3918</v>
      </c>
      <c r="N648" t="s">
        <v>1860</v>
      </c>
      <c r="O648" s="7" t="s">
        <v>3921</v>
      </c>
      <c r="P648" s="17" t="str">
        <f t="shared" ca="1" si="20"/>
        <v>0-14.9K</v>
      </c>
      <c r="Q648" s="17">
        <v>5</v>
      </c>
      <c r="R648">
        <v>10</v>
      </c>
      <c r="S648">
        <v>4</v>
      </c>
      <c r="T648">
        <v>2</v>
      </c>
      <c r="U648">
        <v>2</v>
      </c>
      <c r="V648" s="15">
        <f t="shared" ca="1" si="21"/>
        <v>1</v>
      </c>
    </row>
    <row r="649" spans="1:22">
      <c r="A649" t="s">
        <v>235</v>
      </c>
      <c r="B649" s="1">
        <v>41057.660787037035</v>
      </c>
      <c r="C649" s="2" t="s">
        <v>236</v>
      </c>
      <c r="D649">
        <v>600000</v>
      </c>
      <c r="E649" t="s">
        <v>1908</v>
      </c>
      <c r="F649" s="5">
        <v>10684.750012465542</v>
      </c>
      <c r="G649" s="5">
        <v>29877.502240812668</v>
      </c>
      <c r="H649" s="5">
        <f ca="1">OFFSET(F649,0,Brains!$D$1,1,1)</f>
        <v>29877.502240812668</v>
      </c>
      <c r="I649" t="s">
        <v>237</v>
      </c>
      <c r="J649" t="s">
        <v>1858</v>
      </c>
      <c r="K649" t="s">
        <v>1859</v>
      </c>
      <c r="L649" t="s">
        <v>1859</v>
      </c>
      <c r="M649" s="11" t="s">
        <v>3918</v>
      </c>
      <c r="N649" t="s">
        <v>1860</v>
      </c>
      <c r="O649" s="7" t="s">
        <v>3921</v>
      </c>
      <c r="P649" s="17" t="str">
        <f t="shared" ca="1" si="20"/>
        <v>15-29.9K</v>
      </c>
      <c r="Q649" s="17">
        <v>5</v>
      </c>
      <c r="R649">
        <v>10</v>
      </c>
      <c r="S649">
        <v>4</v>
      </c>
      <c r="T649">
        <v>2</v>
      </c>
      <c r="U649">
        <v>2</v>
      </c>
      <c r="V649" s="15">
        <f t="shared" ca="1" si="21"/>
        <v>2</v>
      </c>
    </row>
    <row r="650" spans="1:22">
      <c r="A650" t="s">
        <v>3775</v>
      </c>
      <c r="B650" s="1">
        <v>41056.625717592593</v>
      </c>
      <c r="C650" s="2" t="s">
        <v>3776</v>
      </c>
      <c r="D650">
        <v>168000</v>
      </c>
      <c r="E650" t="s">
        <v>2467</v>
      </c>
      <c r="F650" s="5">
        <v>3982.448779308334</v>
      </c>
      <c r="G650" s="5">
        <v>6590.5613746028012</v>
      </c>
      <c r="H650" s="5">
        <f ca="1">OFFSET(F650,0,Brains!$D$1,1,1)</f>
        <v>6590.5613746028012</v>
      </c>
      <c r="I650" t="s">
        <v>3777</v>
      </c>
      <c r="J650" t="s">
        <v>1858</v>
      </c>
      <c r="K650" t="s">
        <v>2469</v>
      </c>
      <c r="L650" t="s">
        <v>2469</v>
      </c>
      <c r="M650" s="11" t="s">
        <v>3918</v>
      </c>
      <c r="N650" t="s">
        <v>1860</v>
      </c>
      <c r="O650" s="7" t="s">
        <v>3921</v>
      </c>
      <c r="P650" s="17" t="str">
        <f t="shared" ca="1" si="20"/>
        <v>0-14.9K</v>
      </c>
      <c r="Q650" s="17">
        <v>5</v>
      </c>
      <c r="R650">
        <v>10</v>
      </c>
      <c r="S650">
        <v>4</v>
      </c>
      <c r="T650">
        <v>2</v>
      </c>
      <c r="U650">
        <v>2</v>
      </c>
      <c r="V650" s="15">
        <f t="shared" ca="1" si="21"/>
        <v>1</v>
      </c>
    </row>
    <row r="651" spans="1:22">
      <c r="A651" t="s">
        <v>61</v>
      </c>
      <c r="B651" s="1">
        <v>41057.435972222222</v>
      </c>
      <c r="C651" s="2">
        <v>180000</v>
      </c>
      <c r="D651">
        <v>180000</v>
      </c>
      <c r="E651" t="s">
        <v>1908</v>
      </c>
      <c r="F651" s="5">
        <v>3205.4250037396623</v>
      </c>
      <c r="G651" s="5">
        <v>8963.2506722437993</v>
      </c>
      <c r="H651" s="5">
        <f ca="1">OFFSET(F651,0,Brains!$D$1,1,1)</f>
        <v>8963.2506722437993</v>
      </c>
      <c r="I651" t="s">
        <v>62</v>
      </c>
      <c r="J651" t="s">
        <v>1858</v>
      </c>
      <c r="K651" t="s">
        <v>63</v>
      </c>
      <c r="L651" t="s">
        <v>1859</v>
      </c>
      <c r="M651" s="11" t="s">
        <v>3918</v>
      </c>
      <c r="N651" t="s">
        <v>1860</v>
      </c>
      <c r="O651" s="7" t="s">
        <v>3921</v>
      </c>
      <c r="P651" s="17" t="str">
        <f t="shared" ca="1" si="20"/>
        <v>0-14.9K</v>
      </c>
      <c r="Q651" s="17">
        <v>5</v>
      </c>
      <c r="R651">
        <v>10</v>
      </c>
      <c r="S651">
        <v>4</v>
      </c>
      <c r="T651">
        <v>2</v>
      </c>
      <c r="U651">
        <v>2</v>
      </c>
      <c r="V651" s="15">
        <f t="shared" ca="1" si="21"/>
        <v>1</v>
      </c>
    </row>
    <row r="652" spans="1:22">
      <c r="A652" t="s">
        <v>865</v>
      </c>
      <c r="B652" s="1">
        <v>41058.925787037035</v>
      </c>
      <c r="C652" s="2">
        <v>73500</v>
      </c>
      <c r="D652">
        <v>73500</v>
      </c>
      <c r="E652" t="s">
        <v>1856</v>
      </c>
      <c r="F652" s="5">
        <v>73500</v>
      </c>
      <c r="G652" s="5">
        <v>73500</v>
      </c>
      <c r="H652" s="5">
        <f ca="1">OFFSET(F652,0,Brains!$D$1,1,1)</f>
        <v>73500</v>
      </c>
      <c r="I652" t="s">
        <v>866</v>
      </c>
      <c r="J652" t="s">
        <v>1858</v>
      </c>
      <c r="K652" t="s">
        <v>1869</v>
      </c>
      <c r="L652" t="s">
        <v>1869</v>
      </c>
      <c r="M652" t="s">
        <v>3941</v>
      </c>
      <c r="N652" t="s">
        <v>1866</v>
      </c>
      <c r="O652" s="7" t="s">
        <v>3921</v>
      </c>
      <c r="P652" s="17" t="str">
        <f t="shared" ca="1" si="20"/>
        <v>50-74.9K</v>
      </c>
      <c r="Q652" s="17">
        <v>8</v>
      </c>
      <c r="R652">
        <v>6</v>
      </c>
      <c r="S652">
        <v>5</v>
      </c>
      <c r="T652">
        <v>2</v>
      </c>
      <c r="U652">
        <v>2</v>
      </c>
      <c r="V652" s="15">
        <f t="shared" ca="1" si="21"/>
        <v>4</v>
      </c>
    </row>
    <row r="653" spans="1:22">
      <c r="A653" t="s">
        <v>643</v>
      </c>
      <c r="B653" s="1">
        <v>41058.509745370371</v>
      </c>
      <c r="C653" s="2">
        <v>54000</v>
      </c>
      <c r="D653">
        <v>54000</v>
      </c>
      <c r="E653" t="s">
        <v>1856</v>
      </c>
      <c r="F653" s="5">
        <v>54000</v>
      </c>
      <c r="G653" s="5">
        <v>54000</v>
      </c>
      <c r="H653" s="5">
        <f ca="1">OFFSET(F653,0,Brains!$D$1,1,1)</f>
        <v>54000</v>
      </c>
      <c r="I653" t="s">
        <v>644</v>
      </c>
      <c r="J653" t="s">
        <v>1858</v>
      </c>
      <c r="K653" t="s">
        <v>1869</v>
      </c>
      <c r="L653" t="s">
        <v>1869</v>
      </c>
      <c r="M653" t="s">
        <v>3941</v>
      </c>
      <c r="N653" t="s">
        <v>1866</v>
      </c>
      <c r="O653" s="7" t="s">
        <v>3921</v>
      </c>
      <c r="P653" s="17" t="str">
        <f t="shared" ca="1" si="20"/>
        <v>50-74.9K</v>
      </c>
      <c r="Q653" s="17">
        <v>8</v>
      </c>
      <c r="R653">
        <v>6</v>
      </c>
      <c r="S653">
        <v>5</v>
      </c>
      <c r="T653">
        <v>2</v>
      </c>
      <c r="U653">
        <v>2</v>
      </c>
      <c r="V653" s="15">
        <f t="shared" ca="1" si="21"/>
        <v>4</v>
      </c>
    </row>
    <row r="654" spans="1:22">
      <c r="A654" t="s">
        <v>1459</v>
      </c>
      <c r="B654" s="1">
        <v>41066.167268518519</v>
      </c>
      <c r="C654" s="2">
        <v>54000</v>
      </c>
      <c r="D654">
        <v>54000</v>
      </c>
      <c r="E654" t="s">
        <v>1856</v>
      </c>
      <c r="F654" s="5">
        <v>54000</v>
      </c>
      <c r="G654" s="5">
        <v>54000</v>
      </c>
      <c r="H654" s="5">
        <f ca="1">OFFSET(F654,0,Brains!$D$1,1,1)</f>
        <v>54000</v>
      </c>
      <c r="I654" t="s">
        <v>2391</v>
      </c>
      <c r="J654" t="s">
        <v>1858</v>
      </c>
      <c r="K654" t="s">
        <v>1869</v>
      </c>
      <c r="L654" t="s">
        <v>1869</v>
      </c>
      <c r="M654" t="s">
        <v>3941</v>
      </c>
      <c r="N654" t="s">
        <v>1866</v>
      </c>
      <c r="O654" s="7" t="s">
        <v>3921</v>
      </c>
      <c r="P654" s="17" t="str">
        <f t="shared" ca="1" si="20"/>
        <v>50-74.9K</v>
      </c>
      <c r="Q654" s="17">
        <v>8</v>
      </c>
      <c r="R654">
        <v>6</v>
      </c>
      <c r="S654">
        <v>5</v>
      </c>
      <c r="T654">
        <v>2</v>
      </c>
      <c r="U654">
        <v>2</v>
      </c>
      <c r="V654" s="15">
        <f t="shared" ca="1" si="21"/>
        <v>4</v>
      </c>
    </row>
    <row r="655" spans="1:22">
      <c r="A655" t="s">
        <v>3119</v>
      </c>
      <c r="B655" s="1">
        <v>41055.339386574073</v>
      </c>
      <c r="C655" s="2">
        <v>120000</v>
      </c>
      <c r="D655">
        <v>120000</v>
      </c>
      <c r="E655" t="s">
        <v>1856</v>
      </c>
      <c r="F655" s="5">
        <v>120000</v>
      </c>
      <c r="G655" s="5">
        <v>120000</v>
      </c>
      <c r="H655" s="5">
        <f ca="1">OFFSET(F655,0,Brains!$D$1,1,1)</f>
        <v>120000</v>
      </c>
      <c r="I655" t="s">
        <v>3120</v>
      </c>
      <c r="J655" t="s">
        <v>1858</v>
      </c>
      <c r="K655" t="s">
        <v>1869</v>
      </c>
      <c r="L655" t="s">
        <v>1869</v>
      </c>
      <c r="M655" t="s">
        <v>3941</v>
      </c>
      <c r="N655" t="s">
        <v>1866</v>
      </c>
      <c r="O655" s="7" t="s">
        <v>3921</v>
      </c>
      <c r="P655" s="17" t="str">
        <f t="shared" ca="1" si="20"/>
        <v>100-149.9K</v>
      </c>
      <c r="Q655" s="17">
        <v>8</v>
      </c>
      <c r="R655">
        <v>7</v>
      </c>
      <c r="S655">
        <v>5</v>
      </c>
      <c r="T655">
        <v>2</v>
      </c>
      <c r="U655">
        <v>2</v>
      </c>
      <c r="V655" s="15">
        <f t="shared" ca="1" si="21"/>
        <v>6</v>
      </c>
    </row>
    <row r="656" spans="1:22">
      <c r="A656" t="s">
        <v>1202</v>
      </c>
      <c r="B656" s="1">
        <v>41061.074803240743</v>
      </c>
      <c r="C656" s="2">
        <v>15000</v>
      </c>
      <c r="D656">
        <v>15000</v>
      </c>
      <c r="E656" t="s">
        <v>1856</v>
      </c>
      <c r="F656" s="5">
        <v>15000</v>
      </c>
      <c r="G656" s="5">
        <v>15000</v>
      </c>
      <c r="H656" s="5">
        <f ca="1">OFFSET(F656,0,Brains!$D$1,1,1)</f>
        <v>15000</v>
      </c>
      <c r="I656" t="s">
        <v>3621</v>
      </c>
      <c r="J656" t="s">
        <v>1858</v>
      </c>
      <c r="K656" t="s">
        <v>1869</v>
      </c>
      <c r="L656" t="s">
        <v>1869</v>
      </c>
      <c r="M656" t="s">
        <v>3941</v>
      </c>
      <c r="N656" t="s">
        <v>1866</v>
      </c>
      <c r="O656" s="7" t="s">
        <v>3921</v>
      </c>
      <c r="P656" s="17" t="str">
        <f t="shared" ca="1" si="20"/>
        <v>15-29.9K</v>
      </c>
      <c r="Q656" s="17">
        <v>8</v>
      </c>
      <c r="R656">
        <v>8</v>
      </c>
      <c r="S656">
        <v>5</v>
      </c>
      <c r="T656">
        <v>2</v>
      </c>
      <c r="U656">
        <v>2</v>
      </c>
      <c r="V656" s="15">
        <f t="shared" ca="1" si="21"/>
        <v>2</v>
      </c>
    </row>
    <row r="657" spans="1:22">
      <c r="A657" t="s">
        <v>1518</v>
      </c>
      <c r="B657" s="1">
        <v>41068.102233796293</v>
      </c>
      <c r="C657" s="2">
        <v>88000</v>
      </c>
      <c r="D657">
        <v>88000</v>
      </c>
      <c r="E657" t="s">
        <v>1856</v>
      </c>
      <c r="F657" s="5">
        <v>88000</v>
      </c>
      <c r="G657" s="5">
        <v>88000</v>
      </c>
      <c r="H657" s="5">
        <f ca="1">OFFSET(F657,0,Brains!$D$1,1,1)</f>
        <v>88000</v>
      </c>
      <c r="I657" t="s">
        <v>1519</v>
      </c>
      <c r="J657" t="s">
        <v>1858</v>
      </c>
      <c r="K657" t="s">
        <v>1869</v>
      </c>
      <c r="L657" t="s">
        <v>1869</v>
      </c>
      <c r="M657" t="s">
        <v>3941</v>
      </c>
      <c r="N657" t="s">
        <v>1866</v>
      </c>
      <c r="O657" s="7" t="s">
        <v>3921</v>
      </c>
      <c r="P657" s="17" t="str">
        <f t="shared" ca="1" si="20"/>
        <v>75-99.9K</v>
      </c>
      <c r="Q657" s="17">
        <v>8</v>
      </c>
      <c r="R657">
        <v>10</v>
      </c>
      <c r="S657">
        <v>5</v>
      </c>
      <c r="T657">
        <v>2</v>
      </c>
      <c r="U657">
        <v>2</v>
      </c>
      <c r="V657" s="15">
        <f t="shared" ca="1" si="21"/>
        <v>5</v>
      </c>
    </row>
    <row r="658" spans="1:22">
      <c r="A658" t="s">
        <v>1049</v>
      </c>
      <c r="B658" s="1">
        <v>41059.861631944441</v>
      </c>
      <c r="C658" s="2">
        <v>76000</v>
      </c>
      <c r="D658">
        <v>76000</v>
      </c>
      <c r="E658" t="s">
        <v>1856</v>
      </c>
      <c r="F658" s="5">
        <v>76000</v>
      </c>
      <c r="G658" s="5">
        <v>76000</v>
      </c>
      <c r="H658" s="5">
        <f ca="1">OFFSET(F658,0,Brains!$D$1,1,1)</f>
        <v>76000</v>
      </c>
      <c r="I658" t="s">
        <v>3120</v>
      </c>
      <c r="J658" t="s">
        <v>1858</v>
      </c>
      <c r="K658" t="s">
        <v>1869</v>
      </c>
      <c r="L658" t="s">
        <v>1869</v>
      </c>
      <c r="M658" t="s">
        <v>3941</v>
      </c>
      <c r="N658" t="s">
        <v>1866</v>
      </c>
      <c r="O658" s="7" t="s">
        <v>3921</v>
      </c>
      <c r="P658" s="17" t="str">
        <f t="shared" ca="1" si="20"/>
        <v>75-99.9K</v>
      </c>
      <c r="Q658" s="17">
        <v>8</v>
      </c>
      <c r="R658">
        <v>10</v>
      </c>
      <c r="S658">
        <v>5</v>
      </c>
      <c r="T658">
        <v>2</v>
      </c>
      <c r="U658">
        <v>2</v>
      </c>
      <c r="V658" s="15">
        <f t="shared" ca="1" si="21"/>
        <v>5</v>
      </c>
    </row>
    <row r="659" spans="1:22">
      <c r="A659" t="s">
        <v>934</v>
      </c>
      <c r="B659" s="1">
        <v>41059.096180555556</v>
      </c>
      <c r="C659" s="2">
        <v>72000</v>
      </c>
      <c r="D659">
        <v>72000</v>
      </c>
      <c r="E659" t="s">
        <v>1856</v>
      </c>
      <c r="F659" s="5">
        <v>72000</v>
      </c>
      <c r="G659" s="5">
        <v>72000</v>
      </c>
      <c r="H659" s="5">
        <f ca="1">OFFSET(F659,0,Brains!$D$1,1,1)</f>
        <v>72000</v>
      </c>
      <c r="I659" t="s">
        <v>935</v>
      </c>
      <c r="J659" t="s">
        <v>1858</v>
      </c>
      <c r="K659" t="s">
        <v>1869</v>
      </c>
      <c r="L659" t="s">
        <v>1869</v>
      </c>
      <c r="M659" t="s">
        <v>3941</v>
      </c>
      <c r="N659" t="s">
        <v>1866</v>
      </c>
      <c r="O659" s="7" t="s">
        <v>3921</v>
      </c>
      <c r="P659" s="17" t="str">
        <f t="shared" ca="1" si="20"/>
        <v>50-74.9K</v>
      </c>
      <c r="Q659" s="17">
        <v>8</v>
      </c>
      <c r="R659">
        <v>10</v>
      </c>
      <c r="S659">
        <v>5</v>
      </c>
      <c r="T659">
        <v>2</v>
      </c>
      <c r="U659">
        <v>2</v>
      </c>
      <c r="V659" s="15">
        <f t="shared" ca="1" si="21"/>
        <v>4</v>
      </c>
    </row>
    <row r="660" spans="1:22">
      <c r="A660" t="s">
        <v>1624</v>
      </c>
      <c r="B660" s="1">
        <v>41072.275138888886</v>
      </c>
      <c r="C660" s="2">
        <v>63000</v>
      </c>
      <c r="D660">
        <v>63000</v>
      </c>
      <c r="E660" t="s">
        <v>1856</v>
      </c>
      <c r="F660" s="5">
        <v>63000</v>
      </c>
      <c r="G660" s="5">
        <v>63000</v>
      </c>
      <c r="H660" s="5">
        <f ca="1">OFFSET(F660,0,Brains!$D$1,1,1)</f>
        <v>63000</v>
      </c>
      <c r="I660" t="s">
        <v>2022</v>
      </c>
      <c r="J660" t="s">
        <v>1858</v>
      </c>
      <c r="K660" t="s">
        <v>1869</v>
      </c>
      <c r="L660" t="s">
        <v>1869</v>
      </c>
      <c r="M660" t="s">
        <v>3941</v>
      </c>
      <c r="N660" t="s">
        <v>1866</v>
      </c>
      <c r="O660" s="7" t="s">
        <v>3921</v>
      </c>
      <c r="P660" s="17" t="str">
        <f t="shared" ca="1" si="20"/>
        <v>50-74.9K</v>
      </c>
      <c r="Q660" s="17">
        <v>8</v>
      </c>
      <c r="R660">
        <v>10</v>
      </c>
      <c r="S660">
        <v>5</v>
      </c>
      <c r="T660">
        <v>2</v>
      </c>
      <c r="U660">
        <v>2</v>
      </c>
      <c r="V660" s="15">
        <f t="shared" ca="1" si="21"/>
        <v>4</v>
      </c>
    </row>
    <row r="661" spans="1:22">
      <c r="A661" t="s">
        <v>868</v>
      </c>
      <c r="B661" s="1">
        <v>41058.929722222223</v>
      </c>
      <c r="C661" s="2">
        <v>60800</v>
      </c>
      <c r="D661">
        <v>60800</v>
      </c>
      <c r="E661" t="s">
        <v>1856</v>
      </c>
      <c r="F661" s="5">
        <v>60800</v>
      </c>
      <c r="G661" s="5">
        <v>60800</v>
      </c>
      <c r="H661" s="5">
        <f ca="1">OFFSET(F661,0,Brains!$D$1,1,1)</f>
        <v>60800</v>
      </c>
      <c r="I661" t="s">
        <v>869</v>
      </c>
      <c r="J661" t="s">
        <v>1858</v>
      </c>
      <c r="K661" t="s">
        <v>1869</v>
      </c>
      <c r="L661" t="s">
        <v>1869</v>
      </c>
      <c r="M661" t="s">
        <v>3941</v>
      </c>
      <c r="N661" t="s">
        <v>1866</v>
      </c>
      <c r="O661" s="7" t="s">
        <v>3921</v>
      </c>
      <c r="P661" s="17" t="str">
        <f t="shared" ca="1" si="20"/>
        <v>50-74.9K</v>
      </c>
      <c r="Q661" s="17">
        <v>8</v>
      </c>
      <c r="R661">
        <v>10</v>
      </c>
      <c r="S661">
        <v>5</v>
      </c>
      <c r="T661">
        <v>2</v>
      </c>
      <c r="U661">
        <v>2</v>
      </c>
      <c r="V661" s="15">
        <f t="shared" ca="1" si="21"/>
        <v>4</v>
      </c>
    </row>
    <row r="662" spans="1:22">
      <c r="A662" t="s">
        <v>1736</v>
      </c>
      <c r="B662" s="1">
        <v>41075.972916666666</v>
      </c>
      <c r="C662" s="2">
        <v>60000</v>
      </c>
      <c r="D662">
        <v>60000</v>
      </c>
      <c r="E662" t="s">
        <v>1856</v>
      </c>
      <c r="F662" s="5">
        <v>60000</v>
      </c>
      <c r="G662" s="5">
        <v>60000</v>
      </c>
      <c r="H662" s="5">
        <f ca="1">OFFSET(F662,0,Brains!$D$1,1,1)</f>
        <v>60000</v>
      </c>
      <c r="I662" t="s">
        <v>1737</v>
      </c>
      <c r="J662" t="s">
        <v>1858</v>
      </c>
      <c r="K662" t="s">
        <v>1869</v>
      </c>
      <c r="L662" t="s">
        <v>1869</v>
      </c>
      <c r="M662" t="s">
        <v>3941</v>
      </c>
      <c r="N662" t="s">
        <v>1866</v>
      </c>
      <c r="O662" s="7" t="s">
        <v>3921</v>
      </c>
      <c r="P662" s="17" t="str">
        <f t="shared" ca="1" si="20"/>
        <v>50-74.9K</v>
      </c>
      <c r="Q662" s="17">
        <v>8</v>
      </c>
      <c r="R662">
        <v>10</v>
      </c>
      <c r="S662">
        <v>5</v>
      </c>
      <c r="T662">
        <v>2</v>
      </c>
      <c r="U662">
        <v>2</v>
      </c>
      <c r="V662" s="15">
        <f t="shared" ca="1" si="21"/>
        <v>4</v>
      </c>
    </row>
    <row r="663" spans="1:22">
      <c r="A663" t="s">
        <v>1283</v>
      </c>
      <c r="B663" s="1">
        <v>41062.265104166669</v>
      </c>
      <c r="C663" s="2">
        <v>32884.800000000003</v>
      </c>
      <c r="D663">
        <v>32884</v>
      </c>
      <c r="E663" t="s">
        <v>1856</v>
      </c>
      <c r="F663" s="5">
        <v>32884</v>
      </c>
      <c r="G663" s="5">
        <v>32884</v>
      </c>
      <c r="H663" s="5">
        <f ca="1">OFFSET(F663,0,Brains!$D$1,1,1)</f>
        <v>32884</v>
      </c>
      <c r="I663" t="s">
        <v>2303</v>
      </c>
      <c r="J663" t="s">
        <v>1858</v>
      </c>
      <c r="K663" t="s">
        <v>1869</v>
      </c>
      <c r="L663" t="s">
        <v>1869</v>
      </c>
      <c r="M663" t="s">
        <v>3941</v>
      </c>
      <c r="N663" t="s">
        <v>1866</v>
      </c>
      <c r="O663" s="7" t="s">
        <v>3921</v>
      </c>
      <c r="P663" s="17" t="str">
        <f t="shared" ca="1" si="20"/>
        <v>30-49.9K</v>
      </c>
      <c r="Q663" s="17">
        <v>8</v>
      </c>
      <c r="R663">
        <v>10</v>
      </c>
      <c r="S663">
        <v>5</v>
      </c>
      <c r="T663">
        <v>2</v>
      </c>
      <c r="U663">
        <v>2</v>
      </c>
      <c r="V663" s="15">
        <f t="shared" ca="1" si="21"/>
        <v>3</v>
      </c>
    </row>
    <row r="664" spans="1:22">
      <c r="A664" t="s">
        <v>3047</v>
      </c>
      <c r="B664" s="1">
        <v>41055.240763888891</v>
      </c>
      <c r="C664" s="2">
        <v>111000</v>
      </c>
      <c r="D664">
        <v>111000</v>
      </c>
      <c r="E664" t="s">
        <v>1856</v>
      </c>
      <c r="F664" s="5">
        <v>111000</v>
      </c>
      <c r="G664" s="5">
        <v>111000</v>
      </c>
      <c r="H664" s="5">
        <f ca="1">OFFSET(F664,0,Brains!$D$1,1,1)</f>
        <v>111000</v>
      </c>
      <c r="I664" t="s">
        <v>2614</v>
      </c>
      <c r="J664" t="s">
        <v>1858</v>
      </c>
      <c r="K664" t="s">
        <v>3048</v>
      </c>
      <c r="L664" t="s">
        <v>3048</v>
      </c>
      <c r="M664" s="7" t="s">
        <v>3941</v>
      </c>
      <c r="N664" t="s">
        <v>1866</v>
      </c>
      <c r="P664" s="15" t="str">
        <f t="shared" ca="1" si="20"/>
        <v>100-149.9K</v>
      </c>
      <c r="Q664" s="15">
        <v>8</v>
      </c>
      <c r="S664">
        <v>5</v>
      </c>
      <c r="U664">
        <v>2</v>
      </c>
      <c r="V664" s="15">
        <f t="shared" ca="1" si="21"/>
        <v>6</v>
      </c>
    </row>
    <row r="665" spans="1:22">
      <c r="A665" t="s">
        <v>1997</v>
      </c>
      <c r="B665" s="1">
        <v>41054.253437500003</v>
      </c>
      <c r="C665" s="2" t="s">
        <v>1998</v>
      </c>
      <c r="D665">
        <v>100000</v>
      </c>
      <c r="E665" t="s">
        <v>1856</v>
      </c>
      <c r="F665" s="5">
        <v>100000</v>
      </c>
      <c r="G665" s="5">
        <v>100000</v>
      </c>
      <c r="H665" s="5">
        <f ca="1">OFFSET(F665,0,Brains!$D$1,1,1)</f>
        <v>100000</v>
      </c>
      <c r="I665" t="s">
        <v>1999</v>
      </c>
      <c r="J665" t="s">
        <v>1858</v>
      </c>
      <c r="K665" t="s">
        <v>1883</v>
      </c>
      <c r="L665" t="s">
        <v>1883</v>
      </c>
      <c r="M665" s="7" t="s">
        <v>3941</v>
      </c>
      <c r="N665" t="s">
        <v>1866</v>
      </c>
      <c r="P665" s="15" t="str">
        <f t="shared" ca="1" si="20"/>
        <v>100-149.9K</v>
      </c>
      <c r="Q665" s="15">
        <v>8</v>
      </c>
      <c r="S665">
        <v>5</v>
      </c>
      <c r="U665">
        <v>2</v>
      </c>
      <c r="V665" s="15">
        <f t="shared" ca="1" si="21"/>
        <v>6</v>
      </c>
    </row>
    <row r="666" spans="1:22">
      <c r="A666" t="s">
        <v>2434</v>
      </c>
      <c r="B666" s="1">
        <v>41055.046736111108</v>
      </c>
      <c r="C666" s="2" t="s">
        <v>2435</v>
      </c>
      <c r="D666">
        <v>60000</v>
      </c>
      <c r="E666" t="s">
        <v>1954</v>
      </c>
      <c r="F666" s="5">
        <v>94570.696324037053</v>
      </c>
      <c r="G666" s="5">
        <v>89020.771513353116</v>
      </c>
      <c r="H666" s="5">
        <f ca="1">OFFSET(F666,0,Brains!$D$1,1,1)</f>
        <v>89020.771513353116</v>
      </c>
      <c r="I666" t="s">
        <v>2436</v>
      </c>
      <c r="J666" t="s">
        <v>1858</v>
      </c>
      <c r="K666" t="s">
        <v>1956</v>
      </c>
      <c r="L666" t="s">
        <v>1956</v>
      </c>
      <c r="M666" s="7" t="s">
        <v>3941</v>
      </c>
      <c r="N666" t="s">
        <v>1866</v>
      </c>
      <c r="P666" s="15" t="str">
        <f t="shared" ca="1" si="20"/>
        <v>75-99.9K</v>
      </c>
      <c r="Q666" s="15">
        <v>8</v>
      </c>
      <c r="S666">
        <v>5</v>
      </c>
      <c r="U666">
        <v>2</v>
      </c>
      <c r="V666" s="15">
        <f t="shared" ca="1" si="21"/>
        <v>5</v>
      </c>
    </row>
    <row r="667" spans="1:22">
      <c r="A667" t="s">
        <v>2783</v>
      </c>
      <c r="B667" s="1">
        <v>41055.100277777776</v>
      </c>
      <c r="C667" s="2">
        <v>5900</v>
      </c>
      <c r="D667">
        <v>70800</v>
      </c>
      <c r="E667" t="s">
        <v>1880</v>
      </c>
      <c r="F667" s="5">
        <v>89944.280280605832</v>
      </c>
      <c r="G667" s="5">
        <v>88938.913538311579</v>
      </c>
      <c r="H667" s="5">
        <f ca="1">OFFSET(F667,0,Brains!$D$1,1,1)</f>
        <v>88938.913538311579</v>
      </c>
      <c r="I667" t="s">
        <v>2784</v>
      </c>
      <c r="J667" t="s">
        <v>1858</v>
      </c>
      <c r="K667" t="s">
        <v>2785</v>
      </c>
      <c r="L667" t="s">
        <v>2785</v>
      </c>
      <c r="M667" s="7" t="s">
        <v>3941</v>
      </c>
      <c r="N667" t="s">
        <v>1866</v>
      </c>
      <c r="P667" s="15" t="str">
        <f t="shared" ca="1" si="20"/>
        <v>75-99.9K</v>
      </c>
      <c r="Q667" s="15">
        <v>8</v>
      </c>
      <c r="S667">
        <v>5</v>
      </c>
      <c r="U667">
        <v>2</v>
      </c>
      <c r="V667" s="15">
        <f t="shared" ca="1" si="21"/>
        <v>5</v>
      </c>
    </row>
    <row r="668" spans="1:22">
      <c r="A668" t="s">
        <v>2549</v>
      </c>
      <c r="B668" s="1">
        <v>41055.060023148151</v>
      </c>
      <c r="C668" s="2">
        <v>60000</v>
      </c>
      <c r="D668">
        <v>60000</v>
      </c>
      <c r="E668" t="s">
        <v>1979</v>
      </c>
      <c r="F668" s="5">
        <v>59001.691381819612</v>
      </c>
      <c r="G668" s="5">
        <v>48038.430744595673</v>
      </c>
      <c r="H668" s="5">
        <f ca="1">OFFSET(F668,0,Brains!$D$1,1,1)</f>
        <v>48038.430744595673</v>
      </c>
      <c r="I668" t="s">
        <v>2550</v>
      </c>
      <c r="J668" t="s">
        <v>1858</v>
      </c>
      <c r="K668" t="s">
        <v>1981</v>
      </c>
      <c r="L668" t="s">
        <v>1981</v>
      </c>
      <c r="M668" s="7" t="s">
        <v>3941</v>
      </c>
      <c r="N668" t="s">
        <v>1866</v>
      </c>
      <c r="P668" s="15" t="str">
        <f t="shared" ca="1" si="20"/>
        <v>30-49.9K</v>
      </c>
      <c r="Q668" s="15">
        <v>8</v>
      </c>
      <c r="S668">
        <v>5</v>
      </c>
      <c r="U668">
        <v>2</v>
      </c>
      <c r="V668" s="15">
        <f t="shared" ca="1" si="21"/>
        <v>3</v>
      </c>
    </row>
    <row r="669" spans="1:22">
      <c r="A669" t="s">
        <v>1952</v>
      </c>
      <c r="B669" s="1">
        <v>41054.207465277781</v>
      </c>
      <c r="C669" s="2" t="s">
        <v>1953</v>
      </c>
      <c r="D669">
        <v>35000</v>
      </c>
      <c r="E669" t="s">
        <v>1954</v>
      </c>
      <c r="F669" s="5">
        <v>55166.239522354947</v>
      </c>
      <c r="G669" s="5">
        <v>51928.783382789312</v>
      </c>
      <c r="H669" s="5">
        <f ca="1">OFFSET(F669,0,Brains!$D$1,1,1)</f>
        <v>51928.783382789312</v>
      </c>
      <c r="I669" t="s">
        <v>1955</v>
      </c>
      <c r="J669" t="s">
        <v>1858</v>
      </c>
      <c r="K669" t="s">
        <v>1956</v>
      </c>
      <c r="L669" t="s">
        <v>1956</v>
      </c>
      <c r="M669" s="7" t="s">
        <v>3941</v>
      </c>
      <c r="N669" t="s">
        <v>1866</v>
      </c>
      <c r="P669" s="15" t="str">
        <f t="shared" ca="1" si="20"/>
        <v>50-74.9K</v>
      </c>
      <c r="Q669" s="15">
        <v>8</v>
      </c>
      <c r="S669">
        <v>5</v>
      </c>
      <c r="U669">
        <v>2</v>
      </c>
      <c r="V669" s="15">
        <f t="shared" ca="1" si="21"/>
        <v>4</v>
      </c>
    </row>
    <row r="670" spans="1:22">
      <c r="A670" t="s">
        <v>2021</v>
      </c>
      <c r="B670" s="1">
        <v>41054.301053240742</v>
      </c>
      <c r="C670" s="2">
        <v>56000</v>
      </c>
      <c r="D670">
        <v>56000</v>
      </c>
      <c r="E670" t="s">
        <v>1979</v>
      </c>
      <c r="F670" s="5">
        <v>55068.245289698301</v>
      </c>
      <c r="G670" s="5">
        <v>44835.868694955956</v>
      </c>
      <c r="H670" s="5">
        <f ca="1">OFFSET(F670,0,Brains!$D$1,1,1)</f>
        <v>44835.868694955956</v>
      </c>
      <c r="I670" t="s">
        <v>2022</v>
      </c>
      <c r="J670" t="s">
        <v>1858</v>
      </c>
      <c r="K670" t="s">
        <v>2023</v>
      </c>
      <c r="L670" t="s">
        <v>1981</v>
      </c>
      <c r="M670" s="7" t="s">
        <v>3941</v>
      </c>
      <c r="N670" t="s">
        <v>1866</v>
      </c>
      <c r="P670" s="15" t="str">
        <f t="shared" ca="1" si="20"/>
        <v>30-49.9K</v>
      </c>
      <c r="Q670" s="15">
        <v>8</v>
      </c>
      <c r="S670">
        <v>5</v>
      </c>
      <c r="U670">
        <v>2</v>
      </c>
      <c r="V670" s="15">
        <f t="shared" ca="1" si="21"/>
        <v>3</v>
      </c>
    </row>
    <row r="671" spans="1:22">
      <c r="A671" t="s">
        <v>2217</v>
      </c>
      <c r="B671" s="1">
        <v>41055.030821759261</v>
      </c>
      <c r="C671" s="2">
        <v>50000</v>
      </c>
      <c r="D671">
        <v>50000</v>
      </c>
      <c r="E671" t="s">
        <v>1856</v>
      </c>
      <c r="F671" s="5">
        <v>50000</v>
      </c>
      <c r="G671" s="5">
        <v>50000</v>
      </c>
      <c r="H671" s="5">
        <f ca="1">OFFSET(F671,0,Brains!$D$1,1,1)</f>
        <v>50000</v>
      </c>
      <c r="I671" t="s">
        <v>2218</v>
      </c>
      <c r="J671" t="s">
        <v>1858</v>
      </c>
      <c r="K671" t="s">
        <v>2123</v>
      </c>
      <c r="L671" t="s">
        <v>2123</v>
      </c>
      <c r="M671" s="7" t="s">
        <v>3941</v>
      </c>
      <c r="N671" t="s">
        <v>1866</v>
      </c>
      <c r="P671" s="15" t="str">
        <f t="shared" ca="1" si="20"/>
        <v>50-74.9K</v>
      </c>
      <c r="Q671" s="15">
        <v>8</v>
      </c>
      <c r="S671">
        <v>5</v>
      </c>
      <c r="U671">
        <v>2</v>
      </c>
      <c r="V671" s="15">
        <f t="shared" ca="1" si="21"/>
        <v>4</v>
      </c>
    </row>
    <row r="672" spans="1:22">
      <c r="A672" t="s">
        <v>2921</v>
      </c>
      <c r="B672" s="1">
        <v>41055.147835648146</v>
      </c>
      <c r="C672" s="2">
        <v>46000</v>
      </c>
      <c r="D672">
        <v>46000</v>
      </c>
      <c r="E672" t="s">
        <v>1979</v>
      </c>
      <c r="F672" s="5">
        <v>45234.630059395036</v>
      </c>
      <c r="G672" s="5">
        <v>36829.463570856678</v>
      </c>
      <c r="H672" s="5">
        <f ca="1">OFFSET(F672,0,Brains!$D$1,1,1)</f>
        <v>36829.463570856678</v>
      </c>
      <c r="I672" t="s">
        <v>2922</v>
      </c>
      <c r="J672" t="s">
        <v>1858</v>
      </c>
      <c r="K672" t="s">
        <v>1981</v>
      </c>
      <c r="L672" t="s">
        <v>1981</v>
      </c>
      <c r="M672" s="7" t="s">
        <v>3941</v>
      </c>
      <c r="N672" t="s">
        <v>1866</v>
      </c>
      <c r="P672" s="15" t="str">
        <f t="shared" ca="1" si="20"/>
        <v>30-49.9K</v>
      </c>
      <c r="Q672" s="15">
        <v>8</v>
      </c>
      <c r="S672">
        <v>5</v>
      </c>
      <c r="U672">
        <v>2</v>
      </c>
      <c r="V672" s="15">
        <f t="shared" ca="1" si="21"/>
        <v>3</v>
      </c>
    </row>
    <row r="673" spans="1:22">
      <c r="A673" t="s">
        <v>2178</v>
      </c>
      <c r="B673" s="1">
        <v>41055.029641203706</v>
      </c>
      <c r="C673" s="2">
        <v>28159.200000000001</v>
      </c>
      <c r="D673">
        <v>28159</v>
      </c>
      <c r="E673" t="s">
        <v>1954</v>
      </c>
      <c r="F673" s="5">
        <v>44383.603963142654</v>
      </c>
      <c r="G673" s="5">
        <v>41778.931750741838</v>
      </c>
      <c r="H673" s="5">
        <f ca="1">OFFSET(F673,0,Brains!$D$1,1,1)</f>
        <v>41778.931750741838</v>
      </c>
      <c r="I673" t="s">
        <v>2099</v>
      </c>
      <c r="J673" t="s">
        <v>1858</v>
      </c>
      <c r="K673" t="s">
        <v>1956</v>
      </c>
      <c r="L673" t="s">
        <v>1956</v>
      </c>
      <c r="M673" s="7" t="s">
        <v>3941</v>
      </c>
      <c r="N673" t="s">
        <v>1866</v>
      </c>
      <c r="P673" s="15" t="str">
        <f t="shared" ca="1" si="20"/>
        <v>30-49.9K</v>
      </c>
      <c r="Q673" s="15">
        <v>8</v>
      </c>
      <c r="S673">
        <v>5</v>
      </c>
      <c r="U673">
        <v>2</v>
      </c>
      <c r="V673" s="15">
        <f t="shared" ca="1" si="21"/>
        <v>3</v>
      </c>
    </row>
    <row r="674" spans="1:22">
      <c r="A674" t="s">
        <v>2438</v>
      </c>
      <c r="B674" s="1">
        <v>41055.047222222223</v>
      </c>
      <c r="C674" s="2">
        <v>28000</v>
      </c>
      <c r="D674">
        <v>28000</v>
      </c>
      <c r="E674" t="s">
        <v>1954</v>
      </c>
      <c r="F674" s="5">
        <v>44132.991617883956</v>
      </c>
      <c r="G674" s="5">
        <v>41543.026706231452</v>
      </c>
      <c r="H674" s="5">
        <f ca="1">OFFSET(F674,0,Brains!$D$1,1,1)</f>
        <v>41543.026706231452</v>
      </c>
      <c r="I674" t="s">
        <v>2439</v>
      </c>
      <c r="J674" t="s">
        <v>1858</v>
      </c>
      <c r="K674" t="s">
        <v>1956</v>
      </c>
      <c r="L674" t="s">
        <v>1956</v>
      </c>
      <c r="M674" s="7" t="s">
        <v>3941</v>
      </c>
      <c r="N674" t="s">
        <v>1866</v>
      </c>
      <c r="P674" s="15" t="str">
        <f t="shared" ca="1" si="20"/>
        <v>30-49.9K</v>
      </c>
      <c r="Q674" s="15">
        <v>8</v>
      </c>
      <c r="S674">
        <v>5</v>
      </c>
      <c r="U674">
        <v>2</v>
      </c>
      <c r="V674" s="15">
        <f t="shared" ca="1" si="21"/>
        <v>3</v>
      </c>
    </row>
    <row r="675" spans="1:22">
      <c r="A675" t="s">
        <v>1877</v>
      </c>
      <c r="B675" s="1">
        <v>41054.144768518519</v>
      </c>
      <c r="C675" s="2">
        <v>41731</v>
      </c>
      <c r="D675">
        <v>41731</v>
      </c>
      <c r="E675" t="s">
        <v>1856</v>
      </c>
      <c r="F675" s="5">
        <v>41731</v>
      </c>
      <c r="G675" s="5">
        <v>41731</v>
      </c>
      <c r="H675" s="5">
        <f ca="1">OFFSET(F675,0,Brains!$D$1,1,1)</f>
        <v>41731</v>
      </c>
      <c r="I675" t="s">
        <v>1858</v>
      </c>
      <c r="J675" t="s">
        <v>1858</v>
      </c>
      <c r="K675" t="s">
        <v>1878</v>
      </c>
      <c r="L675" t="s">
        <v>1878</v>
      </c>
      <c r="M675" s="7" t="s">
        <v>3941</v>
      </c>
      <c r="N675" t="s">
        <v>1866</v>
      </c>
      <c r="P675" s="15" t="str">
        <f t="shared" ca="1" si="20"/>
        <v>30-49.9K</v>
      </c>
      <c r="Q675" s="15">
        <v>8</v>
      </c>
      <c r="S675">
        <v>5</v>
      </c>
      <c r="U675">
        <v>2</v>
      </c>
      <c r="V675" s="15">
        <f t="shared" ca="1" si="21"/>
        <v>3</v>
      </c>
    </row>
    <row r="676" spans="1:22">
      <c r="A676" t="s">
        <v>2524</v>
      </c>
      <c r="B676" s="1">
        <v>41055.05740740741</v>
      </c>
      <c r="C676" s="2">
        <v>42000</v>
      </c>
      <c r="D676">
        <v>42000</v>
      </c>
      <c r="E676" t="s">
        <v>1979</v>
      </c>
      <c r="F676" s="5">
        <v>41301.183967273726</v>
      </c>
      <c r="G676" s="5">
        <v>33626.901521216969</v>
      </c>
      <c r="H676" s="5">
        <f ca="1">OFFSET(F676,0,Brains!$D$1,1,1)</f>
        <v>33626.901521216969</v>
      </c>
      <c r="I676" t="s">
        <v>1868</v>
      </c>
      <c r="J676" t="s">
        <v>1858</v>
      </c>
      <c r="K676" t="s">
        <v>1981</v>
      </c>
      <c r="L676" t="s">
        <v>1981</v>
      </c>
      <c r="M676" s="7" t="s">
        <v>3941</v>
      </c>
      <c r="N676" t="s">
        <v>1866</v>
      </c>
      <c r="P676" s="15" t="str">
        <f t="shared" ca="1" si="20"/>
        <v>30-49.9K</v>
      </c>
      <c r="Q676" s="15">
        <v>8</v>
      </c>
      <c r="S676">
        <v>5</v>
      </c>
      <c r="U676">
        <v>2</v>
      </c>
      <c r="V676" s="15">
        <f t="shared" ca="1" si="21"/>
        <v>3</v>
      </c>
    </row>
    <row r="677" spans="1:22">
      <c r="A677" t="s">
        <v>2660</v>
      </c>
      <c r="B677" s="1">
        <v>41055.076388888891</v>
      </c>
      <c r="C677" s="2">
        <v>35000</v>
      </c>
      <c r="D677">
        <v>35000</v>
      </c>
      <c r="E677" t="s">
        <v>1856</v>
      </c>
      <c r="F677" s="5">
        <v>35000</v>
      </c>
      <c r="G677" s="5">
        <v>35000</v>
      </c>
      <c r="H677" s="5">
        <f ca="1">OFFSET(F677,0,Brains!$D$1,1,1)</f>
        <v>35000</v>
      </c>
      <c r="I677" t="s">
        <v>2661</v>
      </c>
      <c r="J677" t="s">
        <v>1858</v>
      </c>
      <c r="K677" t="s">
        <v>2026</v>
      </c>
      <c r="L677" t="s">
        <v>2081</v>
      </c>
      <c r="M677" s="7" t="s">
        <v>3941</v>
      </c>
      <c r="N677" t="s">
        <v>1866</v>
      </c>
      <c r="P677" s="15" t="str">
        <f t="shared" ca="1" si="20"/>
        <v>30-49.9K</v>
      </c>
      <c r="Q677" s="15">
        <v>8</v>
      </c>
      <c r="S677">
        <v>5</v>
      </c>
      <c r="U677">
        <v>2</v>
      </c>
      <c r="V677" s="15">
        <f t="shared" ca="1" si="21"/>
        <v>3</v>
      </c>
    </row>
    <row r="678" spans="1:22">
      <c r="A678" t="s">
        <v>2078</v>
      </c>
      <c r="B678" s="1">
        <v>41055.007881944446</v>
      </c>
      <c r="C678" s="2" t="s">
        <v>2079</v>
      </c>
      <c r="D678">
        <v>31330</v>
      </c>
      <c r="E678" t="s">
        <v>1856</v>
      </c>
      <c r="F678" s="5">
        <v>31330</v>
      </c>
      <c r="G678" s="5">
        <v>31330</v>
      </c>
      <c r="H678" s="5">
        <f ca="1">OFFSET(F678,0,Brains!$D$1,1,1)</f>
        <v>31330</v>
      </c>
      <c r="I678" t="s">
        <v>2080</v>
      </c>
      <c r="J678" t="s">
        <v>1858</v>
      </c>
      <c r="K678" t="s">
        <v>2081</v>
      </c>
      <c r="L678" t="s">
        <v>2081</v>
      </c>
      <c r="M678" s="7" t="s">
        <v>3941</v>
      </c>
      <c r="N678" t="s">
        <v>1866</v>
      </c>
      <c r="P678" s="15" t="str">
        <f t="shared" ca="1" si="20"/>
        <v>30-49.9K</v>
      </c>
      <c r="Q678" s="15">
        <v>8</v>
      </c>
      <c r="S678">
        <v>5</v>
      </c>
      <c r="U678">
        <v>2</v>
      </c>
      <c r="V678" s="15">
        <f t="shared" ca="1" si="21"/>
        <v>3</v>
      </c>
    </row>
    <row r="679" spans="1:22">
      <c r="A679" t="s">
        <v>2751</v>
      </c>
      <c r="B679" s="1">
        <v>41055.093113425923</v>
      </c>
      <c r="C679" s="2" t="s">
        <v>2752</v>
      </c>
      <c r="D679">
        <v>14000000</v>
      </c>
      <c r="E679" t="s">
        <v>2753</v>
      </c>
      <c r="F679" s="5">
        <v>28109.627547434993</v>
      </c>
      <c r="G679" s="5">
        <v>35591.712215584084</v>
      </c>
      <c r="H679" s="5">
        <f ca="1">OFFSET(F679,0,Brains!$D$1,1,1)</f>
        <v>35591.712215584084</v>
      </c>
      <c r="I679" t="s">
        <v>2754</v>
      </c>
      <c r="J679" t="s">
        <v>1858</v>
      </c>
      <c r="K679" t="s">
        <v>2755</v>
      </c>
      <c r="L679" t="s">
        <v>2755</v>
      </c>
      <c r="M679" s="7" t="s">
        <v>3941</v>
      </c>
      <c r="N679" t="s">
        <v>1866</v>
      </c>
      <c r="P679" s="15" t="str">
        <f t="shared" ca="1" si="20"/>
        <v>30-49.9K</v>
      </c>
      <c r="Q679" s="15">
        <v>8</v>
      </c>
      <c r="S679">
        <v>5</v>
      </c>
      <c r="U679">
        <v>2</v>
      </c>
      <c r="V679" s="15">
        <f t="shared" ca="1" si="21"/>
        <v>3</v>
      </c>
    </row>
    <row r="680" spans="1:22">
      <c r="A680" t="s">
        <v>2342</v>
      </c>
      <c r="B680" s="1">
        <v>41055.038032407407</v>
      </c>
      <c r="C680" s="2">
        <v>27000</v>
      </c>
      <c r="D680">
        <v>27000</v>
      </c>
      <c r="E680" t="s">
        <v>1856</v>
      </c>
      <c r="F680" s="5">
        <v>27000</v>
      </c>
      <c r="G680" s="5">
        <v>27000</v>
      </c>
      <c r="H680" s="5">
        <f ca="1">OFFSET(F680,0,Brains!$D$1,1,1)</f>
        <v>27000</v>
      </c>
      <c r="I680" t="s">
        <v>2343</v>
      </c>
      <c r="J680" t="s">
        <v>1858</v>
      </c>
      <c r="K680" t="s">
        <v>2344</v>
      </c>
      <c r="L680" t="s">
        <v>2344</v>
      </c>
      <c r="M680" s="7" t="s">
        <v>3941</v>
      </c>
      <c r="N680" t="s">
        <v>1866</v>
      </c>
      <c r="P680" s="15" t="str">
        <f t="shared" ca="1" si="20"/>
        <v>15-29.9K</v>
      </c>
      <c r="Q680" s="15">
        <v>8</v>
      </c>
      <c r="S680">
        <v>5</v>
      </c>
      <c r="U680">
        <v>2</v>
      </c>
      <c r="V680" s="15">
        <f t="shared" ca="1" si="21"/>
        <v>2</v>
      </c>
    </row>
    <row r="681" spans="1:22">
      <c r="A681" t="s">
        <v>2067</v>
      </c>
      <c r="B681" s="1">
        <v>41054.981423611112</v>
      </c>
      <c r="C681" s="2">
        <v>26000</v>
      </c>
      <c r="D681">
        <v>26000</v>
      </c>
      <c r="E681" t="s">
        <v>1856</v>
      </c>
      <c r="F681" s="5">
        <v>26000</v>
      </c>
      <c r="G681" s="5">
        <v>26000</v>
      </c>
      <c r="H681" s="5">
        <f ca="1">OFFSET(F681,0,Brains!$D$1,1,1)</f>
        <v>26000</v>
      </c>
      <c r="I681" t="s">
        <v>2068</v>
      </c>
      <c r="J681" t="s">
        <v>1858</v>
      </c>
      <c r="K681" t="s">
        <v>2069</v>
      </c>
      <c r="L681" t="s">
        <v>2069</v>
      </c>
      <c r="M681" s="7" t="s">
        <v>3941</v>
      </c>
      <c r="N681" t="s">
        <v>1866</v>
      </c>
      <c r="P681" s="15" t="str">
        <f t="shared" ca="1" si="20"/>
        <v>15-29.9K</v>
      </c>
      <c r="Q681" s="15">
        <v>8</v>
      </c>
      <c r="S681">
        <v>5</v>
      </c>
      <c r="U681">
        <v>2</v>
      </c>
      <c r="V681" s="15">
        <f t="shared" ca="1" si="21"/>
        <v>2</v>
      </c>
    </row>
    <row r="682" spans="1:22">
      <c r="A682" t="s">
        <v>2473</v>
      </c>
      <c r="B682" s="1">
        <v>41055.050474537034</v>
      </c>
      <c r="C682" s="2">
        <v>20000</v>
      </c>
      <c r="D682">
        <v>20000</v>
      </c>
      <c r="E682" t="s">
        <v>1856</v>
      </c>
      <c r="F682" s="5">
        <v>20000</v>
      </c>
      <c r="G682" s="5">
        <v>20000</v>
      </c>
      <c r="H682" s="5">
        <f ca="1">OFFSET(F682,0,Brains!$D$1,1,1)</f>
        <v>20000</v>
      </c>
      <c r="I682" t="s">
        <v>1858</v>
      </c>
      <c r="J682" t="s">
        <v>1858</v>
      </c>
      <c r="K682" t="s">
        <v>1859</v>
      </c>
      <c r="L682" t="s">
        <v>1859</v>
      </c>
      <c r="M682" s="7" t="s">
        <v>3941</v>
      </c>
      <c r="N682" t="s">
        <v>1866</v>
      </c>
      <c r="P682" s="15" t="str">
        <f t="shared" ca="1" si="20"/>
        <v>15-29.9K</v>
      </c>
      <c r="Q682" s="15">
        <v>8</v>
      </c>
      <c r="S682">
        <v>5</v>
      </c>
      <c r="U682">
        <v>2</v>
      </c>
      <c r="V682" s="15">
        <f t="shared" ca="1" si="21"/>
        <v>2</v>
      </c>
    </row>
    <row r="683" spans="1:22">
      <c r="A683" t="s">
        <v>2954</v>
      </c>
      <c r="B683" s="1">
        <v>41055.175185185188</v>
      </c>
      <c r="C683" s="2" t="s">
        <v>2955</v>
      </c>
      <c r="D683">
        <v>15000</v>
      </c>
      <c r="E683" t="s">
        <v>1880</v>
      </c>
      <c r="F683" s="5">
        <v>19055.991584874118</v>
      </c>
      <c r="G683" s="5">
        <v>18842.990156421944</v>
      </c>
      <c r="H683" s="5">
        <f ca="1">OFFSET(F683,0,Brains!$D$1,1,1)</f>
        <v>18842.990156421944</v>
      </c>
      <c r="I683" t="s">
        <v>2956</v>
      </c>
      <c r="J683" t="s">
        <v>1858</v>
      </c>
      <c r="K683" t="s">
        <v>2957</v>
      </c>
      <c r="L683" t="s">
        <v>2957</v>
      </c>
      <c r="M683" s="7" t="s">
        <v>3941</v>
      </c>
      <c r="N683" t="s">
        <v>1866</v>
      </c>
      <c r="P683" s="15" t="str">
        <f t="shared" ca="1" si="20"/>
        <v>15-29.9K</v>
      </c>
      <c r="Q683" s="15">
        <v>8</v>
      </c>
      <c r="S683">
        <v>5</v>
      </c>
      <c r="U683">
        <v>2</v>
      </c>
      <c r="V683" s="15">
        <f t="shared" ca="1" si="21"/>
        <v>2</v>
      </c>
    </row>
    <row r="684" spans="1:22">
      <c r="A684" t="s">
        <v>2061</v>
      </c>
      <c r="B684" s="1">
        <v>41054.972754629627</v>
      </c>
      <c r="C684" s="2" t="s">
        <v>2062</v>
      </c>
      <c r="D684">
        <v>18000</v>
      </c>
      <c r="E684" t="s">
        <v>1856</v>
      </c>
      <c r="F684" s="5">
        <v>18000</v>
      </c>
      <c r="G684" s="5">
        <v>18000</v>
      </c>
      <c r="H684" s="5">
        <f ca="1">OFFSET(F684,0,Brains!$D$1,1,1)</f>
        <v>18000</v>
      </c>
      <c r="I684" t="s">
        <v>2063</v>
      </c>
      <c r="J684" t="s">
        <v>1858</v>
      </c>
      <c r="K684" t="s">
        <v>2064</v>
      </c>
      <c r="L684" t="s">
        <v>2064</v>
      </c>
      <c r="M684" s="7" t="s">
        <v>3941</v>
      </c>
      <c r="N684" t="s">
        <v>1866</v>
      </c>
      <c r="P684" s="15" t="str">
        <f t="shared" ca="1" si="20"/>
        <v>15-29.9K</v>
      </c>
      <c r="Q684" s="15">
        <v>8</v>
      </c>
      <c r="S684">
        <v>5</v>
      </c>
      <c r="U684">
        <v>2</v>
      </c>
      <c r="V684" s="15">
        <f t="shared" ca="1" si="21"/>
        <v>2</v>
      </c>
    </row>
    <row r="685" spans="1:22">
      <c r="A685" t="s">
        <v>1906</v>
      </c>
      <c r="B685" s="1">
        <v>41054.158946759257</v>
      </c>
      <c r="C685" s="2" t="s">
        <v>1907</v>
      </c>
      <c r="D685">
        <v>749000</v>
      </c>
      <c r="E685" t="s">
        <v>1908</v>
      </c>
      <c r="F685" s="5">
        <v>13338.129598894484</v>
      </c>
      <c r="G685" s="5">
        <v>37297.081963947814</v>
      </c>
      <c r="H685" s="5">
        <f ca="1">OFFSET(F685,0,Brains!$D$1,1,1)</f>
        <v>37297.081963947814</v>
      </c>
      <c r="I685" t="s">
        <v>1909</v>
      </c>
      <c r="J685" t="s">
        <v>1858</v>
      </c>
      <c r="K685" t="s">
        <v>1859</v>
      </c>
      <c r="L685" t="s">
        <v>1859</v>
      </c>
      <c r="M685" s="7" t="s">
        <v>3941</v>
      </c>
      <c r="N685" t="s">
        <v>1866</v>
      </c>
      <c r="P685" s="15" t="str">
        <f t="shared" ca="1" si="20"/>
        <v>30-49.9K</v>
      </c>
      <c r="Q685" s="15">
        <v>8</v>
      </c>
      <c r="S685">
        <v>5</v>
      </c>
      <c r="U685">
        <v>2</v>
      </c>
      <c r="V685" s="15">
        <f t="shared" ca="1" si="21"/>
        <v>3</v>
      </c>
    </row>
    <row r="686" spans="1:22">
      <c r="A686" t="s">
        <v>1885</v>
      </c>
      <c r="B686" s="1">
        <v>41054.15042824074</v>
      </c>
      <c r="C686" s="2">
        <v>12000</v>
      </c>
      <c r="D686">
        <v>12000</v>
      </c>
      <c r="E686" t="s">
        <v>1856</v>
      </c>
      <c r="F686" s="5">
        <v>12000</v>
      </c>
      <c r="G686" s="5">
        <v>12000</v>
      </c>
      <c r="H686" s="5">
        <f ca="1">OFFSET(F686,0,Brains!$D$1,1,1)</f>
        <v>12000</v>
      </c>
      <c r="I686" t="s">
        <v>1886</v>
      </c>
      <c r="J686" t="s">
        <v>1858</v>
      </c>
      <c r="K686" t="s">
        <v>1887</v>
      </c>
      <c r="L686" t="s">
        <v>1887</v>
      </c>
      <c r="M686" s="7" t="s">
        <v>3941</v>
      </c>
      <c r="N686" t="s">
        <v>1866</v>
      </c>
      <c r="P686" s="15" t="str">
        <f t="shared" ca="1" si="20"/>
        <v>0-14.9K</v>
      </c>
      <c r="Q686" s="15">
        <v>8</v>
      </c>
      <c r="S686">
        <v>5</v>
      </c>
      <c r="U686">
        <v>2</v>
      </c>
      <c r="V686" s="15">
        <f t="shared" ca="1" si="21"/>
        <v>1</v>
      </c>
    </row>
    <row r="687" spans="1:22">
      <c r="A687" t="s">
        <v>2532</v>
      </c>
      <c r="B687" s="1">
        <v>41055.057881944442</v>
      </c>
      <c r="C687" s="2">
        <v>12000</v>
      </c>
      <c r="D687">
        <v>12000</v>
      </c>
      <c r="E687" t="s">
        <v>1856</v>
      </c>
      <c r="F687" s="5">
        <v>12000</v>
      </c>
      <c r="G687" s="5">
        <v>12000</v>
      </c>
      <c r="H687" s="5">
        <f ca="1">OFFSET(F687,0,Brains!$D$1,1,1)</f>
        <v>12000</v>
      </c>
      <c r="I687" t="s">
        <v>1858</v>
      </c>
      <c r="J687" t="s">
        <v>1858</v>
      </c>
      <c r="K687" t="s">
        <v>1859</v>
      </c>
      <c r="L687" t="s">
        <v>1859</v>
      </c>
      <c r="M687" s="7" t="s">
        <v>3941</v>
      </c>
      <c r="N687" t="s">
        <v>1866</v>
      </c>
      <c r="P687" s="15" t="str">
        <f t="shared" ca="1" si="20"/>
        <v>0-14.9K</v>
      </c>
      <c r="Q687" s="15">
        <v>8</v>
      </c>
      <c r="S687">
        <v>5</v>
      </c>
      <c r="U687">
        <v>2</v>
      </c>
      <c r="V687" s="15">
        <f t="shared" ca="1" si="21"/>
        <v>1</v>
      </c>
    </row>
    <row r="688" spans="1:22">
      <c r="A688" t="s">
        <v>2891</v>
      </c>
      <c r="B688" s="1">
        <v>41055.136782407404</v>
      </c>
      <c r="C688" s="2">
        <v>12000</v>
      </c>
      <c r="D688">
        <v>12000</v>
      </c>
      <c r="E688" t="s">
        <v>1856</v>
      </c>
      <c r="F688" s="5">
        <v>12000</v>
      </c>
      <c r="G688" s="5">
        <v>12000</v>
      </c>
      <c r="H688" s="5">
        <f ca="1">OFFSET(F688,0,Brains!$D$1,1,1)</f>
        <v>12000</v>
      </c>
      <c r="I688" t="s">
        <v>2892</v>
      </c>
      <c r="J688" t="s">
        <v>1858</v>
      </c>
      <c r="K688" t="s">
        <v>2893</v>
      </c>
      <c r="L688" t="s">
        <v>2893</v>
      </c>
      <c r="M688" s="7" t="s">
        <v>3941</v>
      </c>
      <c r="N688" t="s">
        <v>1866</v>
      </c>
      <c r="P688" s="15" t="str">
        <f t="shared" ca="1" si="20"/>
        <v>0-14.9K</v>
      </c>
      <c r="Q688" s="15">
        <v>8</v>
      </c>
      <c r="S688">
        <v>5</v>
      </c>
      <c r="U688">
        <v>2</v>
      </c>
      <c r="V688" s="15">
        <f t="shared" ca="1" si="21"/>
        <v>1</v>
      </c>
    </row>
    <row r="689" spans="1:22">
      <c r="A689" t="s">
        <v>2965</v>
      </c>
      <c r="B689" s="1">
        <v>41055.178703703707</v>
      </c>
      <c r="C689" s="2">
        <v>12000</v>
      </c>
      <c r="D689">
        <v>12000</v>
      </c>
      <c r="E689" t="s">
        <v>1856</v>
      </c>
      <c r="F689" s="5">
        <v>12000</v>
      </c>
      <c r="G689" s="5">
        <v>12000</v>
      </c>
      <c r="H689" s="5">
        <f ca="1">OFFSET(F689,0,Brains!$D$1,1,1)</f>
        <v>12000</v>
      </c>
      <c r="I689" t="s">
        <v>2956</v>
      </c>
      <c r="J689" t="s">
        <v>1858</v>
      </c>
      <c r="K689" t="s">
        <v>2081</v>
      </c>
      <c r="L689" t="s">
        <v>2081</v>
      </c>
      <c r="M689" s="7" t="s">
        <v>3941</v>
      </c>
      <c r="N689" t="s">
        <v>1866</v>
      </c>
      <c r="P689" s="15" t="str">
        <f t="shared" ca="1" si="20"/>
        <v>0-14.9K</v>
      </c>
      <c r="Q689" s="15">
        <v>8</v>
      </c>
      <c r="S689">
        <v>5</v>
      </c>
      <c r="U689">
        <v>2</v>
      </c>
      <c r="V689" s="15">
        <f t="shared" ca="1" si="21"/>
        <v>1</v>
      </c>
    </row>
    <row r="690" spans="1:22">
      <c r="A690" t="s">
        <v>2551</v>
      </c>
      <c r="B690" s="1">
        <v>41055.060150462959</v>
      </c>
      <c r="C690" s="2" t="s">
        <v>2552</v>
      </c>
      <c r="D690">
        <v>150000</v>
      </c>
      <c r="E690" t="s">
        <v>2553</v>
      </c>
      <c r="F690" s="5">
        <v>10956.982885192734</v>
      </c>
      <c r="G690" s="5">
        <v>16744.809109176153</v>
      </c>
      <c r="H690" s="5">
        <f ca="1">OFFSET(F690,0,Brains!$D$1,1,1)</f>
        <v>16744.809109176153</v>
      </c>
      <c r="I690" t="s">
        <v>2554</v>
      </c>
      <c r="J690" t="s">
        <v>1858</v>
      </c>
      <c r="K690" t="s">
        <v>2123</v>
      </c>
      <c r="L690" t="s">
        <v>2123</v>
      </c>
      <c r="M690" s="7" t="s">
        <v>3941</v>
      </c>
      <c r="N690" t="s">
        <v>1866</v>
      </c>
      <c r="P690" s="15" t="str">
        <f t="shared" ca="1" si="20"/>
        <v>15-29.9K</v>
      </c>
      <c r="Q690" s="15">
        <v>8</v>
      </c>
      <c r="S690">
        <v>5</v>
      </c>
      <c r="U690">
        <v>2</v>
      </c>
      <c r="V690" s="15">
        <f t="shared" ca="1" si="21"/>
        <v>2</v>
      </c>
    </row>
    <row r="691" spans="1:22">
      <c r="A691" t="s">
        <v>3037</v>
      </c>
      <c r="B691" s="1">
        <v>41055.230150462965</v>
      </c>
      <c r="C691" s="2" t="s">
        <v>2677</v>
      </c>
      <c r="D691">
        <v>500000</v>
      </c>
      <c r="E691" t="s">
        <v>1908</v>
      </c>
      <c r="F691" s="5">
        <v>8903.9583437212841</v>
      </c>
      <c r="G691" s="5">
        <v>24897.918534010558</v>
      </c>
      <c r="H691" s="5">
        <f ca="1">OFFSET(F691,0,Brains!$D$1,1,1)</f>
        <v>24897.918534010558</v>
      </c>
      <c r="I691" t="s">
        <v>3038</v>
      </c>
      <c r="J691" t="s">
        <v>1858</v>
      </c>
      <c r="K691" t="s">
        <v>1859</v>
      </c>
      <c r="L691" t="s">
        <v>1859</v>
      </c>
      <c r="M691" s="7" t="s">
        <v>3941</v>
      </c>
      <c r="N691" t="s">
        <v>1866</v>
      </c>
      <c r="P691" s="15" t="str">
        <f t="shared" ca="1" si="20"/>
        <v>15-29.9K</v>
      </c>
      <c r="Q691" s="15">
        <v>8</v>
      </c>
      <c r="S691">
        <v>5</v>
      </c>
      <c r="U691">
        <v>2</v>
      </c>
      <c r="V691" s="15">
        <f t="shared" ca="1" si="21"/>
        <v>2</v>
      </c>
    </row>
    <row r="692" spans="1:22">
      <c r="A692" t="s">
        <v>2429</v>
      </c>
      <c r="B692" s="1">
        <v>41055.046273148146</v>
      </c>
      <c r="C692" s="2" t="s">
        <v>2430</v>
      </c>
      <c r="D692">
        <v>470000</v>
      </c>
      <c r="E692" t="s">
        <v>1908</v>
      </c>
      <c r="F692" s="5">
        <v>8369.7208430980063</v>
      </c>
      <c r="G692" s="5">
        <v>23404.043421969924</v>
      </c>
      <c r="H692" s="5">
        <f ca="1">OFFSET(F692,0,Brains!$D$1,1,1)</f>
        <v>23404.043421969924</v>
      </c>
      <c r="I692" t="s">
        <v>2431</v>
      </c>
      <c r="J692" t="s">
        <v>1858</v>
      </c>
      <c r="K692" t="s">
        <v>1859</v>
      </c>
      <c r="L692" t="s">
        <v>1859</v>
      </c>
      <c r="M692" s="7" t="s">
        <v>3941</v>
      </c>
      <c r="N692" t="s">
        <v>1866</v>
      </c>
      <c r="P692" s="15" t="str">
        <f t="shared" ca="1" si="20"/>
        <v>15-29.9K</v>
      </c>
      <c r="Q692" s="15">
        <v>8</v>
      </c>
      <c r="S692">
        <v>5</v>
      </c>
      <c r="U692">
        <v>2</v>
      </c>
      <c r="V692" s="15">
        <f t="shared" ca="1" si="21"/>
        <v>2</v>
      </c>
    </row>
    <row r="693" spans="1:22">
      <c r="A693" t="s">
        <v>2848</v>
      </c>
      <c r="B693" s="1">
        <v>41055.12605324074</v>
      </c>
      <c r="C693" s="2" t="s">
        <v>2849</v>
      </c>
      <c r="D693">
        <v>7500</v>
      </c>
      <c r="E693" t="s">
        <v>1856</v>
      </c>
      <c r="F693" s="5">
        <v>7500</v>
      </c>
      <c r="G693" s="5">
        <v>7500</v>
      </c>
      <c r="H693" s="5">
        <f ca="1">OFFSET(F693,0,Brains!$D$1,1,1)</f>
        <v>7500</v>
      </c>
      <c r="I693" t="s">
        <v>2850</v>
      </c>
      <c r="J693" t="s">
        <v>1858</v>
      </c>
      <c r="K693" t="s">
        <v>2750</v>
      </c>
      <c r="L693" t="s">
        <v>2750</v>
      </c>
      <c r="M693" s="7" t="s">
        <v>3941</v>
      </c>
      <c r="N693" t="s">
        <v>1866</v>
      </c>
      <c r="P693" s="15" t="str">
        <f t="shared" ca="1" si="20"/>
        <v>0-14.9K</v>
      </c>
      <c r="Q693" s="15">
        <v>8</v>
      </c>
      <c r="S693">
        <v>5</v>
      </c>
      <c r="U693">
        <v>2</v>
      </c>
      <c r="V693" s="15">
        <f t="shared" ca="1" si="21"/>
        <v>1</v>
      </c>
    </row>
    <row r="694" spans="1:22">
      <c r="A694" t="s">
        <v>2629</v>
      </c>
      <c r="B694" s="1">
        <v>41055.070509259262</v>
      </c>
      <c r="C694" s="2" t="s">
        <v>2630</v>
      </c>
      <c r="D694">
        <v>370000</v>
      </c>
      <c r="E694" t="s">
        <v>1908</v>
      </c>
      <c r="F694" s="5">
        <v>6588.9291743537506</v>
      </c>
      <c r="G694" s="5">
        <v>18424.45971516781</v>
      </c>
      <c r="H694" s="5">
        <f ca="1">OFFSET(F694,0,Brains!$D$1,1,1)</f>
        <v>18424.45971516781</v>
      </c>
      <c r="I694" t="s">
        <v>2631</v>
      </c>
      <c r="J694" t="s">
        <v>1858</v>
      </c>
      <c r="K694" t="s">
        <v>1859</v>
      </c>
      <c r="L694" t="s">
        <v>1859</v>
      </c>
      <c r="M694" s="7" t="s">
        <v>3941</v>
      </c>
      <c r="N694" t="s">
        <v>1866</v>
      </c>
      <c r="P694" s="15" t="str">
        <f t="shared" ca="1" si="20"/>
        <v>15-29.9K</v>
      </c>
      <c r="Q694" s="15">
        <v>8</v>
      </c>
      <c r="S694">
        <v>5</v>
      </c>
      <c r="U694">
        <v>2</v>
      </c>
      <c r="V694" s="15">
        <f t="shared" ca="1" si="21"/>
        <v>2</v>
      </c>
    </row>
    <row r="695" spans="1:22">
      <c r="A695" t="s">
        <v>2448</v>
      </c>
      <c r="B695" s="1">
        <v>41055.047673611109</v>
      </c>
      <c r="C695" s="2" t="s">
        <v>2449</v>
      </c>
      <c r="D695">
        <v>276000</v>
      </c>
      <c r="E695" t="s">
        <v>1908</v>
      </c>
      <c r="F695" s="5">
        <v>4914.9850057341491</v>
      </c>
      <c r="G695" s="5">
        <v>13743.651030773826</v>
      </c>
      <c r="H695" s="5">
        <f ca="1">OFFSET(F695,0,Brains!$D$1,1,1)</f>
        <v>13743.651030773826</v>
      </c>
      <c r="I695" t="s">
        <v>2290</v>
      </c>
      <c r="J695" t="s">
        <v>1858</v>
      </c>
      <c r="K695" t="s">
        <v>1859</v>
      </c>
      <c r="L695" t="s">
        <v>1859</v>
      </c>
      <c r="M695" s="7" t="s">
        <v>3941</v>
      </c>
      <c r="N695" t="s">
        <v>1866</v>
      </c>
      <c r="P695" s="15" t="str">
        <f t="shared" ca="1" si="20"/>
        <v>0-14.9K</v>
      </c>
      <c r="Q695" s="15">
        <v>8</v>
      </c>
      <c r="S695">
        <v>5</v>
      </c>
      <c r="U695">
        <v>2</v>
      </c>
      <c r="V695" s="15">
        <f t="shared" ca="1" si="21"/>
        <v>1</v>
      </c>
    </row>
    <row r="696" spans="1:22">
      <c r="A696" t="s">
        <v>2567</v>
      </c>
      <c r="B696" s="1">
        <v>41055.062175925923</v>
      </c>
      <c r="C696" s="2" t="s">
        <v>2568</v>
      </c>
      <c r="D696">
        <v>4545</v>
      </c>
      <c r="E696" t="s">
        <v>1856</v>
      </c>
      <c r="F696" s="5">
        <v>4545</v>
      </c>
      <c r="G696" s="5">
        <v>4545</v>
      </c>
      <c r="H696" s="5">
        <f ca="1">OFFSET(F696,0,Brains!$D$1,1,1)</f>
        <v>4545</v>
      </c>
      <c r="I696" t="s">
        <v>2569</v>
      </c>
      <c r="J696" t="s">
        <v>1858</v>
      </c>
      <c r="K696" t="s">
        <v>2026</v>
      </c>
      <c r="L696" t="s">
        <v>2081</v>
      </c>
      <c r="M696" s="7" t="s">
        <v>3941</v>
      </c>
      <c r="N696" t="s">
        <v>1866</v>
      </c>
      <c r="P696" s="15" t="str">
        <f t="shared" ca="1" si="20"/>
        <v>0-14.9K</v>
      </c>
      <c r="Q696" s="15">
        <v>8</v>
      </c>
      <c r="S696">
        <v>5</v>
      </c>
      <c r="U696">
        <v>2</v>
      </c>
      <c r="V696" s="15">
        <f t="shared" ca="1" si="21"/>
        <v>1</v>
      </c>
    </row>
    <row r="697" spans="1:22">
      <c r="A697" t="s">
        <v>2320</v>
      </c>
      <c r="B697" s="1">
        <v>41055.03701388889</v>
      </c>
      <c r="C697" s="2" t="s">
        <v>2321</v>
      </c>
      <c r="D697">
        <v>192000</v>
      </c>
      <c r="E697" t="s">
        <v>1908</v>
      </c>
      <c r="F697" s="5">
        <v>3419.1200039889732</v>
      </c>
      <c r="G697" s="5">
        <v>9560.800717060054</v>
      </c>
      <c r="H697" s="5">
        <f ca="1">OFFSET(F697,0,Brains!$D$1,1,1)</f>
        <v>9560.800717060054</v>
      </c>
      <c r="I697" t="s">
        <v>2322</v>
      </c>
      <c r="J697" t="s">
        <v>1858</v>
      </c>
      <c r="K697" t="s">
        <v>1859</v>
      </c>
      <c r="L697" t="s">
        <v>1859</v>
      </c>
      <c r="M697" s="7" t="s">
        <v>3941</v>
      </c>
      <c r="N697" t="s">
        <v>1866</v>
      </c>
      <c r="P697" s="15" t="str">
        <f t="shared" ca="1" si="20"/>
        <v>0-14.9K</v>
      </c>
      <c r="Q697" s="15">
        <v>8</v>
      </c>
      <c r="S697">
        <v>5</v>
      </c>
      <c r="U697">
        <v>2</v>
      </c>
      <c r="V697" s="15">
        <f t="shared" ca="1" si="21"/>
        <v>1</v>
      </c>
    </row>
    <row r="698" spans="1:22">
      <c r="A698" t="s">
        <v>2971</v>
      </c>
      <c r="B698" s="1">
        <v>41055.180752314816</v>
      </c>
      <c r="C698" s="2">
        <v>78000</v>
      </c>
      <c r="D698">
        <v>78000</v>
      </c>
      <c r="E698" t="s">
        <v>1954</v>
      </c>
      <c r="F698" s="5">
        <v>122941.90522124816</v>
      </c>
      <c r="G698" s="5">
        <v>115727.00296735905</v>
      </c>
      <c r="H698" s="5">
        <f ca="1">OFFSET(F698,0,Brains!$D$1,1,1)</f>
        <v>115727.00296735905</v>
      </c>
      <c r="I698" t="s">
        <v>2972</v>
      </c>
      <c r="J698" t="s">
        <v>1858</v>
      </c>
      <c r="K698" t="s">
        <v>1956</v>
      </c>
      <c r="L698" t="s">
        <v>1956</v>
      </c>
      <c r="M698" s="11" t="s">
        <v>3916</v>
      </c>
      <c r="N698" t="s">
        <v>1884</v>
      </c>
      <c r="P698" s="15" t="str">
        <f t="shared" ca="1" si="20"/>
        <v>100-149.9K</v>
      </c>
      <c r="Q698" s="15">
        <v>1.5</v>
      </c>
      <c r="S698">
        <v>2</v>
      </c>
      <c r="U698">
        <v>2</v>
      </c>
      <c r="V698" s="15">
        <f t="shared" ca="1" si="21"/>
        <v>6</v>
      </c>
    </row>
    <row r="699" spans="1:22">
      <c r="A699" t="s">
        <v>2805</v>
      </c>
      <c r="B699" s="1">
        <v>41055.107372685183</v>
      </c>
      <c r="C699" s="2">
        <v>90000</v>
      </c>
      <c r="D699">
        <v>90000</v>
      </c>
      <c r="E699" t="s">
        <v>1856</v>
      </c>
      <c r="F699" s="5">
        <v>90000</v>
      </c>
      <c r="G699" s="5">
        <v>90000</v>
      </c>
      <c r="H699" s="5">
        <f ca="1">OFFSET(F699,0,Brains!$D$1,1,1)</f>
        <v>90000</v>
      </c>
      <c r="I699" t="s">
        <v>2806</v>
      </c>
      <c r="J699" t="s">
        <v>1858</v>
      </c>
      <c r="K699" t="s">
        <v>1869</v>
      </c>
      <c r="L699" t="s">
        <v>1869</v>
      </c>
      <c r="M699" s="11" t="s">
        <v>3916</v>
      </c>
      <c r="N699" t="s">
        <v>1884</v>
      </c>
      <c r="P699" s="15" t="str">
        <f t="shared" ca="1" si="20"/>
        <v>75-99.9K</v>
      </c>
      <c r="Q699" s="15">
        <v>1.5</v>
      </c>
      <c r="S699">
        <v>2</v>
      </c>
      <c r="U699">
        <v>2</v>
      </c>
      <c r="V699" s="15">
        <f t="shared" ca="1" si="21"/>
        <v>5</v>
      </c>
    </row>
    <row r="700" spans="1:22">
      <c r="A700" t="s">
        <v>2098</v>
      </c>
      <c r="B700" s="1">
        <v>41055.027777777781</v>
      </c>
      <c r="C700" s="2">
        <v>75000</v>
      </c>
      <c r="D700">
        <v>75000</v>
      </c>
      <c r="E700" t="s">
        <v>1856</v>
      </c>
      <c r="F700" s="5">
        <v>75000</v>
      </c>
      <c r="G700" s="5">
        <v>75000</v>
      </c>
      <c r="H700" s="5">
        <f ca="1">OFFSET(F700,0,Brains!$D$1,1,1)</f>
        <v>75000</v>
      </c>
      <c r="I700" t="s">
        <v>2099</v>
      </c>
      <c r="J700" t="s">
        <v>1858</v>
      </c>
      <c r="K700" t="s">
        <v>1869</v>
      </c>
      <c r="L700" t="s">
        <v>1869</v>
      </c>
      <c r="M700" s="11" t="s">
        <v>3916</v>
      </c>
      <c r="N700" t="s">
        <v>1884</v>
      </c>
      <c r="P700" s="15" t="str">
        <f t="shared" ca="1" si="20"/>
        <v>75-99.9K</v>
      </c>
      <c r="Q700" s="15">
        <v>1.5</v>
      </c>
      <c r="S700">
        <v>2</v>
      </c>
      <c r="U700">
        <v>2</v>
      </c>
      <c r="V700" s="15">
        <f t="shared" ca="1" si="21"/>
        <v>5</v>
      </c>
    </row>
    <row r="701" spans="1:22">
      <c r="A701" t="s">
        <v>2240</v>
      </c>
      <c r="B701" s="1">
        <v>41055.031944444447</v>
      </c>
      <c r="C701" s="2">
        <v>75000</v>
      </c>
      <c r="D701">
        <v>75000</v>
      </c>
      <c r="E701" t="s">
        <v>1856</v>
      </c>
      <c r="F701" s="5">
        <v>75000</v>
      </c>
      <c r="G701" s="5">
        <v>75000</v>
      </c>
      <c r="H701" s="5">
        <f ca="1">OFFSET(F701,0,Brains!$D$1,1,1)</f>
        <v>75000</v>
      </c>
      <c r="I701" t="s">
        <v>2241</v>
      </c>
      <c r="J701" t="s">
        <v>1858</v>
      </c>
      <c r="K701" t="s">
        <v>1869</v>
      </c>
      <c r="L701" t="s">
        <v>1869</v>
      </c>
      <c r="M701" s="11" t="s">
        <v>3916</v>
      </c>
      <c r="N701" t="s">
        <v>1884</v>
      </c>
      <c r="P701" s="15" t="str">
        <f t="shared" ca="1" si="20"/>
        <v>75-99.9K</v>
      </c>
      <c r="Q701" s="15">
        <v>1.5</v>
      </c>
      <c r="S701">
        <v>2</v>
      </c>
      <c r="U701">
        <v>2</v>
      </c>
      <c r="V701" s="15">
        <f t="shared" ca="1" si="21"/>
        <v>5</v>
      </c>
    </row>
    <row r="702" spans="1:22">
      <c r="A702" t="s">
        <v>2586</v>
      </c>
      <c r="B702" s="1">
        <v>41055.063981481479</v>
      </c>
      <c r="C702" s="2">
        <v>61000</v>
      </c>
      <c r="D702">
        <v>61000</v>
      </c>
      <c r="E702" t="s">
        <v>1856</v>
      </c>
      <c r="F702" s="5">
        <v>61000</v>
      </c>
      <c r="G702" s="5">
        <v>61000</v>
      </c>
      <c r="H702" s="5">
        <f ca="1">OFFSET(F702,0,Brains!$D$1,1,1)</f>
        <v>61000</v>
      </c>
      <c r="I702" t="s">
        <v>2099</v>
      </c>
      <c r="J702" t="s">
        <v>1858</v>
      </c>
      <c r="K702" t="s">
        <v>1869</v>
      </c>
      <c r="L702" t="s">
        <v>1869</v>
      </c>
      <c r="M702" s="11" t="s">
        <v>3916</v>
      </c>
      <c r="N702" t="s">
        <v>1884</v>
      </c>
      <c r="P702" s="15" t="str">
        <f t="shared" ca="1" si="20"/>
        <v>50-74.9K</v>
      </c>
      <c r="Q702" s="15">
        <v>1.5</v>
      </c>
      <c r="S702">
        <v>2</v>
      </c>
      <c r="U702">
        <v>2</v>
      </c>
      <c r="V702" s="15">
        <f t="shared" ca="1" si="21"/>
        <v>4</v>
      </c>
    </row>
    <row r="703" spans="1:22">
      <c r="A703" t="s">
        <v>2057</v>
      </c>
      <c r="B703" s="1">
        <v>41054.969143518516</v>
      </c>
      <c r="C703" s="2" t="s">
        <v>2058</v>
      </c>
      <c r="D703">
        <v>60000</v>
      </c>
      <c r="E703" t="s">
        <v>1856</v>
      </c>
      <c r="F703" s="5">
        <v>60000</v>
      </c>
      <c r="G703" s="5">
        <v>60000</v>
      </c>
      <c r="H703" s="5">
        <f ca="1">OFFSET(F703,0,Brains!$D$1,1,1)</f>
        <v>60000</v>
      </c>
      <c r="I703" t="s">
        <v>2059</v>
      </c>
      <c r="J703" t="s">
        <v>1858</v>
      </c>
      <c r="K703" t="s">
        <v>1981</v>
      </c>
      <c r="L703" t="s">
        <v>1981</v>
      </c>
      <c r="M703" s="11" t="s">
        <v>3916</v>
      </c>
      <c r="N703" t="s">
        <v>1884</v>
      </c>
      <c r="P703" s="15" t="str">
        <f t="shared" ca="1" si="20"/>
        <v>50-74.9K</v>
      </c>
      <c r="Q703" s="15">
        <v>1.5</v>
      </c>
      <c r="S703">
        <v>2</v>
      </c>
      <c r="U703">
        <v>2</v>
      </c>
      <c r="V703" s="15">
        <f t="shared" ca="1" si="21"/>
        <v>4</v>
      </c>
    </row>
    <row r="704" spans="1:22">
      <c r="A704" t="s">
        <v>2031</v>
      </c>
      <c r="B704" s="1">
        <v>41054.306458333333</v>
      </c>
      <c r="C704" s="2" t="s">
        <v>2032</v>
      </c>
      <c r="D704">
        <v>38000</v>
      </c>
      <c r="E704" t="s">
        <v>1880</v>
      </c>
      <c r="F704" s="5">
        <v>48275.178681681093</v>
      </c>
      <c r="G704" s="5">
        <v>47735.57506293559</v>
      </c>
      <c r="H704" s="5">
        <f ca="1">OFFSET(F704,0,Brains!$D$1,1,1)</f>
        <v>47735.57506293559</v>
      </c>
      <c r="I704" t="s">
        <v>2033</v>
      </c>
      <c r="J704" t="s">
        <v>1858</v>
      </c>
      <c r="K704" t="s">
        <v>1996</v>
      </c>
      <c r="L704" t="s">
        <v>2998</v>
      </c>
      <c r="M704" s="11" t="s">
        <v>3916</v>
      </c>
      <c r="N704" t="s">
        <v>1884</v>
      </c>
      <c r="P704" s="15" t="str">
        <f t="shared" ca="1" si="20"/>
        <v>30-49.9K</v>
      </c>
      <c r="Q704" s="15">
        <v>1.5</v>
      </c>
      <c r="S704">
        <v>2</v>
      </c>
      <c r="U704">
        <v>2</v>
      </c>
      <c r="V704" s="15">
        <f t="shared" ca="1" si="21"/>
        <v>3</v>
      </c>
    </row>
    <row r="705" spans="1:22">
      <c r="A705" t="s">
        <v>2689</v>
      </c>
      <c r="B705" s="1">
        <v>41055.083101851851</v>
      </c>
      <c r="C705" s="2">
        <v>48000</v>
      </c>
      <c r="D705">
        <v>48000</v>
      </c>
      <c r="E705" t="s">
        <v>1856</v>
      </c>
      <c r="F705" s="5">
        <v>48000</v>
      </c>
      <c r="G705" s="5">
        <v>48000</v>
      </c>
      <c r="H705" s="5">
        <f ca="1">OFFSET(F705,0,Brains!$D$1,1,1)</f>
        <v>48000</v>
      </c>
      <c r="I705" t="s">
        <v>2690</v>
      </c>
      <c r="J705" t="s">
        <v>1858</v>
      </c>
      <c r="K705" t="s">
        <v>1869</v>
      </c>
      <c r="L705" t="s">
        <v>1869</v>
      </c>
      <c r="M705" s="11" t="s">
        <v>3916</v>
      </c>
      <c r="N705" t="s">
        <v>1884</v>
      </c>
      <c r="P705" s="15" t="str">
        <f t="shared" ca="1" si="20"/>
        <v>30-49.9K</v>
      </c>
      <c r="Q705" s="15">
        <v>1.5</v>
      </c>
      <c r="S705">
        <v>2</v>
      </c>
      <c r="U705">
        <v>2</v>
      </c>
      <c r="V705" s="15">
        <f t="shared" ca="1" si="21"/>
        <v>3</v>
      </c>
    </row>
    <row r="706" spans="1:22">
      <c r="A706" t="s">
        <v>2283</v>
      </c>
      <c r="B706" s="1">
        <v>41055.034849537034</v>
      </c>
      <c r="C706" s="2">
        <v>41.405999999999999</v>
      </c>
      <c r="D706">
        <v>41406</v>
      </c>
      <c r="E706" t="s">
        <v>1856</v>
      </c>
      <c r="F706" s="5">
        <v>41406</v>
      </c>
      <c r="G706" s="5">
        <v>41406</v>
      </c>
      <c r="H706" s="5">
        <f ca="1">OFFSET(F706,0,Brains!$D$1,1,1)</f>
        <v>41406</v>
      </c>
      <c r="I706" t="s">
        <v>2284</v>
      </c>
      <c r="J706" t="s">
        <v>1858</v>
      </c>
      <c r="K706" t="s">
        <v>1981</v>
      </c>
      <c r="L706" t="s">
        <v>1981</v>
      </c>
      <c r="M706" s="11" t="s">
        <v>3916</v>
      </c>
      <c r="N706" t="s">
        <v>1884</v>
      </c>
      <c r="P706" s="15" t="str">
        <f t="shared" ref="P706:P769" ca="1" si="22">IF(H706&lt;15000,"0-14.9K",IF(H706&lt;30000,"15-29.9K",IF(H706&lt;50000,"30-49.9K",IF(H706&lt;75000,"50-74.9K",IF(H706&lt;100000,"75-99.9K",IF(H706&lt;150000,"100-149.9K",IF(H706&lt;250000,"150-249.9K","250K+")))))))</f>
        <v>30-49.9K</v>
      </c>
      <c r="Q706" s="15">
        <v>1.5</v>
      </c>
      <c r="S706">
        <v>2</v>
      </c>
      <c r="U706">
        <v>2</v>
      </c>
      <c r="V706" s="15">
        <f t="shared" ref="V706:V769" ca="1" si="23">IF(H706&lt;15000,1,IF(H706&lt;30000,2,IF(H706&lt;50000,3,IF(H706&lt;75000,4,IF(H706&lt;100000,5,IF(H706&lt;150000,6,IF(H706&lt;250000,7,8)))))))</f>
        <v>3</v>
      </c>
    </row>
    <row r="707" spans="1:22">
      <c r="A707" t="s">
        <v>2162</v>
      </c>
      <c r="B707" s="1">
        <v>41055.029143518521</v>
      </c>
      <c r="C707" s="2">
        <v>2300000</v>
      </c>
      <c r="D707">
        <v>2300000</v>
      </c>
      <c r="E707" t="s">
        <v>1908</v>
      </c>
      <c r="F707" s="5">
        <v>40958.208381117904</v>
      </c>
      <c r="G707" s="5">
        <v>114530.42525644857</v>
      </c>
      <c r="H707" s="5">
        <f ca="1">OFFSET(F707,0,Brains!$D$1,1,1)</f>
        <v>114530.42525644857</v>
      </c>
      <c r="I707" t="s">
        <v>2163</v>
      </c>
      <c r="J707" t="s">
        <v>1858</v>
      </c>
      <c r="K707" t="s">
        <v>1859</v>
      </c>
      <c r="L707" t="s">
        <v>1859</v>
      </c>
      <c r="M707" s="11" t="s">
        <v>3916</v>
      </c>
      <c r="N707" t="s">
        <v>1884</v>
      </c>
      <c r="P707" s="15" t="str">
        <f t="shared" ca="1" si="22"/>
        <v>100-149.9K</v>
      </c>
      <c r="Q707" s="15">
        <v>1.5</v>
      </c>
      <c r="S707">
        <v>2</v>
      </c>
      <c r="U707">
        <v>2</v>
      </c>
      <c r="V707" s="15">
        <f t="shared" ca="1" si="23"/>
        <v>6</v>
      </c>
    </row>
    <row r="708" spans="1:22">
      <c r="A708" t="s">
        <v>2287</v>
      </c>
      <c r="B708" s="1">
        <v>41055.035081018519</v>
      </c>
      <c r="C708" s="2">
        <v>40700</v>
      </c>
      <c r="D708">
        <v>40700</v>
      </c>
      <c r="E708" t="s">
        <v>1856</v>
      </c>
      <c r="F708" s="5">
        <v>40700</v>
      </c>
      <c r="G708" s="5">
        <v>40700</v>
      </c>
      <c r="H708" s="5">
        <f ca="1">OFFSET(F708,0,Brains!$D$1,1,1)</f>
        <v>40700</v>
      </c>
      <c r="I708" t="s">
        <v>2288</v>
      </c>
      <c r="J708" t="s">
        <v>1858</v>
      </c>
      <c r="K708" t="s">
        <v>1869</v>
      </c>
      <c r="L708" t="s">
        <v>1869</v>
      </c>
      <c r="M708" s="11" t="s">
        <v>3916</v>
      </c>
      <c r="N708" t="s">
        <v>1884</v>
      </c>
      <c r="P708" s="15" t="str">
        <f t="shared" ca="1" si="22"/>
        <v>30-49.9K</v>
      </c>
      <c r="Q708" s="15">
        <v>1.5</v>
      </c>
      <c r="S708">
        <v>2</v>
      </c>
      <c r="U708">
        <v>2</v>
      </c>
      <c r="V708" s="15">
        <f t="shared" ca="1" si="23"/>
        <v>3</v>
      </c>
    </row>
    <row r="709" spans="1:22">
      <c r="A709" t="s">
        <v>2116</v>
      </c>
      <c r="B709" s="1">
        <v>41055.028333333335</v>
      </c>
      <c r="C709" s="2">
        <v>21000</v>
      </c>
      <c r="D709">
        <v>21000</v>
      </c>
      <c r="E709" t="s">
        <v>1856</v>
      </c>
      <c r="F709" s="5">
        <v>21000</v>
      </c>
      <c r="G709" s="5">
        <v>21000</v>
      </c>
      <c r="H709" s="5">
        <f ca="1">OFFSET(F709,0,Brains!$D$1,1,1)</f>
        <v>21000</v>
      </c>
      <c r="I709" t="s">
        <v>2117</v>
      </c>
      <c r="J709" t="s">
        <v>1858</v>
      </c>
      <c r="K709" t="s">
        <v>2118</v>
      </c>
      <c r="L709" t="s">
        <v>3914</v>
      </c>
      <c r="M709" s="11" t="s">
        <v>3916</v>
      </c>
      <c r="N709" t="s">
        <v>1884</v>
      </c>
      <c r="P709" s="15" t="str">
        <f t="shared" ca="1" si="22"/>
        <v>15-29.9K</v>
      </c>
      <c r="Q709" s="15">
        <v>1.5</v>
      </c>
      <c r="S709">
        <v>2</v>
      </c>
      <c r="U709">
        <v>2</v>
      </c>
      <c r="V709" s="15">
        <f t="shared" ca="1" si="23"/>
        <v>2</v>
      </c>
    </row>
    <row r="710" spans="1:22">
      <c r="A710" t="s">
        <v>2477</v>
      </c>
      <c r="B710" s="1">
        <v>41055.052025462966</v>
      </c>
      <c r="C710" s="2">
        <v>14000</v>
      </c>
      <c r="D710">
        <v>14000</v>
      </c>
      <c r="E710" t="s">
        <v>1856</v>
      </c>
      <c r="F710" s="5">
        <v>14000</v>
      </c>
      <c r="G710" s="5">
        <v>14000</v>
      </c>
      <c r="H710" s="5">
        <f ca="1">OFFSET(F710,0,Brains!$D$1,1,1)</f>
        <v>14000</v>
      </c>
      <c r="I710" t="s">
        <v>2478</v>
      </c>
      <c r="J710" t="s">
        <v>1858</v>
      </c>
      <c r="K710" t="s">
        <v>2081</v>
      </c>
      <c r="L710" t="s">
        <v>2081</v>
      </c>
      <c r="M710" s="11" t="s">
        <v>3916</v>
      </c>
      <c r="N710" t="s">
        <v>1884</v>
      </c>
      <c r="P710" s="15" t="str">
        <f t="shared" ca="1" si="22"/>
        <v>0-14.9K</v>
      </c>
      <c r="Q710" s="15">
        <v>1.5</v>
      </c>
      <c r="S710">
        <v>2</v>
      </c>
      <c r="U710">
        <v>2</v>
      </c>
      <c r="V710" s="15">
        <f t="shared" ca="1" si="23"/>
        <v>1</v>
      </c>
    </row>
    <row r="711" spans="1:22">
      <c r="A711" t="s">
        <v>2711</v>
      </c>
      <c r="B711" s="1">
        <v>41055.084386574075</v>
      </c>
      <c r="C711" s="2" t="s">
        <v>2712</v>
      </c>
      <c r="D711">
        <v>750000</v>
      </c>
      <c r="E711" t="s">
        <v>1908</v>
      </c>
      <c r="F711" s="5">
        <v>13355.937515581925</v>
      </c>
      <c r="G711" s="5">
        <v>37346.877801015835</v>
      </c>
      <c r="H711" s="5">
        <f ca="1">OFFSET(F711,0,Brains!$D$1,1,1)</f>
        <v>37346.877801015835</v>
      </c>
      <c r="I711" t="s">
        <v>2195</v>
      </c>
      <c r="J711" t="s">
        <v>1858</v>
      </c>
      <c r="K711" t="s">
        <v>1859</v>
      </c>
      <c r="L711" t="s">
        <v>1859</v>
      </c>
      <c r="M711" s="11" t="s">
        <v>3916</v>
      </c>
      <c r="N711" t="s">
        <v>1884</v>
      </c>
      <c r="P711" s="15" t="str">
        <f t="shared" ca="1" si="22"/>
        <v>30-49.9K</v>
      </c>
      <c r="Q711" s="15">
        <v>1.5</v>
      </c>
      <c r="S711">
        <v>2</v>
      </c>
      <c r="U711">
        <v>2</v>
      </c>
      <c r="V711" s="15">
        <f t="shared" ca="1" si="23"/>
        <v>3</v>
      </c>
    </row>
    <row r="712" spans="1:22">
      <c r="A712" t="s">
        <v>2807</v>
      </c>
      <c r="B712" s="1">
        <v>41055.107754629629</v>
      </c>
      <c r="C712" s="2">
        <v>8500</v>
      </c>
      <c r="D712">
        <v>8500</v>
      </c>
      <c r="E712" t="s">
        <v>1856</v>
      </c>
      <c r="F712" s="5">
        <v>8500</v>
      </c>
      <c r="G712" s="5">
        <v>8500</v>
      </c>
      <c r="H712" s="5">
        <f ca="1">OFFSET(F712,0,Brains!$D$1,1,1)</f>
        <v>8500</v>
      </c>
      <c r="I712" t="s">
        <v>2808</v>
      </c>
      <c r="J712" t="s">
        <v>1858</v>
      </c>
      <c r="K712" t="s">
        <v>2152</v>
      </c>
      <c r="L712" t="s">
        <v>2152</v>
      </c>
      <c r="M712" s="11" t="s">
        <v>3916</v>
      </c>
      <c r="N712" t="s">
        <v>1884</v>
      </c>
      <c r="P712" s="15" t="str">
        <f t="shared" ca="1" si="22"/>
        <v>0-14.9K</v>
      </c>
      <c r="Q712" s="15">
        <v>1.5</v>
      </c>
      <c r="S712">
        <v>2</v>
      </c>
      <c r="U712">
        <v>2</v>
      </c>
      <c r="V712" s="15">
        <f t="shared" ca="1" si="23"/>
        <v>1</v>
      </c>
    </row>
    <row r="713" spans="1:22">
      <c r="A713" t="s">
        <v>2378</v>
      </c>
      <c r="B713" s="1">
        <v>41055.040925925925</v>
      </c>
      <c r="C713" s="2">
        <v>200000</v>
      </c>
      <c r="D713">
        <v>200000</v>
      </c>
      <c r="E713" t="s">
        <v>1908</v>
      </c>
      <c r="F713" s="5">
        <v>3561.5833374885137</v>
      </c>
      <c r="G713" s="5">
        <v>9959.167413604222</v>
      </c>
      <c r="H713" s="5">
        <f ca="1">OFFSET(F713,0,Brains!$D$1,1,1)</f>
        <v>9959.167413604222</v>
      </c>
      <c r="I713" t="s">
        <v>2379</v>
      </c>
      <c r="J713" t="s">
        <v>1858</v>
      </c>
      <c r="K713" t="s">
        <v>1859</v>
      </c>
      <c r="L713" t="s">
        <v>1859</v>
      </c>
      <c r="M713" s="11" t="s">
        <v>3916</v>
      </c>
      <c r="N713" t="s">
        <v>1884</v>
      </c>
      <c r="P713" s="15" t="str">
        <f t="shared" ca="1" si="22"/>
        <v>0-14.9K</v>
      </c>
      <c r="Q713" s="15">
        <v>1.5</v>
      </c>
      <c r="S713">
        <v>2</v>
      </c>
      <c r="U713">
        <v>2</v>
      </c>
      <c r="V713" s="15">
        <f t="shared" ca="1" si="23"/>
        <v>1</v>
      </c>
    </row>
    <row r="714" spans="1:22">
      <c r="A714" t="s">
        <v>2060</v>
      </c>
      <c r="B714" s="1">
        <v>41054.971354166664</v>
      </c>
      <c r="C714" s="2">
        <v>100000</v>
      </c>
      <c r="D714">
        <v>100000</v>
      </c>
      <c r="E714" t="s">
        <v>1954</v>
      </c>
      <c r="F714" s="5">
        <v>157617.8272067284</v>
      </c>
      <c r="G714" s="5">
        <v>148367.95252225519</v>
      </c>
      <c r="H714" s="5">
        <f ca="1">OFFSET(F714,0,Brains!$D$1,1,1)</f>
        <v>148367.95252225519</v>
      </c>
      <c r="I714" t="s">
        <v>1858</v>
      </c>
      <c r="J714" t="s">
        <v>1858</v>
      </c>
      <c r="K714" t="s">
        <v>1956</v>
      </c>
      <c r="L714" t="s">
        <v>1956</v>
      </c>
      <c r="M714" s="11" t="s">
        <v>3917</v>
      </c>
      <c r="N714" t="s">
        <v>1873</v>
      </c>
      <c r="P714" s="15" t="str">
        <f t="shared" ca="1" si="22"/>
        <v>100-149.9K</v>
      </c>
      <c r="Q714" s="15">
        <v>2.5</v>
      </c>
      <c r="S714">
        <v>3</v>
      </c>
      <c r="U714">
        <v>2</v>
      </c>
      <c r="V714" s="15">
        <f t="shared" ca="1" si="23"/>
        <v>6</v>
      </c>
    </row>
    <row r="715" spans="1:22">
      <c r="A715" t="s">
        <v>2281</v>
      </c>
      <c r="B715" s="1">
        <v>41055.034710648149</v>
      </c>
      <c r="C715" s="2">
        <v>111680</v>
      </c>
      <c r="D715">
        <v>111680</v>
      </c>
      <c r="E715" t="s">
        <v>1856</v>
      </c>
      <c r="F715" s="5">
        <v>111680</v>
      </c>
      <c r="G715" s="5">
        <v>111680</v>
      </c>
      <c r="H715" s="5">
        <f ca="1">OFFSET(F715,0,Brains!$D$1,1,1)</f>
        <v>111680</v>
      </c>
      <c r="I715" t="s">
        <v>2282</v>
      </c>
      <c r="J715" t="s">
        <v>1858</v>
      </c>
      <c r="K715" t="s">
        <v>1869</v>
      </c>
      <c r="L715" t="s">
        <v>1869</v>
      </c>
      <c r="M715" s="11" t="s">
        <v>3917</v>
      </c>
      <c r="N715" t="s">
        <v>1873</v>
      </c>
      <c r="P715" s="15" t="str">
        <f t="shared" ca="1" si="22"/>
        <v>100-149.9K</v>
      </c>
      <c r="Q715" s="15">
        <v>2.5</v>
      </c>
      <c r="S715">
        <v>3</v>
      </c>
      <c r="U715">
        <v>2</v>
      </c>
      <c r="V715" s="15">
        <f t="shared" ca="1" si="23"/>
        <v>6</v>
      </c>
    </row>
    <row r="716" spans="1:22">
      <c r="A716" t="s">
        <v>2464</v>
      </c>
      <c r="B716" s="1">
        <v>41055.049247685187</v>
      </c>
      <c r="C716" s="2">
        <v>99000</v>
      </c>
      <c r="D716">
        <v>99000</v>
      </c>
      <c r="E716" t="s">
        <v>1856</v>
      </c>
      <c r="F716" s="5">
        <v>99000</v>
      </c>
      <c r="G716" s="5">
        <v>99000</v>
      </c>
      <c r="H716" s="5">
        <f ca="1">OFFSET(F716,0,Brains!$D$1,1,1)</f>
        <v>99000</v>
      </c>
      <c r="I716" t="s">
        <v>2195</v>
      </c>
      <c r="J716" t="s">
        <v>1858</v>
      </c>
      <c r="K716" t="s">
        <v>1869</v>
      </c>
      <c r="L716" t="s">
        <v>1869</v>
      </c>
      <c r="M716" s="11" t="s">
        <v>3917</v>
      </c>
      <c r="N716" t="s">
        <v>1873</v>
      </c>
      <c r="P716" s="15" t="str">
        <f t="shared" ca="1" si="22"/>
        <v>75-99.9K</v>
      </c>
      <c r="Q716" s="15">
        <v>2.5</v>
      </c>
      <c r="S716">
        <v>3</v>
      </c>
      <c r="U716">
        <v>2</v>
      </c>
      <c r="V716" s="15">
        <f t="shared" ca="1" si="23"/>
        <v>5</v>
      </c>
    </row>
    <row r="717" spans="1:22">
      <c r="A717" t="s">
        <v>1929</v>
      </c>
      <c r="B717" s="1">
        <v>41054.183472222219</v>
      </c>
      <c r="C717" s="2">
        <v>96000</v>
      </c>
      <c r="D717">
        <v>96000</v>
      </c>
      <c r="E717" t="s">
        <v>1856</v>
      </c>
      <c r="F717" s="5">
        <v>96000</v>
      </c>
      <c r="G717" s="5">
        <v>96000</v>
      </c>
      <c r="H717" s="5">
        <f ca="1">OFFSET(F717,0,Brains!$D$1,1,1)</f>
        <v>96000</v>
      </c>
      <c r="I717" t="s">
        <v>1858</v>
      </c>
      <c r="J717" t="s">
        <v>1858</v>
      </c>
      <c r="K717" t="s">
        <v>1869</v>
      </c>
      <c r="L717" t="s">
        <v>1869</v>
      </c>
      <c r="M717" s="11" t="s">
        <v>3917</v>
      </c>
      <c r="N717" t="s">
        <v>1873</v>
      </c>
      <c r="P717" s="15" t="str">
        <f t="shared" ca="1" si="22"/>
        <v>75-99.9K</v>
      </c>
      <c r="Q717" s="15">
        <v>2.5</v>
      </c>
      <c r="S717">
        <v>3</v>
      </c>
      <c r="U717">
        <v>2</v>
      </c>
      <c r="V717" s="15">
        <f t="shared" ca="1" si="23"/>
        <v>5</v>
      </c>
    </row>
    <row r="718" spans="1:22">
      <c r="A718" t="s">
        <v>2228</v>
      </c>
      <c r="B718" s="1">
        <v>41055.031446759262</v>
      </c>
      <c r="C718" s="2" t="s">
        <v>2229</v>
      </c>
      <c r="D718">
        <v>90000</v>
      </c>
      <c r="E718" t="s">
        <v>1856</v>
      </c>
      <c r="F718" s="5">
        <v>90000</v>
      </c>
      <c r="G718" s="5">
        <v>90000</v>
      </c>
      <c r="H718" s="5">
        <f ca="1">OFFSET(F718,0,Brains!$D$1,1,1)</f>
        <v>90000</v>
      </c>
      <c r="I718" t="s">
        <v>2230</v>
      </c>
      <c r="J718" t="s">
        <v>1858</v>
      </c>
      <c r="K718" t="s">
        <v>1869</v>
      </c>
      <c r="L718" t="s">
        <v>1869</v>
      </c>
      <c r="M718" s="11" t="s">
        <v>3917</v>
      </c>
      <c r="N718" t="s">
        <v>1873</v>
      </c>
      <c r="P718" s="15" t="str">
        <f t="shared" ca="1" si="22"/>
        <v>75-99.9K</v>
      </c>
      <c r="Q718" s="15">
        <v>2.5</v>
      </c>
      <c r="S718">
        <v>3</v>
      </c>
      <c r="U718">
        <v>2</v>
      </c>
      <c r="V718" s="15">
        <f t="shared" ca="1" si="23"/>
        <v>5</v>
      </c>
    </row>
    <row r="719" spans="1:22">
      <c r="A719" t="s">
        <v>2036</v>
      </c>
      <c r="B719" s="1">
        <v>41054.311944444446</v>
      </c>
      <c r="C719" s="2">
        <v>85087</v>
      </c>
      <c r="D719">
        <v>85087</v>
      </c>
      <c r="E719" t="s">
        <v>1856</v>
      </c>
      <c r="F719" s="5">
        <v>85087</v>
      </c>
      <c r="G719" s="5">
        <v>85087</v>
      </c>
      <c r="H719" s="5">
        <f ca="1">OFFSET(F719,0,Brains!$D$1,1,1)</f>
        <v>85087</v>
      </c>
      <c r="I719" t="s">
        <v>2037</v>
      </c>
      <c r="J719" t="s">
        <v>1858</v>
      </c>
      <c r="K719" t="s">
        <v>1869</v>
      </c>
      <c r="L719" t="s">
        <v>1869</v>
      </c>
      <c r="M719" s="11" t="s">
        <v>3917</v>
      </c>
      <c r="N719" t="s">
        <v>1873</v>
      </c>
      <c r="P719" s="15" t="str">
        <f t="shared" ca="1" si="22"/>
        <v>75-99.9K</v>
      </c>
      <c r="Q719" s="15">
        <v>2.5</v>
      </c>
      <c r="S719">
        <v>3</v>
      </c>
      <c r="U719">
        <v>2</v>
      </c>
      <c r="V719" s="15">
        <f t="shared" ca="1" si="23"/>
        <v>5</v>
      </c>
    </row>
    <row r="720" spans="1:22">
      <c r="A720" t="s">
        <v>2213</v>
      </c>
      <c r="B720" s="1">
        <v>41055.030787037038</v>
      </c>
      <c r="C720" s="2">
        <v>80000</v>
      </c>
      <c r="D720">
        <v>80000</v>
      </c>
      <c r="E720" t="s">
        <v>1856</v>
      </c>
      <c r="F720" s="5">
        <v>80000</v>
      </c>
      <c r="G720" s="5">
        <v>80000</v>
      </c>
      <c r="H720" s="5">
        <f ca="1">OFFSET(F720,0,Brains!$D$1,1,1)</f>
        <v>80000</v>
      </c>
      <c r="I720" t="s">
        <v>2214</v>
      </c>
      <c r="J720" t="s">
        <v>1858</v>
      </c>
      <c r="K720" t="s">
        <v>1869</v>
      </c>
      <c r="L720" t="s">
        <v>1869</v>
      </c>
      <c r="M720" s="11" t="s">
        <v>3917</v>
      </c>
      <c r="N720" t="s">
        <v>1873</v>
      </c>
      <c r="P720" s="15" t="str">
        <f t="shared" ca="1" si="22"/>
        <v>75-99.9K</v>
      </c>
      <c r="Q720" s="15">
        <v>2.5</v>
      </c>
      <c r="S720">
        <v>3</v>
      </c>
      <c r="U720">
        <v>2</v>
      </c>
      <c r="V720" s="15">
        <f t="shared" ca="1" si="23"/>
        <v>5</v>
      </c>
    </row>
    <row r="721" spans="1:22">
      <c r="A721" t="s">
        <v>3053</v>
      </c>
      <c r="B721" s="1">
        <v>41055.243298611109</v>
      </c>
      <c r="C721" s="2">
        <v>77000</v>
      </c>
      <c r="D721">
        <v>77000</v>
      </c>
      <c r="E721" t="s">
        <v>1973</v>
      </c>
      <c r="F721" s="5">
        <v>78533.043543002947</v>
      </c>
      <c r="G721" s="5">
        <v>48982.188295165397</v>
      </c>
      <c r="H721" s="5">
        <f ca="1">OFFSET(F721,0,Brains!$D$1,1,1)</f>
        <v>48982.188295165397</v>
      </c>
      <c r="I721" t="s">
        <v>3054</v>
      </c>
      <c r="J721" t="s">
        <v>1858</v>
      </c>
      <c r="K721" t="s">
        <v>1975</v>
      </c>
      <c r="L721" t="s">
        <v>1975</v>
      </c>
      <c r="M721" s="11" t="s">
        <v>3917</v>
      </c>
      <c r="N721" t="s">
        <v>1873</v>
      </c>
      <c r="P721" s="15" t="str">
        <f t="shared" ca="1" si="22"/>
        <v>30-49.9K</v>
      </c>
      <c r="Q721" s="15">
        <v>2.5</v>
      </c>
      <c r="S721">
        <v>3</v>
      </c>
      <c r="U721">
        <v>2</v>
      </c>
      <c r="V721" s="15">
        <f t="shared" ca="1" si="23"/>
        <v>3</v>
      </c>
    </row>
    <row r="722" spans="1:22">
      <c r="A722" t="s">
        <v>2799</v>
      </c>
      <c r="B722" s="1">
        <v>41055.106319444443</v>
      </c>
      <c r="C722" s="2">
        <v>76600</v>
      </c>
      <c r="D722">
        <v>76600</v>
      </c>
      <c r="E722" t="s">
        <v>1856</v>
      </c>
      <c r="F722" s="5">
        <v>76600</v>
      </c>
      <c r="G722" s="5">
        <v>76600</v>
      </c>
      <c r="H722" s="5">
        <f ca="1">OFFSET(F722,0,Brains!$D$1,1,1)</f>
        <v>76600</v>
      </c>
      <c r="I722" t="s">
        <v>1858</v>
      </c>
      <c r="J722" t="s">
        <v>1858</v>
      </c>
      <c r="K722" t="s">
        <v>1869</v>
      </c>
      <c r="L722" t="s">
        <v>1869</v>
      </c>
      <c r="M722" s="11" t="s">
        <v>3917</v>
      </c>
      <c r="N722" t="s">
        <v>1873</v>
      </c>
      <c r="P722" s="15" t="str">
        <f t="shared" ca="1" si="22"/>
        <v>75-99.9K</v>
      </c>
      <c r="Q722" s="15">
        <v>2.5</v>
      </c>
      <c r="S722">
        <v>3</v>
      </c>
      <c r="U722">
        <v>2</v>
      </c>
      <c r="V722" s="15">
        <f t="shared" ca="1" si="23"/>
        <v>5</v>
      </c>
    </row>
    <row r="723" spans="1:22">
      <c r="A723" t="s">
        <v>2811</v>
      </c>
      <c r="B723" s="1">
        <v>41055.109606481485</v>
      </c>
      <c r="C723" s="2">
        <v>72000</v>
      </c>
      <c r="D723">
        <v>72000</v>
      </c>
      <c r="E723" t="s">
        <v>1856</v>
      </c>
      <c r="F723" s="5">
        <v>72000</v>
      </c>
      <c r="G723" s="5">
        <v>72000</v>
      </c>
      <c r="H723" s="5">
        <f ca="1">OFFSET(F723,0,Brains!$D$1,1,1)</f>
        <v>72000</v>
      </c>
      <c r="I723" t="s">
        <v>2812</v>
      </c>
      <c r="J723" t="s">
        <v>1858</v>
      </c>
      <c r="K723" t="s">
        <v>1869</v>
      </c>
      <c r="L723" t="s">
        <v>1869</v>
      </c>
      <c r="M723" s="11" t="s">
        <v>3917</v>
      </c>
      <c r="N723" t="s">
        <v>1873</v>
      </c>
      <c r="P723" s="15" t="str">
        <f t="shared" ca="1" si="22"/>
        <v>50-74.9K</v>
      </c>
      <c r="Q723" s="15">
        <v>2.5</v>
      </c>
      <c r="S723">
        <v>3</v>
      </c>
      <c r="U723">
        <v>2</v>
      </c>
      <c r="V723" s="15">
        <f t="shared" ca="1" si="23"/>
        <v>4</v>
      </c>
    </row>
    <row r="724" spans="1:22">
      <c r="A724" t="s">
        <v>3007</v>
      </c>
      <c r="B724" s="1">
        <v>41055.217395833337</v>
      </c>
      <c r="C724" s="2">
        <v>72000</v>
      </c>
      <c r="D724">
        <v>72000</v>
      </c>
      <c r="E724" t="s">
        <v>1856</v>
      </c>
      <c r="F724" s="5">
        <v>72000</v>
      </c>
      <c r="G724" s="5">
        <v>72000</v>
      </c>
      <c r="H724" s="5">
        <f ca="1">OFFSET(F724,0,Brains!$D$1,1,1)</f>
        <v>72000</v>
      </c>
      <c r="I724" t="s">
        <v>3008</v>
      </c>
      <c r="J724" t="s">
        <v>1858</v>
      </c>
      <c r="K724" t="s">
        <v>1949</v>
      </c>
      <c r="L724" t="s">
        <v>1949</v>
      </c>
      <c r="M724" s="11" t="s">
        <v>3917</v>
      </c>
      <c r="N724" t="s">
        <v>1873</v>
      </c>
      <c r="P724" s="15" t="str">
        <f t="shared" ca="1" si="22"/>
        <v>50-74.9K</v>
      </c>
      <c r="Q724" s="15">
        <v>2.5</v>
      </c>
      <c r="S724">
        <v>3</v>
      </c>
      <c r="U724">
        <v>2</v>
      </c>
      <c r="V724" s="15">
        <f t="shared" ca="1" si="23"/>
        <v>4</v>
      </c>
    </row>
    <row r="725" spans="1:22">
      <c r="A725" t="s">
        <v>2555</v>
      </c>
      <c r="B725" s="1">
        <v>41055.060324074075</v>
      </c>
      <c r="C725" s="2">
        <v>70000</v>
      </c>
      <c r="D725">
        <v>70000</v>
      </c>
      <c r="E725" t="s">
        <v>1856</v>
      </c>
      <c r="F725" s="5">
        <v>70000</v>
      </c>
      <c r="G725" s="5">
        <v>70000</v>
      </c>
      <c r="H725" s="5">
        <f ca="1">OFFSET(F725,0,Brains!$D$1,1,1)</f>
        <v>70000</v>
      </c>
      <c r="I725" t="s">
        <v>1858</v>
      </c>
      <c r="J725" t="s">
        <v>1858</v>
      </c>
      <c r="K725" t="s">
        <v>1869</v>
      </c>
      <c r="L725" t="s">
        <v>1869</v>
      </c>
      <c r="M725" s="11" t="s">
        <v>3917</v>
      </c>
      <c r="N725" t="s">
        <v>1873</v>
      </c>
      <c r="P725" s="15" t="str">
        <f t="shared" ca="1" si="22"/>
        <v>50-74.9K</v>
      </c>
      <c r="Q725" s="15">
        <v>2.5</v>
      </c>
      <c r="S725">
        <v>3</v>
      </c>
      <c r="U725">
        <v>2</v>
      </c>
      <c r="V725" s="15">
        <f t="shared" ca="1" si="23"/>
        <v>4</v>
      </c>
    </row>
    <row r="726" spans="1:22">
      <c r="A726" t="s">
        <v>2127</v>
      </c>
      <c r="B726" s="1">
        <v>41055.028506944444</v>
      </c>
      <c r="C726" s="2">
        <v>66000</v>
      </c>
      <c r="D726">
        <v>66000</v>
      </c>
      <c r="E726" t="s">
        <v>1856</v>
      </c>
      <c r="F726" s="5">
        <v>66000</v>
      </c>
      <c r="G726" s="5">
        <v>66000</v>
      </c>
      <c r="H726" s="5">
        <f ca="1">OFFSET(F726,0,Brains!$D$1,1,1)</f>
        <v>66000</v>
      </c>
      <c r="I726" t="s">
        <v>1858</v>
      </c>
      <c r="J726" t="s">
        <v>1858</v>
      </c>
      <c r="K726" t="s">
        <v>1869</v>
      </c>
      <c r="L726" t="s">
        <v>1869</v>
      </c>
      <c r="M726" s="11" t="s">
        <v>3917</v>
      </c>
      <c r="N726" t="s">
        <v>1873</v>
      </c>
      <c r="P726" s="15" t="str">
        <f t="shared" ca="1" si="22"/>
        <v>50-74.9K</v>
      </c>
      <c r="Q726" s="15">
        <v>2.5</v>
      </c>
      <c r="S726">
        <v>3</v>
      </c>
      <c r="U726">
        <v>2</v>
      </c>
      <c r="V726" s="15">
        <f t="shared" ca="1" si="23"/>
        <v>4</v>
      </c>
    </row>
    <row r="727" spans="1:22">
      <c r="A727" t="s">
        <v>2920</v>
      </c>
      <c r="B727" s="1">
        <v>41055.147372685184</v>
      </c>
      <c r="C727" s="2">
        <v>65000</v>
      </c>
      <c r="D727">
        <v>65000</v>
      </c>
      <c r="E727" t="s">
        <v>1856</v>
      </c>
      <c r="F727" s="5">
        <v>65000</v>
      </c>
      <c r="G727" s="5">
        <v>65000</v>
      </c>
      <c r="H727" s="5">
        <f ca="1">OFFSET(F727,0,Brains!$D$1,1,1)</f>
        <v>65000</v>
      </c>
      <c r="I727" t="s">
        <v>2037</v>
      </c>
      <c r="J727" t="s">
        <v>1858</v>
      </c>
      <c r="K727" t="s">
        <v>1869</v>
      </c>
      <c r="L727" t="s">
        <v>1869</v>
      </c>
      <c r="M727" s="11" t="s">
        <v>3917</v>
      </c>
      <c r="N727" t="s">
        <v>1873</v>
      </c>
      <c r="P727" s="15" t="str">
        <f t="shared" ca="1" si="22"/>
        <v>50-74.9K</v>
      </c>
      <c r="Q727" s="15">
        <v>2.5</v>
      </c>
      <c r="S727">
        <v>3</v>
      </c>
      <c r="U727">
        <v>2</v>
      </c>
      <c r="V727" s="15">
        <f t="shared" ca="1" si="23"/>
        <v>4</v>
      </c>
    </row>
    <row r="728" spans="1:22">
      <c r="A728" t="s">
        <v>3009</v>
      </c>
      <c r="B728" s="1">
        <v>41055.219375000001</v>
      </c>
      <c r="C728" s="2">
        <v>60000</v>
      </c>
      <c r="D728">
        <v>60000</v>
      </c>
      <c r="E728" t="s">
        <v>1973</v>
      </c>
      <c r="F728" s="5">
        <v>61194.579384158147</v>
      </c>
      <c r="G728" s="5">
        <v>38167.938931297715</v>
      </c>
      <c r="H728" s="5">
        <f ca="1">OFFSET(F728,0,Brains!$D$1,1,1)</f>
        <v>38167.938931297715</v>
      </c>
      <c r="I728" t="s">
        <v>1858</v>
      </c>
      <c r="J728" t="s">
        <v>1858</v>
      </c>
      <c r="K728" t="s">
        <v>1975</v>
      </c>
      <c r="L728" t="s">
        <v>1975</v>
      </c>
      <c r="M728" s="11" t="s">
        <v>3917</v>
      </c>
      <c r="N728" t="s">
        <v>1873</v>
      </c>
      <c r="P728" s="15" t="str">
        <f t="shared" ca="1" si="22"/>
        <v>30-49.9K</v>
      </c>
      <c r="Q728" s="15">
        <v>2.5</v>
      </c>
      <c r="S728">
        <v>3</v>
      </c>
      <c r="U728">
        <v>2</v>
      </c>
      <c r="V728" s="15">
        <f t="shared" ca="1" si="23"/>
        <v>3</v>
      </c>
    </row>
    <row r="729" spans="1:22">
      <c r="A729" t="s">
        <v>2196</v>
      </c>
      <c r="B729" s="1">
        <v>41055.03025462963</v>
      </c>
      <c r="C729" s="2" t="s">
        <v>2197</v>
      </c>
      <c r="D729">
        <v>62000</v>
      </c>
      <c r="E729" t="s">
        <v>1979</v>
      </c>
      <c r="F729" s="5">
        <v>60968.414427880263</v>
      </c>
      <c r="G729" s="5">
        <v>49639.711769415524</v>
      </c>
      <c r="H729" s="5">
        <f ca="1">OFFSET(F729,0,Brains!$D$1,1,1)</f>
        <v>49639.711769415524</v>
      </c>
      <c r="I729" t="s">
        <v>2198</v>
      </c>
      <c r="J729" t="s">
        <v>1858</v>
      </c>
      <c r="K729" t="s">
        <v>1981</v>
      </c>
      <c r="L729" t="s">
        <v>1981</v>
      </c>
      <c r="M729" s="11" t="s">
        <v>3917</v>
      </c>
      <c r="N729" t="s">
        <v>1873</v>
      </c>
      <c r="P729" s="15" t="str">
        <f t="shared" ca="1" si="22"/>
        <v>30-49.9K</v>
      </c>
      <c r="Q729" s="15">
        <v>2.5</v>
      </c>
      <c r="S729">
        <v>3</v>
      </c>
      <c r="U729">
        <v>2</v>
      </c>
      <c r="V729" s="15">
        <f t="shared" ca="1" si="23"/>
        <v>3</v>
      </c>
    </row>
    <row r="730" spans="1:22">
      <c r="A730" t="s">
        <v>2299</v>
      </c>
      <c r="B730" s="1">
        <v>41055.035416666666</v>
      </c>
      <c r="C730" s="2" t="s">
        <v>2300</v>
      </c>
      <c r="D730">
        <v>60000</v>
      </c>
      <c r="E730" t="s">
        <v>1979</v>
      </c>
      <c r="F730" s="5">
        <v>59001.691381819612</v>
      </c>
      <c r="G730" s="5">
        <v>48038.430744595673</v>
      </c>
      <c r="H730" s="5">
        <f ca="1">OFFSET(F730,0,Brains!$D$1,1,1)</f>
        <v>48038.430744595673</v>
      </c>
      <c r="I730" t="s">
        <v>2301</v>
      </c>
      <c r="J730" t="s">
        <v>1858</v>
      </c>
      <c r="K730" t="s">
        <v>1981</v>
      </c>
      <c r="L730" t="s">
        <v>1981</v>
      </c>
      <c r="M730" s="11" t="s">
        <v>3917</v>
      </c>
      <c r="N730" t="s">
        <v>1873</v>
      </c>
      <c r="P730" s="15" t="str">
        <f t="shared" ca="1" si="22"/>
        <v>30-49.9K</v>
      </c>
      <c r="Q730" s="15">
        <v>2.5</v>
      </c>
      <c r="S730">
        <v>3</v>
      </c>
      <c r="U730">
        <v>2</v>
      </c>
      <c r="V730" s="15">
        <f t="shared" ca="1" si="23"/>
        <v>3</v>
      </c>
    </row>
    <row r="731" spans="1:22">
      <c r="A731" t="s">
        <v>2923</v>
      </c>
      <c r="B731" s="1">
        <v>41055.148287037038</v>
      </c>
      <c r="C731" s="2">
        <v>55000</v>
      </c>
      <c r="D731">
        <v>55000</v>
      </c>
      <c r="E731" t="s">
        <v>1856</v>
      </c>
      <c r="F731" s="5">
        <v>55000</v>
      </c>
      <c r="G731" s="5">
        <v>55000</v>
      </c>
      <c r="H731" s="5">
        <f ca="1">OFFSET(F731,0,Brains!$D$1,1,1)</f>
        <v>55000</v>
      </c>
      <c r="I731" t="s">
        <v>1858</v>
      </c>
      <c r="J731" t="s">
        <v>1858</v>
      </c>
      <c r="K731" t="s">
        <v>1869</v>
      </c>
      <c r="L731" t="s">
        <v>1869</v>
      </c>
      <c r="M731" s="11" t="s">
        <v>3917</v>
      </c>
      <c r="N731" t="s">
        <v>1873</v>
      </c>
      <c r="P731" s="15" t="str">
        <f t="shared" ca="1" si="22"/>
        <v>50-74.9K</v>
      </c>
      <c r="Q731" s="15">
        <v>2.5</v>
      </c>
      <c r="S731">
        <v>3</v>
      </c>
      <c r="U731">
        <v>2</v>
      </c>
      <c r="V731" s="15">
        <f t="shared" ca="1" si="23"/>
        <v>4</v>
      </c>
    </row>
    <row r="732" spans="1:22">
      <c r="A732" t="s">
        <v>3036</v>
      </c>
      <c r="B732" s="1">
        <v>41055.229930555557</v>
      </c>
      <c r="C732" s="2">
        <v>55000</v>
      </c>
      <c r="D732">
        <v>55000</v>
      </c>
      <c r="E732" t="s">
        <v>1856</v>
      </c>
      <c r="F732" s="5">
        <v>55000</v>
      </c>
      <c r="G732" s="5">
        <v>55000</v>
      </c>
      <c r="H732" s="5">
        <f ca="1">OFFSET(F732,0,Brains!$D$1,1,1)</f>
        <v>55000</v>
      </c>
      <c r="I732" t="s">
        <v>2546</v>
      </c>
      <c r="J732" t="s">
        <v>1858</v>
      </c>
      <c r="K732" t="s">
        <v>1869</v>
      </c>
      <c r="L732" t="s">
        <v>1869</v>
      </c>
      <c r="M732" s="11" t="s">
        <v>3917</v>
      </c>
      <c r="N732" t="s">
        <v>1873</v>
      </c>
      <c r="P732" s="15" t="str">
        <f t="shared" ca="1" si="22"/>
        <v>50-74.9K</v>
      </c>
      <c r="Q732" s="15">
        <v>2.5</v>
      </c>
      <c r="S732">
        <v>3</v>
      </c>
      <c r="U732">
        <v>2</v>
      </c>
      <c r="V732" s="15">
        <f t="shared" ca="1" si="23"/>
        <v>4</v>
      </c>
    </row>
    <row r="733" spans="1:22">
      <c r="A733" t="s">
        <v>2181</v>
      </c>
      <c r="B733" s="1">
        <v>41055.02983796296</v>
      </c>
      <c r="C733" s="2">
        <v>54000</v>
      </c>
      <c r="D733">
        <v>54000</v>
      </c>
      <c r="E733" t="s">
        <v>1856</v>
      </c>
      <c r="F733" s="5">
        <v>54000</v>
      </c>
      <c r="G733" s="5">
        <v>54000</v>
      </c>
      <c r="H733" s="5">
        <f ca="1">OFFSET(F733,0,Brains!$D$1,1,1)</f>
        <v>54000</v>
      </c>
      <c r="I733" t="s">
        <v>2182</v>
      </c>
      <c r="J733" t="s">
        <v>1858</v>
      </c>
      <c r="K733" t="s">
        <v>1869</v>
      </c>
      <c r="L733" t="s">
        <v>1869</v>
      </c>
      <c r="M733" s="11" t="s">
        <v>3917</v>
      </c>
      <c r="N733" t="s">
        <v>1873</v>
      </c>
      <c r="P733" s="15" t="str">
        <f t="shared" ca="1" si="22"/>
        <v>50-74.9K</v>
      </c>
      <c r="Q733" s="15">
        <v>2.5</v>
      </c>
      <c r="S733">
        <v>3</v>
      </c>
      <c r="U733">
        <v>2</v>
      </c>
      <c r="V733" s="15">
        <f t="shared" ca="1" si="23"/>
        <v>4</v>
      </c>
    </row>
    <row r="734" spans="1:22">
      <c r="A734" t="s">
        <v>2866</v>
      </c>
      <c r="B734" s="1">
        <v>41055.129594907405</v>
      </c>
      <c r="C734" s="2">
        <v>52000</v>
      </c>
      <c r="D734">
        <v>52000</v>
      </c>
      <c r="E734" t="s">
        <v>1856</v>
      </c>
      <c r="F734" s="5">
        <v>52000</v>
      </c>
      <c r="G734" s="5">
        <v>52000</v>
      </c>
      <c r="H734" s="5">
        <f ca="1">OFFSET(F734,0,Brains!$D$1,1,1)</f>
        <v>52000</v>
      </c>
      <c r="I734" t="s">
        <v>2867</v>
      </c>
      <c r="J734" t="s">
        <v>1858</v>
      </c>
      <c r="K734" t="s">
        <v>1869</v>
      </c>
      <c r="L734" t="s">
        <v>1869</v>
      </c>
      <c r="M734" s="11" t="s">
        <v>3917</v>
      </c>
      <c r="N734" t="s">
        <v>1873</v>
      </c>
      <c r="P734" s="15" t="str">
        <f t="shared" ca="1" si="22"/>
        <v>50-74.9K</v>
      </c>
      <c r="Q734" s="15">
        <v>2.5</v>
      </c>
      <c r="S734">
        <v>3</v>
      </c>
      <c r="U734">
        <v>2</v>
      </c>
      <c r="V734" s="15">
        <f t="shared" ca="1" si="23"/>
        <v>4</v>
      </c>
    </row>
    <row r="735" spans="1:22">
      <c r="A735" t="s">
        <v>2432</v>
      </c>
      <c r="B735" s="1">
        <v>41055.046550925923</v>
      </c>
      <c r="C735" s="2">
        <v>51000</v>
      </c>
      <c r="D735">
        <v>51000</v>
      </c>
      <c r="E735" t="s">
        <v>1856</v>
      </c>
      <c r="F735" s="5">
        <v>51000</v>
      </c>
      <c r="G735" s="5">
        <v>51000</v>
      </c>
      <c r="H735" s="5">
        <f ca="1">OFFSET(F735,0,Brains!$D$1,1,1)</f>
        <v>51000</v>
      </c>
      <c r="I735" t="s">
        <v>2433</v>
      </c>
      <c r="J735" t="s">
        <v>1858</v>
      </c>
      <c r="K735" t="s">
        <v>1869</v>
      </c>
      <c r="L735" t="s">
        <v>1869</v>
      </c>
      <c r="M735" s="11" t="s">
        <v>3917</v>
      </c>
      <c r="N735" t="s">
        <v>1873</v>
      </c>
      <c r="P735" s="15" t="str">
        <f t="shared" ca="1" si="22"/>
        <v>50-74.9K</v>
      </c>
      <c r="Q735" s="15">
        <v>2.5</v>
      </c>
      <c r="S735">
        <v>3</v>
      </c>
      <c r="U735">
        <v>2</v>
      </c>
      <c r="V735" s="15">
        <f t="shared" ca="1" si="23"/>
        <v>4</v>
      </c>
    </row>
    <row r="736" spans="1:22">
      <c r="A736" t="s">
        <v>3018</v>
      </c>
      <c r="B736" s="1">
        <v>41055.222719907404</v>
      </c>
      <c r="C736" s="2">
        <v>50000</v>
      </c>
      <c r="D736">
        <v>50000</v>
      </c>
      <c r="E736" t="s">
        <v>1856</v>
      </c>
      <c r="F736" s="5">
        <v>50000</v>
      </c>
      <c r="G736" s="5">
        <v>50000</v>
      </c>
      <c r="H736" s="5">
        <f ca="1">OFFSET(F736,0,Brains!$D$1,1,1)</f>
        <v>50000</v>
      </c>
      <c r="I736" t="s">
        <v>3019</v>
      </c>
      <c r="J736" t="s">
        <v>1858</v>
      </c>
      <c r="K736" t="s">
        <v>1869</v>
      </c>
      <c r="L736" t="s">
        <v>1869</v>
      </c>
      <c r="M736" s="11" t="s">
        <v>3917</v>
      </c>
      <c r="N736" t="s">
        <v>1873</v>
      </c>
      <c r="P736" s="15" t="str">
        <f t="shared" ca="1" si="22"/>
        <v>50-74.9K</v>
      </c>
      <c r="Q736" s="15">
        <v>2.5</v>
      </c>
      <c r="S736">
        <v>3</v>
      </c>
      <c r="U736">
        <v>2</v>
      </c>
      <c r="V736" s="15">
        <f t="shared" ca="1" si="23"/>
        <v>4</v>
      </c>
    </row>
    <row r="737" spans="1:22">
      <c r="A737" t="s">
        <v>2330</v>
      </c>
      <c r="B737" s="1">
        <v>41055.037638888891</v>
      </c>
      <c r="C737" s="2" t="s">
        <v>2071</v>
      </c>
      <c r="D737">
        <v>30000</v>
      </c>
      <c r="E737" t="s">
        <v>1954</v>
      </c>
      <c r="F737" s="5">
        <v>47285.348162018527</v>
      </c>
      <c r="G737" s="5">
        <v>44510.385756676558</v>
      </c>
      <c r="H737" s="5">
        <f ca="1">OFFSET(F737,0,Brains!$D$1,1,1)</f>
        <v>44510.385756676558</v>
      </c>
      <c r="I737" t="s">
        <v>2331</v>
      </c>
      <c r="J737" t="s">
        <v>1858</v>
      </c>
      <c r="K737" t="s">
        <v>1956</v>
      </c>
      <c r="L737" t="s">
        <v>1956</v>
      </c>
      <c r="M737" s="11" t="s">
        <v>3917</v>
      </c>
      <c r="N737" t="s">
        <v>1873</v>
      </c>
      <c r="P737" s="15" t="str">
        <f t="shared" ca="1" si="22"/>
        <v>30-49.9K</v>
      </c>
      <c r="Q737" s="15">
        <v>2.5</v>
      </c>
      <c r="S737">
        <v>3</v>
      </c>
      <c r="U737">
        <v>2</v>
      </c>
      <c r="V737" s="15">
        <f t="shared" ca="1" si="23"/>
        <v>3</v>
      </c>
    </row>
    <row r="738" spans="1:22">
      <c r="A738" t="s">
        <v>3026</v>
      </c>
      <c r="B738" s="1">
        <v>41055.22724537037</v>
      </c>
      <c r="C738" s="2">
        <v>46000</v>
      </c>
      <c r="D738">
        <v>46000</v>
      </c>
      <c r="E738" t="s">
        <v>1856</v>
      </c>
      <c r="F738" s="5">
        <v>46000</v>
      </c>
      <c r="G738" s="5">
        <v>46000</v>
      </c>
      <c r="H738" s="5">
        <f ca="1">OFFSET(F738,0,Brains!$D$1,1,1)</f>
        <v>46000</v>
      </c>
      <c r="I738" t="s">
        <v>2182</v>
      </c>
      <c r="J738" t="s">
        <v>1858</v>
      </c>
      <c r="K738" t="s">
        <v>1869</v>
      </c>
      <c r="L738" t="s">
        <v>1869</v>
      </c>
      <c r="M738" s="11" t="s">
        <v>3917</v>
      </c>
      <c r="N738" t="s">
        <v>1873</v>
      </c>
      <c r="P738" s="15" t="str">
        <f t="shared" ca="1" si="22"/>
        <v>30-49.9K</v>
      </c>
      <c r="Q738" s="15">
        <v>2.5</v>
      </c>
      <c r="S738">
        <v>3</v>
      </c>
      <c r="U738">
        <v>2</v>
      </c>
      <c r="V738" s="15">
        <f t="shared" ca="1" si="23"/>
        <v>3</v>
      </c>
    </row>
    <row r="739" spans="1:22">
      <c r="A739" t="s">
        <v>2207</v>
      </c>
      <c r="B739" s="1">
        <v>41055.030659722222</v>
      </c>
      <c r="C739" s="2">
        <v>45000</v>
      </c>
      <c r="D739">
        <v>45000</v>
      </c>
      <c r="E739" t="s">
        <v>1856</v>
      </c>
      <c r="F739" s="5">
        <v>45000</v>
      </c>
      <c r="G739" s="5">
        <v>45000</v>
      </c>
      <c r="H739" s="5">
        <f ca="1">OFFSET(F739,0,Brains!$D$1,1,1)</f>
        <v>45000</v>
      </c>
      <c r="I739" t="s">
        <v>2208</v>
      </c>
      <c r="J739" t="s">
        <v>1858</v>
      </c>
      <c r="K739" t="s">
        <v>1869</v>
      </c>
      <c r="L739" t="s">
        <v>1869</v>
      </c>
      <c r="M739" s="11" t="s">
        <v>3917</v>
      </c>
      <c r="N739" t="s">
        <v>1873</v>
      </c>
      <c r="P739" s="15" t="str">
        <f t="shared" ca="1" si="22"/>
        <v>30-49.9K</v>
      </c>
      <c r="Q739" s="15">
        <v>2.5</v>
      </c>
      <c r="S739">
        <v>3</v>
      </c>
      <c r="U739">
        <v>2</v>
      </c>
      <c r="V739" s="15">
        <f t="shared" ca="1" si="23"/>
        <v>3</v>
      </c>
    </row>
    <row r="740" spans="1:22">
      <c r="A740" t="s">
        <v>2704</v>
      </c>
      <c r="B740" s="1">
        <v>41055.083819444444</v>
      </c>
      <c r="C740" s="2">
        <v>44000</v>
      </c>
      <c r="D740">
        <v>44000</v>
      </c>
      <c r="E740" t="s">
        <v>1856</v>
      </c>
      <c r="F740" s="5">
        <v>44000</v>
      </c>
      <c r="G740" s="5">
        <v>44000</v>
      </c>
      <c r="H740" s="5">
        <f ca="1">OFFSET(F740,0,Brains!$D$1,1,1)</f>
        <v>44000</v>
      </c>
      <c r="I740" t="s">
        <v>2705</v>
      </c>
      <c r="J740" t="s">
        <v>1858</v>
      </c>
      <c r="K740" t="s">
        <v>1869</v>
      </c>
      <c r="L740" t="s">
        <v>1869</v>
      </c>
      <c r="M740" s="11" t="s">
        <v>3917</v>
      </c>
      <c r="N740" t="s">
        <v>1873</v>
      </c>
      <c r="P740" s="15" t="str">
        <f t="shared" ca="1" si="22"/>
        <v>30-49.9K</v>
      </c>
      <c r="Q740" s="15">
        <v>2.5</v>
      </c>
      <c r="S740">
        <v>3</v>
      </c>
      <c r="U740">
        <v>2</v>
      </c>
      <c r="V740" s="15">
        <f t="shared" ca="1" si="23"/>
        <v>3</v>
      </c>
    </row>
    <row r="741" spans="1:22">
      <c r="A741" t="s">
        <v>2931</v>
      </c>
      <c r="B741" s="1">
        <v>41055.153078703705</v>
      </c>
      <c r="C741" s="2">
        <v>40000</v>
      </c>
      <c r="D741">
        <v>40000</v>
      </c>
      <c r="E741" t="s">
        <v>1856</v>
      </c>
      <c r="F741" s="5">
        <v>40000</v>
      </c>
      <c r="G741" s="5">
        <v>40000</v>
      </c>
      <c r="H741" s="5">
        <f ca="1">OFFSET(F741,0,Brains!$D$1,1,1)</f>
        <v>40000</v>
      </c>
      <c r="I741" t="s">
        <v>2932</v>
      </c>
      <c r="J741" t="s">
        <v>1858</v>
      </c>
      <c r="K741" t="s">
        <v>1869</v>
      </c>
      <c r="L741" t="s">
        <v>1869</v>
      </c>
      <c r="M741" s="11" t="s">
        <v>3917</v>
      </c>
      <c r="N741" t="s">
        <v>1873</v>
      </c>
      <c r="P741" s="15" t="str">
        <f t="shared" ca="1" si="22"/>
        <v>30-49.9K</v>
      </c>
      <c r="Q741" s="15">
        <v>2.5</v>
      </c>
      <c r="S741">
        <v>3</v>
      </c>
      <c r="U741">
        <v>2</v>
      </c>
      <c r="V741" s="15">
        <f t="shared" ca="1" si="23"/>
        <v>3</v>
      </c>
    </row>
    <row r="742" spans="1:22">
      <c r="A742" t="s">
        <v>3057</v>
      </c>
      <c r="B742" s="1">
        <v>41055.243356481478</v>
      </c>
      <c r="C742" s="2">
        <v>35000</v>
      </c>
      <c r="D742">
        <v>35000</v>
      </c>
      <c r="E742" t="s">
        <v>1856</v>
      </c>
      <c r="F742" s="5">
        <v>35000</v>
      </c>
      <c r="G742" s="5">
        <v>35000</v>
      </c>
      <c r="H742" s="5">
        <f ca="1">OFFSET(F742,0,Brains!$D$1,1,1)</f>
        <v>35000</v>
      </c>
      <c r="I742" t="s">
        <v>1858</v>
      </c>
      <c r="J742" t="s">
        <v>1858</v>
      </c>
      <c r="K742" t="s">
        <v>1869</v>
      </c>
      <c r="L742" t="s">
        <v>1869</v>
      </c>
      <c r="M742" s="11" t="s">
        <v>3917</v>
      </c>
      <c r="N742" t="s">
        <v>1873</v>
      </c>
      <c r="P742" s="15" t="str">
        <f t="shared" ca="1" si="22"/>
        <v>30-49.9K</v>
      </c>
      <c r="Q742" s="15">
        <v>2.5</v>
      </c>
      <c r="S742">
        <v>3</v>
      </c>
      <c r="U742">
        <v>2</v>
      </c>
      <c r="V742" s="15">
        <f t="shared" ca="1" si="23"/>
        <v>3</v>
      </c>
    </row>
    <row r="743" spans="1:22">
      <c r="A743" t="s">
        <v>1957</v>
      </c>
      <c r="B743" s="1">
        <v>41054.209131944444</v>
      </c>
      <c r="C743" s="2" t="s">
        <v>1958</v>
      </c>
      <c r="D743">
        <v>19200</v>
      </c>
      <c r="E743" t="s">
        <v>1856</v>
      </c>
      <c r="F743" s="5">
        <v>19200</v>
      </c>
      <c r="G743" s="5">
        <v>19200</v>
      </c>
      <c r="H743" s="5">
        <f ca="1">OFFSET(F743,0,Brains!$D$1,1,1)</f>
        <v>19200</v>
      </c>
      <c r="I743" t="s">
        <v>1858</v>
      </c>
      <c r="J743" t="s">
        <v>1858</v>
      </c>
      <c r="K743" t="s">
        <v>1959</v>
      </c>
      <c r="L743" t="s">
        <v>1959</v>
      </c>
      <c r="M743" s="11" t="s">
        <v>3917</v>
      </c>
      <c r="N743" t="s">
        <v>1873</v>
      </c>
      <c r="P743" s="15" t="str">
        <f t="shared" ca="1" si="22"/>
        <v>15-29.9K</v>
      </c>
      <c r="Q743" s="15">
        <v>2.5</v>
      </c>
      <c r="S743">
        <v>3</v>
      </c>
      <c r="U743">
        <v>2</v>
      </c>
      <c r="V743" s="15">
        <f t="shared" ca="1" si="23"/>
        <v>2</v>
      </c>
    </row>
    <row r="744" spans="1:22">
      <c r="A744" t="s">
        <v>2722</v>
      </c>
      <c r="B744" s="1">
        <v>41055.086168981485</v>
      </c>
      <c r="C744" s="2" t="s">
        <v>2723</v>
      </c>
      <c r="D744">
        <v>1440000</v>
      </c>
      <c r="E744" t="s">
        <v>2724</v>
      </c>
      <c r="F744" s="5">
        <v>17598.017290051986</v>
      </c>
      <c r="G744" s="5">
        <v>43937.267346067005</v>
      </c>
      <c r="H744" s="5">
        <f ca="1">OFFSET(F744,0,Brains!$D$1,1,1)</f>
        <v>43937.267346067005</v>
      </c>
      <c r="I744" t="s">
        <v>2725</v>
      </c>
      <c r="J744" t="s">
        <v>1858</v>
      </c>
      <c r="K744" t="s">
        <v>2726</v>
      </c>
      <c r="L744" t="s">
        <v>2726</v>
      </c>
      <c r="M744" s="11" t="s">
        <v>3917</v>
      </c>
      <c r="N744" t="s">
        <v>1873</v>
      </c>
      <c r="P744" s="15" t="str">
        <f t="shared" ca="1" si="22"/>
        <v>30-49.9K</v>
      </c>
      <c r="Q744" s="15">
        <v>2.5</v>
      </c>
      <c r="S744">
        <v>3</v>
      </c>
      <c r="U744">
        <v>2</v>
      </c>
      <c r="V744" s="15">
        <f t="shared" ca="1" si="23"/>
        <v>3</v>
      </c>
    </row>
    <row r="745" spans="1:22">
      <c r="A745" t="s">
        <v>2778</v>
      </c>
      <c r="B745" s="1">
        <v>41055.09747685185</v>
      </c>
      <c r="C745" s="2">
        <v>12000</v>
      </c>
      <c r="D745">
        <v>12000</v>
      </c>
      <c r="E745" t="s">
        <v>1856</v>
      </c>
      <c r="F745" s="5">
        <v>12000</v>
      </c>
      <c r="G745" s="5">
        <v>12000</v>
      </c>
      <c r="H745" s="5">
        <f ca="1">OFFSET(F745,0,Brains!$D$1,1,1)</f>
        <v>12000</v>
      </c>
      <c r="I745" t="s">
        <v>2779</v>
      </c>
      <c r="J745" t="s">
        <v>1858</v>
      </c>
      <c r="K745" t="s">
        <v>2780</v>
      </c>
      <c r="L745" t="s">
        <v>3852</v>
      </c>
      <c r="M745" s="11" t="s">
        <v>3917</v>
      </c>
      <c r="N745" t="s">
        <v>1873</v>
      </c>
      <c r="P745" s="15" t="str">
        <f t="shared" ca="1" si="22"/>
        <v>0-14.9K</v>
      </c>
      <c r="Q745" s="15">
        <v>2.5</v>
      </c>
      <c r="S745">
        <v>3</v>
      </c>
      <c r="U745">
        <v>2</v>
      </c>
      <c r="V745" s="15">
        <f t="shared" ca="1" si="23"/>
        <v>1</v>
      </c>
    </row>
    <row r="746" spans="1:22">
      <c r="A746" t="s">
        <v>2258</v>
      </c>
      <c r="B746" s="1">
        <v>41055.033460648148</v>
      </c>
      <c r="C746" s="2" t="s">
        <v>2259</v>
      </c>
      <c r="D746">
        <v>500000</v>
      </c>
      <c r="E746" t="s">
        <v>1908</v>
      </c>
      <c r="F746" s="5">
        <v>8903.9583437212841</v>
      </c>
      <c r="G746" s="5">
        <v>24897.918534010558</v>
      </c>
      <c r="H746" s="5">
        <f ca="1">OFFSET(F746,0,Brains!$D$1,1,1)</f>
        <v>24897.918534010558</v>
      </c>
      <c r="I746" t="s">
        <v>2260</v>
      </c>
      <c r="J746" t="s">
        <v>1858</v>
      </c>
      <c r="K746" t="s">
        <v>1859</v>
      </c>
      <c r="L746" t="s">
        <v>1859</v>
      </c>
      <c r="M746" s="11" t="s">
        <v>3917</v>
      </c>
      <c r="N746" t="s">
        <v>1873</v>
      </c>
      <c r="P746" s="15" t="str">
        <f t="shared" ca="1" si="22"/>
        <v>15-29.9K</v>
      </c>
      <c r="Q746" s="15">
        <v>2.5</v>
      </c>
      <c r="S746">
        <v>3</v>
      </c>
      <c r="U746">
        <v>2</v>
      </c>
      <c r="V746" s="15">
        <f t="shared" ca="1" si="23"/>
        <v>2</v>
      </c>
    </row>
    <row r="747" spans="1:22">
      <c r="A747" t="s">
        <v>2604</v>
      </c>
      <c r="B747" s="1">
        <v>41055.066180555557</v>
      </c>
      <c r="C747" s="2" t="s">
        <v>2605</v>
      </c>
      <c r="D747">
        <v>360000</v>
      </c>
      <c r="E747" t="s">
        <v>1908</v>
      </c>
      <c r="F747" s="5">
        <v>6410.8500074793246</v>
      </c>
      <c r="G747" s="5">
        <v>17926.501344487599</v>
      </c>
      <c r="H747" s="5">
        <f ca="1">OFFSET(F747,0,Brains!$D$1,1,1)</f>
        <v>17926.501344487599</v>
      </c>
      <c r="I747" t="s">
        <v>2606</v>
      </c>
      <c r="J747" t="s">
        <v>1858</v>
      </c>
      <c r="K747" t="s">
        <v>1859</v>
      </c>
      <c r="L747" t="s">
        <v>1859</v>
      </c>
      <c r="M747" s="11" t="s">
        <v>3917</v>
      </c>
      <c r="N747" t="s">
        <v>1873</v>
      </c>
      <c r="P747" s="15" t="str">
        <f t="shared" ca="1" si="22"/>
        <v>15-29.9K</v>
      </c>
      <c r="Q747" s="15">
        <v>2.5</v>
      </c>
      <c r="S747">
        <v>3</v>
      </c>
      <c r="U747">
        <v>2</v>
      </c>
      <c r="V747" s="15">
        <f t="shared" ca="1" si="23"/>
        <v>2</v>
      </c>
    </row>
    <row r="748" spans="1:22">
      <c r="A748" t="s">
        <v>2317</v>
      </c>
      <c r="B748" s="1">
        <v>41055.036828703705</v>
      </c>
      <c r="C748" s="2" t="s">
        <v>2318</v>
      </c>
      <c r="D748">
        <v>275000</v>
      </c>
      <c r="E748" t="s">
        <v>1908</v>
      </c>
      <c r="F748" s="5">
        <v>4897.177089046706</v>
      </c>
      <c r="G748" s="5">
        <v>13693.855193705806</v>
      </c>
      <c r="H748" s="5">
        <f ca="1">OFFSET(F748,0,Brains!$D$1,1,1)</f>
        <v>13693.855193705806</v>
      </c>
      <c r="I748" t="s">
        <v>2319</v>
      </c>
      <c r="J748" t="s">
        <v>1858</v>
      </c>
      <c r="K748" t="s">
        <v>1859</v>
      </c>
      <c r="L748" t="s">
        <v>1859</v>
      </c>
      <c r="M748" s="11" t="s">
        <v>3917</v>
      </c>
      <c r="N748" t="s">
        <v>1873</v>
      </c>
      <c r="P748" s="15" t="str">
        <f t="shared" ca="1" si="22"/>
        <v>0-14.9K</v>
      </c>
      <c r="Q748" s="15">
        <v>2.5</v>
      </c>
      <c r="S748">
        <v>3</v>
      </c>
      <c r="U748">
        <v>2</v>
      </c>
      <c r="V748" s="15">
        <f t="shared" ca="1" si="23"/>
        <v>1</v>
      </c>
    </row>
    <row r="749" spans="1:22">
      <c r="A749" t="s">
        <v>2935</v>
      </c>
      <c r="B749" s="1">
        <v>41055.159270833334</v>
      </c>
      <c r="C749" s="2" t="s">
        <v>2936</v>
      </c>
      <c r="D749">
        <v>200000</v>
      </c>
      <c r="E749" t="s">
        <v>1908</v>
      </c>
      <c r="F749" s="5">
        <v>3561.5833374885137</v>
      </c>
      <c r="G749" s="5">
        <v>9959.167413604222</v>
      </c>
      <c r="H749" s="5">
        <f ca="1">OFFSET(F749,0,Brains!$D$1,1,1)</f>
        <v>9959.167413604222</v>
      </c>
      <c r="I749" t="s">
        <v>2937</v>
      </c>
      <c r="J749" t="s">
        <v>1858</v>
      </c>
      <c r="K749" t="s">
        <v>1859</v>
      </c>
      <c r="L749" t="s">
        <v>1859</v>
      </c>
      <c r="M749" s="11" t="s">
        <v>3917</v>
      </c>
      <c r="N749" t="s">
        <v>1873</v>
      </c>
      <c r="P749" s="15" t="str">
        <f t="shared" ca="1" si="22"/>
        <v>0-14.9K</v>
      </c>
      <c r="Q749" s="15">
        <v>2.5</v>
      </c>
      <c r="S749">
        <v>3</v>
      </c>
      <c r="U749">
        <v>2</v>
      </c>
      <c r="V749" s="15">
        <f t="shared" ca="1" si="23"/>
        <v>1</v>
      </c>
    </row>
    <row r="750" spans="1:22">
      <c r="A750" t="s">
        <v>2675</v>
      </c>
      <c r="B750" s="1">
        <v>41055.07949074074</v>
      </c>
      <c r="C750" s="2">
        <v>9000000</v>
      </c>
      <c r="D750">
        <v>9000000</v>
      </c>
      <c r="E750" t="s">
        <v>1908</v>
      </c>
      <c r="F750" s="5">
        <v>160271.25018698312</v>
      </c>
      <c r="G750" s="5">
        <v>448162.53361218999</v>
      </c>
      <c r="H750" s="5">
        <f ca="1">OFFSET(F750,0,Brains!$D$1,1,1)</f>
        <v>448162.53361218999</v>
      </c>
      <c r="I750" t="s">
        <v>1868</v>
      </c>
      <c r="J750" t="s">
        <v>1858</v>
      </c>
      <c r="K750" t="s">
        <v>1859</v>
      </c>
      <c r="L750" t="s">
        <v>1859</v>
      </c>
      <c r="M750" s="11" t="s">
        <v>3918</v>
      </c>
      <c r="N750" t="s">
        <v>1860</v>
      </c>
      <c r="P750" s="15" t="str">
        <f t="shared" ca="1" si="22"/>
        <v>250K+</v>
      </c>
      <c r="Q750" s="15">
        <v>5</v>
      </c>
      <c r="S750">
        <v>4</v>
      </c>
      <c r="U750">
        <v>2</v>
      </c>
      <c r="V750" s="15">
        <f t="shared" ca="1" si="23"/>
        <v>8</v>
      </c>
    </row>
    <row r="751" spans="1:22">
      <c r="A751" t="s">
        <v>2565</v>
      </c>
      <c r="B751" s="1">
        <v>41055.061539351853</v>
      </c>
      <c r="C751" s="2">
        <v>137500</v>
      </c>
      <c r="D751">
        <v>137500</v>
      </c>
      <c r="E751" t="s">
        <v>1856</v>
      </c>
      <c r="F751" s="5">
        <v>137500</v>
      </c>
      <c r="G751" s="5">
        <v>137500</v>
      </c>
      <c r="H751" s="5">
        <f ca="1">OFFSET(F751,0,Brains!$D$1,1,1)</f>
        <v>137500</v>
      </c>
      <c r="I751" t="s">
        <v>2566</v>
      </c>
      <c r="J751" t="s">
        <v>1858</v>
      </c>
      <c r="K751" t="s">
        <v>1869</v>
      </c>
      <c r="L751" t="s">
        <v>1869</v>
      </c>
      <c r="M751" s="11" t="s">
        <v>3918</v>
      </c>
      <c r="N751" t="s">
        <v>1860</v>
      </c>
      <c r="P751" s="15" t="str">
        <f t="shared" ca="1" si="22"/>
        <v>100-149.9K</v>
      </c>
      <c r="Q751" s="15">
        <v>5</v>
      </c>
      <c r="S751">
        <v>4</v>
      </c>
      <c r="U751">
        <v>2</v>
      </c>
      <c r="V751" s="15">
        <f t="shared" ca="1" si="23"/>
        <v>6</v>
      </c>
    </row>
    <row r="752" spans="1:22">
      <c r="A752" t="s">
        <v>2334</v>
      </c>
      <c r="B752" s="1">
        <v>41055.037685185183</v>
      </c>
      <c r="C752" s="2">
        <v>108160</v>
      </c>
      <c r="D752">
        <v>108160</v>
      </c>
      <c r="E752" t="s">
        <v>1856</v>
      </c>
      <c r="F752" s="5">
        <v>108160</v>
      </c>
      <c r="G752" s="5">
        <v>108160</v>
      </c>
      <c r="H752" s="5">
        <f ca="1">OFFSET(F752,0,Brains!$D$1,1,1)</f>
        <v>108160</v>
      </c>
      <c r="I752" t="s">
        <v>2335</v>
      </c>
      <c r="J752" t="s">
        <v>1858</v>
      </c>
      <c r="K752" t="s">
        <v>1869</v>
      </c>
      <c r="L752" t="s">
        <v>1869</v>
      </c>
      <c r="M752" s="11" t="s">
        <v>3918</v>
      </c>
      <c r="N752" t="s">
        <v>1860</v>
      </c>
      <c r="P752" s="15" t="str">
        <f t="shared" ca="1" si="22"/>
        <v>100-149.9K</v>
      </c>
      <c r="Q752" s="15">
        <v>5</v>
      </c>
      <c r="S752">
        <v>4</v>
      </c>
      <c r="U752">
        <v>2</v>
      </c>
      <c r="V752" s="15">
        <f t="shared" ca="1" si="23"/>
        <v>6</v>
      </c>
    </row>
    <row r="753" spans="1:22">
      <c r="A753" t="s">
        <v>2990</v>
      </c>
      <c r="B753" s="1">
        <v>41055.197523148148</v>
      </c>
      <c r="C753" s="2">
        <v>104000</v>
      </c>
      <c r="D753">
        <v>104000</v>
      </c>
      <c r="E753" t="s">
        <v>1856</v>
      </c>
      <c r="F753" s="5">
        <v>104000</v>
      </c>
      <c r="G753" s="5">
        <v>104000</v>
      </c>
      <c r="H753" s="5">
        <f ca="1">OFFSET(F753,0,Brains!$D$1,1,1)</f>
        <v>104000</v>
      </c>
      <c r="I753" t="s">
        <v>2991</v>
      </c>
      <c r="J753" t="s">
        <v>1858</v>
      </c>
      <c r="K753" t="s">
        <v>1869</v>
      </c>
      <c r="L753" t="s">
        <v>1869</v>
      </c>
      <c r="M753" s="11" t="s">
        <v>3918</v>
      </c>
      <c r="N753" t="s">
        <v>1860</v>
      </c>
      <c r="P753" s="15" t="str">
        <f t="shared" ca="1" si="22"/>
        <v>100-149.9K</v>
      </c>
      <c r="Q753" s="15">
        <v>5</v>
      </c>
      <c r="S753">
        <v>4</v>
      </c>
      <c r="U753">
        <v>2</v>
      </c>
      <c r="V753" s="15">
        <f t="shared" ca="1" si="23"/>
        <v>6</v>
      </c>
    </row>
    <row r="754" spans="1:22">
      <c r="A754" t="s">
        <v>2615</v>
      </c>
      <c r="B754" s="1">
        <v>41055.068645833337</v>
      </c>
      <c r="C754" s="2" t="s">
        <v>2616</v>
      </c>
      <c r="D754">
        <v>100000</v>
      </c>
      <c r="E754" t="s">
        <v>1856</v>
      </c>
      <c r="F754" s="5">
        <v>100000</v>
      </c>
      <c r="G754" s="5">
        <v>100000</v>
      </c>
      <c r="H754" s="5">
        <f ca="1">OFFSET(F754,0,Brains!$D$1,1,1)</f>
        <v>100000</v>
      </c>
      <c r="I754" t="s">
        <v>2617</v>
      </c>
      <c r="J754" t="s">
        <v>1858</v>
      </c>
      <c r="K754" t="s">
        <v>1956</v>
      </c>
      <c r="L754" t="s">
        <v>1956</v>
      </c>
      <c r="M754" s="11" t="s">
        <v>3918</v>
      </c>
      <c r="N754" t="s">
        <v>1860</v>
      </c>
      <c r="P754" s="15" t="str">
        <f t="shared" ca="1" si="22"/>
        <v>100-149.9K</v>
      </c>
      <c r="Q754" s="15">
        <v>5</v>
      </c>
      <c r="S754">
        <v>4</v>
      </c>
      <c r="U754">
        <v>2</v>
      </c>
      <c r="V754" s="15">
        <f t="shared" ca="1" si="23"/>
        <v>6</v>
      </c>
    </row>
    <row r="755" spans="1:22">
      <c r="A755" t="s">
        <v>2951</v>
      </c>
      <c r="B755" s="1">
        <v>41055.170231481483</v>
      </c>
      <c r="C755" s="2">
        <v>100000</v>
      </c>
      <c r="D755">
        <v>100000</v>
      </c>
      <c r="E755" t="s">
        <v>1856</v>
      </c>
      <c r="F755" s="5">
        <v>100000</v>
      </c>
      <c r="G755" s="5">
        <v>100000</v>
      </c>
      <c r="H755" s="5">
        <f ca="1">OFFSET(F755,0,Brains!$D$1,1,1)</f>
        <v>100000</v>
      </c>
      <c r="I755" t="s">
        <v>1858</v>
      </c>
      <c r="J755" t="s">
        <v>1858</v>
      </c>
      <c r="K755" t="s">
        <v>1869</v>
      </c>
      <c r="L755" t="s">
        <v>1869</v>
      </c>
      <c r="M755" s="11" t="s">
        <v>3918</v>
      </c>
      <c r="N755" t="s">
        <v>1860</v>
      </c>
      <c r="P755" s="15" t="str">
        <f t="shared" ca="1" si="22"/>
        <v>100-149.9K</v>
      </c>
      <c r="Q755" s="15">
        <v>5</v>
      </c>
      <c r="S755">
        <v>4</v>
      </c>
      <c r="U755">
        <v>2</v>
      </c>
      <c r="V755" s="15">
        <f t="shared" ca="1" si="23"/>
        <v>6</v>
      </c>
    </row>
    <row r="756" spans="1:22">
      <c r="A756" t="s">
        <v>2221</v>
      </c>
      <c r="B756" s="1">
        <v>41055.031238425923</v>
      </c>
      <c r="C756" s="2">
        <v>96000</v>
      </c>
      <c r="D756">
        <v>96000</v>
      </c>
      <c r="E756" t="s">
        <v>1856</v>
      </c>
      <c r="F756" s="5">
        <v>96000</v>
      </c>
      <c r="G756" s="5">
        <v>96000</v>
      </c>
      <c r="H756" s="5">
        <f ca="1">OFFSET(F756,0,Brains!$D$1,1,1)</f>
        <v>96000</v>
      </c>
      <c r="I756" t="s">
        <v>2222</v>
      </c>
      <c r="J756" t="s">
        <v>1858</v>
      </c>
      <c r="K756" t="s">
        <v>1869</v>
      </c>
      <c r="L756" t="s">
        <v>1869</v>
      </c>
      <c r="M756" s="11" t="s">
        <v>3918</v>
      </c>
      <c r="N756" t="s">
        <v>1860</v>
      </c>
      <c r="P756" s="15" t="str">
        <f t="shared" ca="1" si="22"/>
        <v>75-99.9K</v>
      </c>
      <c r="Q756" s="15">
        <v>5</v>
      </c>
      <c r="S756">
        <v>4</v>
      </c>
      <c r="U756">
        <v>2</v>
      </c>
      <c r="V756" s="15">
        <f t="shared" ca="1" si="23"/>
        <v>5</v>
      </c>
    </row>
    <row r="757" spans="1:22">
      <c r="A757" t="s">
        <v>2613</v>
      </c>
      <c r="B757" s="1">
        <v>41055.068124999998</v>
      </c>
      <c r="C757" s="2">
        <v>95000</v>
      </c>
      <c r="D757">
        <v>95000</v>
      </c>
      <c r="E757" t="s">
        <v>1856</v>
      </c>
      <c r="F757" s="5">
        <v>95000</v>
      </c>
      <c r="G757" s="5">
        <v>95000</v>
      </c>
      <c r="H757" s="5">
        <f ca="1">OFFSET(F757,0,Brains!$D$1,1,1)</f>
        <v>95000</v>
      </c>
      <c r="I757" t="s">
        <v>2614</v>
      </c>
      <c r="J757" t="s">
        <v>1858</v>
      </c>
      <c r="K757" t="s">
        <v>1869</v>
      </c>
      <c r="L757" t="s">
        <v>1869</v>
      </c>
      <c r="M757" s="11" t="s">
        <v>3918</v>
      </c>
      <c r="N757" t="s">
        <v>1860</v>
      </c>
      <c r="P757" s="15" t="str">
        <f t="shared" ca="1" si="22"/>
        <v>75-99.9K</v>
      </c>
      <c r="Q757" s="15">
        <v>5</v>
      </c>
      <c r="S757">
        <v>4</v>
      </c>
      <c r="U757">
        <v>2</v>
      </c>
      <c r="V757" s="15">
        <f t="shared" ca="1" si="23"/>
        <v>5</v>
      </c>
    </row>
    <row r="758" spans="1:22">
      <c r="A758" t="s">
        <v>2209</v>
      </c>
      <c r="B758" s="1">
        <v>41055.030729166669</v>
      </c>
      <c r="C758" s="2">
        <v>92000</v>
      </c>
      <c r="D758">
        <v>92000</v>
      </c>
      <c r="E758" t="s">
        <v>1856</v>
      </c>
      <c r="F758" s="5">
        <v>92000</v>
      </c>
      <c r="G758" s="5">
        <v>92000</v>
      </c>
      <c r="H758" s="5">
        <f ca="1">OFFSET(F758,0,Brains!$D$1,1,1)</f>
        <v>92000</v>
      </c>
      <c r="I758" t="s">
        <v>2210</v>
      </c>
      <c r="J758" t="s">
        <v>1858</v>
      </c>
      <c r="K758" t="s">
        <v>1869</v>
      </c>
      <c r="L758" t="s">
        <v>1869</v>
      </c>
      <c r="M758" s="11" t="s">
        <v>3918</v>
      </c>
      <c r="N758" t="s">
        <v>1860</v>
      </c>
      <c r="P758" s="15" t="str">
        <f t="shared" ca="1" si="22"/>
        <v>75-99.9K</v>
      </c>
      <c r="Q758" s="15">
        <v>5</v>
      </c>
      <c r="S758">
        <v>4</v>
      </c>
      <c r="U758">
        <v>2</v>
      </c>
      <c r="V758" s="15">
        <f t="shared" ca="1" si="23"/>
        <v>5</v>
      </c>
    </row>
    <row r="759" spans="1:22">
      <c r="A759" t="s">
        <v>2261</v>
      </c>
      <c r="B759" s="1">
        <v>41055.033865740741</v>
      </c>
      <c r="C759" s="2">
        <v>90000</v>
      </c>
      <c r="D759">
        <v>90000</v>
      </c>
      <c r="E759" t="s">
        <v>1979</v>
      </c>
      <c r="F759" s="5">
        <v>88502.537072729421</v>
      </c>
      <c r="G759" s="5">
        <v>72057.646116893506</v>
      </c>
      <c r="H759" s="5">
        <f ca="1">OFFSET(F759,0,Brains!$D$1,1,1)</f>
        <v>72057.646116893506</v>
      </c>
      <c r="I759" t="s">
        <v>2262</v>
      </c>
      <c r="J759" t="s">
        <v>1858</v>
      </c>
      <c r="K759" t="s">
        <v>1981</v>
      </c>
      <c r="L759" t="s">
        <v>1981</v>
      </c>
      <c r="M759" s="11" t="s">
        <v>3918</v>
      </c>
      <c r="N759" t="s">
        <v>1860</v>
      </c>
      <c r="P759" s="15" t="str">
        <f t="shared" ca="1" si="22"/>
        <v>50-74.9K</v>
      </c>
      <c r="Q759" s="15">
        <v>5</v>
      </c>
      <c r="S759">
        <v>4</v>
      </c>
      <c r="U759">
        <v>2</v>
      </c>
      <c r="V759" s="15">
        <f t="shared" ca="1" si="23"/>
        <v>4</v>
      </c>
    </row>
    <row r="760" spans="1:22">
      <c r="A760" t="s">
        <v>3030</v>
      </c>
      <c r="B760" s="1">
        <v>41055.228310185186</v>
      </c>
      <c r="C760" s="2">
        <v>85000</v>
      </c>
      <c r="D760">
        <v>85000</v>
      </c>
      <c r="E760" t="s">
        <v>1973</v>
      </c>
      <c r="F760" s="5">
        <v>86692.320794224041</v>
      </c>
      <c r="G760" s="5">
        <v>54071.246819338427</v>
      </c>
      <c r="H760" s="5">
        <f ca="1">OFFSET(F760,0,Brains!$D$1,1,1)</f>
        <v>54071.246819338427</v>
      </c>
      <c r="I760" t="s">
        <v>3031</v>
      </c>
      <c r="J760" t="s">
        <v>1858</v>
      </c>
      <c r="K760" t="s">
        <v>1975</v>
      </c>
      <c r="L760" t="s">
        <v>1975</v>
      </c>
      <c r="M760" s="11" t="s">
        <v>3918</v>
      </c>
      <c r="N760" t="s">
        <v>1860</v>
      </c>
      <c r="P760" s="15" t="str">
        <f t="shared" ca="1" si="22"/>
        <v>50-74.9K</v>
      </c>
      <c r="Q760" s="15">
        <v>5</v>
      </c>
      <c r="S760">
        <v>4</v>
      </c>
      <c r="U760">
        <v>2</v>
      </c>
      <c r="V760" s="15">
        <f t="shared" ca="1" si="23"/>
        <v>4</v>
      </c>
    </row>
    <row r="761" spans="1:22">
      <c r="A761" t="s">
        <v>2131</v>
      </c>
      <c r="B761" s="1">
        <v>41055.028657407405</v>
      </c>
      <c r="C761" s="2" t="s">
        <v>2132</v>
      </c>
      <c r="D761">
        <v>85000</v>
      </c>
      <c r="E761" t="s">
        <v>1856</v>
      </c>
      <c r="F761" s="5">
        <v>85000</v>
      </c>
      <c r="G761" s="5">
        <v>85000</v>
      </c>
      <c r="H761" s="5">
        <f ca="1">OFFSET(F761,0,Brains!$D$1,1,1)</f>
        <v>85000</v>
      </c>
      <c r="I761" t="s">
        <v>2133</v>
      </c>
      <c r="J761" t="s">
        <v>1858</v>
      </c>
      <c r="K761" t="s">
        <v>1869</v>
      </c>
      <c r="L761" t="s">
        <v>1869</v>
      </c>
      <c r="M761" s="11" t="s">
        <v>3918</v>
      </c>
      <c r="N761" t="s">
        <v>1860</v>
      </c>
      <c r="P761" s="15" t="str">
        <f t="shared" ca="1" si="22"/>
        <v>75-99.9K</v>
      </c>
      <c r="Q761" s="15">
        <v>5</v>
      </c>
      <c r="S761">
        <v>4</v>
      </c>
      <c r="U761">
        <v>2</v>
      </c>
      <c r="V761" s="15">
        <f t="shared" ca="1" si="23"/>
        <v>5</v>
      </c>
    </row>
    <row r="762" spans="1:22">
      <c r="A762" t="s">
        <v>2655</v>
      </c>
      <c r="B762" s="1">
        <v>41055.075914351852</v>
      </c>
      <c r="C762" s="2">
        <v>85000</v>
      </c>
      <c r="D762">
        <v>85000</v>
      </c>
      <c r="E762" t="s">
        <v>1856</v>
      </c>
      <c r="F762" s="5">
        <v>85000</v>
      </c>
      <c r="G762" s="5">
        <v>85000</v>
      </c>
      <c r="H762" s="5">
        <f ca="1">OFFSET(F762,0,Brains!$D$1,1,1)</f>
        <v>85000</v>
      </c>
      <c r="I762" t="s">
        <v>2335</v>
      </c>
      <c r="J762" t="s">
        <v>1858</v>
      </c>
      <c r="K762" t="s">
        <v>1869</v>
      </c>
      <c r="L762" t="s">
        <v>1869</v>
      </c>
      <c r="M762" s="11" t="s">
        <v>3918</v>
      </c>
      <c r="N762" t="s">
        <v>1860</v>
      </c>
      <c r="P762" s="15" t="str">
        <f t="shared" ca="1" si="22"/>
        <v>75-99.9K</v>
      </c>
      <c r="Q762" s="15">
        <v>5</v>
      </c>
      <c r="S762">
        <v>4</v>
      </c>
      <c r="U762">
        <v>2</v>
      </c>
      <c r="V762" s="15">
        <f t="shared" ca="1" si="23"/>
        <v>5</v>
      </c>
    </row>
    <row r="763" spans="1:22">
      <c r="A763" t="s">
        <v>2111</v>
      </c>
      <c r="B763" s="1">
        <v>41055.028263888889</v>
      </c>
      <c r="C763" s="2" t="s">
        <v>2112</v>
      </c>
      <c r="D763">
        <v>80000</v>
      </c>
      <c r="E763" t="s">
        <v>1856</v>
      </c>
      <c r="F763" s="5">
        <v>80000</v>
      </c>
      <c r="G763" s="5">
        <v>80000</v>
      </c>
      <c r="H763" s="5">
        <f ca="1">OFFSET(F763,0,Brains!$D$1,1,1)</f>
        <v>80000</v>
      </c>
      <c r="I763" t="s">
        <v>2113</v>
      </c>
      <c r="J763" t="s">
        <v>1858</v>
      </c>
      <c r="K763" t="s">
        <v>1869</v>
      </c>
      <c r="L763" t="s">
        <v>1869</v>
      </c>
      <c r="M763" s="11" t="s">
        <v>3918</v>
      </c>
      <c r="N763" t="s">
        <v>1860</v>
      </c>
      <c r="P763" s="15" t="str">
        <f t="shared" ca="1" si="22"/>
        <v>75-99.9K</v>
      </c>
      <c r="Q763" s="15">
        <v>5</v>
      </c>
      <c r="S763">
        <v>4</v>
      </c>
      <c r="U763">
        <v>2</v>
      </c>
      <c r="V763" s="15">
        <f t="shared" ca="1" si="23"/>
        <v>5</v>
      </c>
    </row>
    <row r="764" spans="1:22">
      <c r="A764" t="s">
        <v>2164</v>
      </c>
      <c r="B764" s="1">
        <v>41055.029166666667</v>
      </c>
      <c r="C764" s="2">
        <v>80000</v>
      </c>
      <c r="D764">
        <v>80000</v>
      </c>
      <c r="E764" t="s">
        <v>1856</v>
      </c>
      <c r="F764" s="5">
        <v>80000</v>
      </c>
      <c r="G764" s="5">
        <v>80000</v>
      </c>
      <c r="H764" s="5">
        <f ca="1">OFFSET(F764,0,Brains!$D$1,1,1)</f>
        <v>80000</v>
      </c>
      <c r="I764" t="s">
        <v>1868</v>
      </c>
      <c r="J764" t="s">
        <v>1858</v>
      </c>
      <c r="K764" t="s">
        <v>1869</v>
      </c>
      <c r="L764" t="s">
        <v>1869</v>
      </c>
      <c r="M764" s="11" t="s">
        <v>3918</v>
      </c>
      <c r="N764" t="s">
        <v>1860</v>
      </c>
      <c r="P764" s="15" t="str">
        <f t="shared" ca="1" si="22"/>
        <v>75-99.9K</v>
      </c>
      <c r="Q764" s="15">
        <v>5</v>
      </c>
      <c r="S764">
        <v>4</v>
      </c>
      <c r="U764">
        <v>2</v>
      </c>
      <c r="V764" s="15">
        <f t="shared" ca="1" si="23"/>
        <v>5</v>
      </c>
    </row>
    <row r="765" spans="1:22">
      <c r="A765" t="s">
        <v>2351</v>
      </c>
      <c r="B765" s="1">
        <v>41055.038958333331</v>
      </c>
      <c r="C765" s="2">
        <v>80000</v>
      </c>
      <c r="D765">
        <v>80000</v>
      </c>
      <c r="E765" t="s">
        <v>1856</v>
      </c>
      <c r="F765" s="5">
        <v>80000</v>
      </c>
      <c r="G765" s="5">
        <v>80000</v>
      </c>
      <c r="H765" s="5">
        <f ca="1">OFFSET(F765,0,Brains!$D$1,1,1)</f>
        <v>80000</v>
      </c>
      <c r="I765" t="s">
        <v>2068</v>
      </c>
      <c r="J765" t="s">
        <v>1858</v>
      </c>
      <c r="K765" t="s">
        <v>1869</v>
      </c>
      <c r="L765" t="s">
        <v>1869</v>
      </c>
      <c r="M765" s="11" t="s">
        <v>3918</v>
      </c>
      <c r="N765" t="s">
        <v>1860</v>
      </c>
      <c r="P765" s="15" t="str">
        <f t="shared" ca="1" si="22"/>
        <v>75-99.9K</v>
      </c>
      <c r="Q765" s="15">
        <v>5</v>
      </c>
      <c r="S765">
        <v>4</v>
      </c>
      <c r="U765">
        <v>2</v>
      </c>
      <c r="V765" s="15">
        <f t="shared" ca="1" si="23"/>
        <v>5</v>
      </c>
    </row>
    <row r="766" spans="1:22">
      <c r="A766" t="s">
        <v>2372</v>
      </c>
      <c r="B766" s="1">
        <v>41055.040335648147</v>
      </c>
      <c r="C766" s="2">
        <v>80000</v>
      </c>
      <c r="D766">
        <v>80000</v>
      </c>
      <c r="E766" t="s">
        <v>1856</v>
      </c>
      <c r="F766" s="5">
        <v>80000</v>
      </c>
      <c r="G766" s="5">
        <v>80000</v>
      </c>
      <c r="H766" s="5">
        <f ca="1">OFFSET(F766,0,Brains!$D$1,1,1)</f>
        <v>80000</v>
      </c>
      <c r="I766" t="s">
        <v>2017</v>
      </c>
      <c r="J766" t="s">
        <v>1858</v>
      </c>
      <c r="K766" t="s">
        <v>1869</v>
      </c>
      <c r="L766" t="s">
        <v>1869</v>
      </c>
      <c r="M766" s="11" t="s">
        <v>3918</v>
      </c>
      <c r="N766" t="s">
        <v>1860</v>
      </c>
      <c r="P766" s="15" t="str">
        <f t="shared" ca="1" si="22"/>
        <v>75-99.9K</v>
      </c>
      <c r="Q766" s="15">
        <v>5</v>
      </c>
      <c r="S766">
        <v>4</v>
      </c>
      <c r="U766">
        <v>2</v>
      </c>
      <c r="V766" s="15">
        <f t="shared" ca="1" si="23"/>
        <v>5</v>
      </c>
    </row>
    <row r="767" spans="1:22">
      <c r="A767" t="s">
        <v>2410</v>
      </c>
      <c r="B767" s="1">
        <v>41055.044351851851</v>
      </c>
      <c r="C767" s="2">
        <v>80000</v>
      </c>
      <c r="D767">
        <v>80000</v>
      </c>
      <c r="E767" t="s">
        <v>1856</v>
      </c>
      <c r="F767" s="5">
        <v>80000</v>
      </c>
      <c r="G767" s="5">
        <v>80000</v>
      </c>
      <c r="H767" s="5">
        <f ca="1">OFFSET(F767,0,Brains!$D$1,1,1)</f>
        <v>80000</v>
      </c>
      <c r="I767" t="s">
        <v>1858</v>
      </c>
      <c r="J767" t="s">
        <v>1858</v>
      </c>
      <c r="K767" t="s">
        <v>1869</v>
      </c>
      <c r="L767" t="s">
        <v>1869</v>
      </c>
      <c r="M767" s="11" t="s">
        <v>3918</v>
      </c>
      <c r="N767" t="s">
        <v>1860</v>
      </c>
      <c r="P767" s="15" t="str">
        <f t="shared" ca="1" si="22"/>
        <v>75-99.9K</v>
      </c>
      <c r="Q767" s="15">
        <v>5</v>
      </c>
      <c r="S767">
        <v>4</v>
      </c>
      <c r="U767">
        <v>2</v>
      </c>
      <c r="V767" s="15">
        <f t="shared" ca="1" si="23"/>
        <v>5</v>
      </c>
    </row>
    <row r="768" spans="1:22">
      <c r="A768" t="s">
        <v>2824</v>
      </c>
      <c r="B768" s="1">
        <v>41055.115486111114</v>
      </c>
      <c r="C768" s="2">
        <v>80000</v>
      </c>
      <c r="D768">
        <v>80000</v>
      </c>
      <c r="E768" t="s">
        <v>1856</v>
      </c>
      <c r="F768" s="5">
        <v>80000</v>
      </c>
      <c r="G768" s="5">
        <v>80000</v>
      </c>
      <c r="H768" s="5">
        <f ca="1">OFFSET(F768,0,Brains!$D$1,1,1)</f>
        <v>80000</v>
      </c>
      <c r="I768" t="s">
        <v>2825</v>
      </c>
      <c r="J768" t="s">
        <v>1858</v>
      </c>
      <c r="K768" t="s">
        <v>1869</v>
      </c>
      <c r="L768" t="s">
        <v>1869</v>
      </c>
      <c r="M768" s="11" t="s">
        <v>3918</v>
      </c>
      <c r="N768" t="s">
        <v>1860</v>
      </c>
      <c r="P768" s="15" t="str">
        <f t="shared" ca="1" si="22"/>
        <v>75-99.9K</v>
      </c>
      <c r="Q768" s="15">
        <v>5</v>
      </c>
      <c r="S768">
        <v>4</v>
      </c>
      <c r="U768">
        <v>2</v>
      </c>
      <c r="V768" s="15">
        <f t="shared" ca="1" si="23"/>
        <v>5</v>
      </c>
    </row>
    <row r="769" spans="1:22">
      <c r="A769" t="s">
        <v>2679</v>
      </c>
      <c r="B769" s="1">
        <v>41055.081516203703</v>
      </c>
      <c r="C769" s="2">
        <v>80000</v>
      </c>
      <c r="D769">
        <v>80000</v>
      </c>
      <c r="E769" t="s">
        <v>1979</v>
      </c>
      <c r="F769" s="5">
        <v>78668.921842426149</v>
      </c>
      <c r="G769" s="5">
        <v>64051.240992794228</v>
      </c>
      <c r="H769" s="5">
        <f ca="1">OFFSET(F769,0,Brains!$D$1,1,1)</f>
        <v>64051.240992794228</v>
      </c>
      <c r="I769" t="s">
        <v>2680</v>
      </c>
      <c r="J769" t="s">
        <v>1858</v>
      </c>
      <c r="K769" t="s">
        <v>1981</v>
      </c>
      <c r="L769" t="s">
        <v>1981</v>
      </c>
      <c r="M769" s="11" t="s">
        <v>3918</v>
      </c>
      <c r="N769" t="s">
        <v>1860</v>
      </c>
      <c r="P769" s="15" t="str">
        <f t="shared" ca="1" si="22"/>
        <v>50-74.9K</v>
      </c>
      <c r="Q769" s="15">
        <v>5</v>
      </c>
      <c r="S769">
        <v>4</v>
      </c>
      <c r="U769">
        <v>2</v>
      </c>
      <c r="V769" s="15">
        <f t="shared" ca="1" si="23"/>
        <v>4</v>
      </c>
    </row>
    <row r="770" spans="1:22">
      <c r="A770" t="s">
        <v>2470</v>
      </c>
      <c r="B770" s="1">
        <v>41055.049444444441</v>
      </c>
      <c r="C770" s="2">
        <v>75000</v>
      </c>
      <c r="D770">
        <v>75000</v>
      </c>
      <c r="E770" t="s">
        <v>1856</v>
      </c>
      <c r="F770" s="5">
        <v>75000</v>
      </c>
      <c r="G770" s="5">
        <v>75000</v>
      </c>
      <c r="H770" s="5">
        <f ca="1">OFFSET(F770,0,Brains!$D$1,1,1)</f>
        <v>75000</v>
      </c>
      <c r="I770" t="s">
        <v>2113</v>
      </c>
      <c r="J770" t="s">
        <v>1858</v>
      </c>
      <c r="K770" t="s">
        <v>1869</v>
      </c>
      <c r="L770" t="s">
        <v>1869</v>
      </c>
      <c r="M770" s="11" t="s">
        <v>3918</v>
      </c>
      <c r="N770" t="s">
        <v>1860</v>
      </c>
      <c r="P770" s="15" t="str">
        <f t="shared" ref="P770:P833" ca="1" si="24">IF(H770&lt;15000,"0-14.9K",IF(H770&lt;30000,"15-29.9K",IF(H770&lt;50000,"30-49.9K",IF(H770&lt;75000,"50-74.9K",IF(H770&lt;100000,"75-99.9K",IF(H770&lt;150000,"100-149.9K",IF(H770&lt;250000,"150-249.9K","250K+")))))))</f>
        <v>75-99.9K</v>
      </c>
      <c r="Q770" s="15">
        <v>5</v>
      </c>
      <c r="S770">
        <v>4</v>
      </c>
      <c r="U770">
        <v>2</v>
      </c>
      <c r="V770" s="15">
        <f t="shared" ref="V770:V833" ca="1" si="25">IF(H770&lt;15000,1,IF(H770&lt;30000,2,IF(H770&lt;50000,3,IF(H770&lt;75000,4,IF(H770&lt;100000,5,IF(H770&lt;150000,6,IF(H770&lt;250000,7,8)))))))</f>
        <v>5</v>
      </c>
    </row>
    <row r="771" spans="1:22">
      <c r="A771" t="s">
        <v>2517</v>
      </c>
      <c r="B771" s="1">
        <v>41055.056319444448</v>
      </c>
      <c r="C771" s="2">
        <v>75000</v>
      </c>
      <c r="D771">
        <v>75000</v>
      </c>
      <c r="E771" t="s">
        <v>1856</v>
      </c>
      <c r="F771" s="5">
        <v>75000</v>
      </c>
      <c r="G771" s="5">
        <v>75000</v>
      </c>
      <c r="H771" s="5">
        <f ca="1">OFFSET(F771,0,Brains!$D$1,1,1)</f>
        <v>75000</v>
      </c>
      <c r="I771" t="s">
        <v>2518</v>
      </c>
      <c r="J771" t="s">
        <v>1858</v>
      </c>
      <c r="K771" t="s">
        <v>1869</v>
      </c>
      <c r="L771" t="s">
        <v>1869</v>
      </c>
      <c r="M771" s="11" t="s">
        <v>3918</v>
      </c>
      <c r="N771" t="s">
        <v>1860</v>
      </c>
      <c r="P771" s="15" t="str">
        <f t="shared" ca="1" si="24"/>
        <v>75-99.9K</v>
      </c>
      <c r="Q771" s="15">
        <v>5</v>
      </c>
      <c r="S771">
        <v>4</v>
      </c>
      <c r="U771">
        <v>2</v>
      </c>
      <c r="V771" s="15">
        <f t="shared" ca="1" si="25"/>
        <v>5</v>
      </c>
    </row>
    <row r="772" spans="1:22">
      <c r="A772" t="s">
        <v>2809</v>
      </c>
      <c r="B772" s="1">
        <v>41055.107766203706</v>
      </c>
      <c r="C772" s="2">
        <v>75000</v>
      </c>
      <c r="D772">
        <v>75000</v>
      </c>
      <c r="E772" t="s">
        <v>1856</v>
      </c>
      <c r="F772" s="5">
        <v>75000</v>
      </c>
      <c r="G772" s="5">
        <v>75000</v>
      </c>
      <c r="H772" s="5">
        <f ca="1">OFFSET(F772,0,Brains!$D$1,1,1)</f>
        <v>75000</v>
      </c>
      <c r="I772" t="s">
        <v>2810</v>
      </c>
      <c r="J772" t="s">
        <v>1858</v>
      </c>
      <c r="K772" t="s">
        <v>1869</v>
      </c>
      <c r="L772" t="s">
        <v>1869</v>
      </c>
      <c r="M772" s="11" t="s">
        <v>3918</v>
      </c>
      <c r="N772" t="s">
        <v>1860</v>
      </c>
      <c r="P772" s="15" t="str">
        <f t="shared" ca="1" si="24"/>
        <v>75-99.9K</v>
      </c>
      <c r="Q772" s="15">
        <v>5</v>
      </c>
      <c r="S772">
        <v>4</v>
      </c>
      <c r="U772">
        <v>2</v>
      </c>
      <c r="V772" s="15">
        <f t="shared" ca="1" si="25"/>
        <v>5</v>
      </c>
    </row>
    <row r="773" spans="1:22">
      <c r="A773" t="s">
        <v>2639</v>
      </c>
      <c r="B773" s="1">
        <v>41055.071192129632</v>
      </c>
      <c r="C773" s="2">
        <v>75000</v>
      </c>
      <c r="D773">
        <v>75000</v>
      </c>
      <c r="E773" t="s">
        <v>1979</v>
      </c>
      <c r="F773" s="5">
        <v>73752.11422727452</v>
      </c>
      <c r="G773" s="5">
        <v>60048.038430744586</v>
      </c>
      <c r="H773" s="5">
        <f ca="1">OFFSET(F773,0,Brains!$D$1,1,1)</f>
        <v>60048.038430744586</v>
      </c>
      <c r="I773" t="s">
        <v>2640</v>
      </c>
      <c r="J773" t="s">
        <v>1858</v>
      </c>
      <c r="K773" t="s">
        <v>2191</v>
      </c>
      <c r="L773" t="s">
        <v>1981</v>
      </c>
      <c r="M773" s="11" t="s">
        <v>3918</v>
      </c>
      <c r="N773" t="s">
        <v>1860</v>
      </c>
      <c r="P773" s="15" t="str">
        <f t="shared" ca="1" si="24"/>
        <v>50-74.9K</v>
      </c>
      <c r="Q773" s="15">
        <v>5</v>
      </c>
      <c r="S773">
        <v>4</v>
      </c>
      <c r="U773">
        <v>2</v>
      </c>
      <c r="V773" s="15">
        <f t="shared" ca="1" si="25"/>
        <v>4</v>
      </c>
    </row>
    <row r="774" spans="1:22">
      <c r="A774" t="s">
        <v>2400</v>
      </c>
      <c r="B774" s="1">
        <v>41055.043298611112</v>
      </c>
      <c r="C774" s="2">
        <v>73000</v>
      </c>
      <c r="D774">
        <v>73000</v>
      </c>
      <c r="E774" t="s">
        <v>1856</v>
      </c>
      <c r="F774" s="5">
        <v>73000</v>
      </c>
      <c r="G774" s="5">
        <v>73000</v>
      </c>
      <c r="H774" s="5">
        <f ca="1">OFFSET(F774,0,Brains!$D$1,1,1)</f>
        <v>73000</v>
      </c>
      <c r="I774" t="s">
        <v>1868</v>
      </c>
      <c r="J774" t="s">
        <v>1858</v>
      </c>
      <c r="K774" t="s">
        <v>1869</v>
      </c>
      <c r="L774" t="s">
        <v>1869</v>
      </c>
      <c r="M774" s="11" t="s">
        <v>3918</v>
      </c>
      <c r="N774" t="s">
        <v>1860</v>
      </c>
      <c r="P774" s="15" t="str">
        <f t="shared" ca="1" si="24"/>
        <v>50-74.9K</v>
      </c>
      <c r="Q774" s="15">
        <v>5</v>
      </c>
      <c r="S774">
        <v>4</v>
      </c>
      <c r="U774">
        <v>2</v>
      </c>
      <c r="V774" s="15">
        <f t="shared" ca="1" si="25"/>
        <v>4</v>
      </c>
    </row>
    <row r="775" spans="1:22">
      <c r="A775" t="s">
        <v>2185</v>
      </c>
      <c r="B775" s="1">
        <v>41055.029942129629</v>
      </c>
      <c r="C775" s="2">
        <v>71000</v>
      </c>
      <c r="D775">
        <v>71000</v>
      </c>
      <c r="E775" t="s">
        <v>1856</v>
      </c>
      <c r="F775" s="5">
        <v>71000</v>
      </c>
      <c r="G775" s="5">
        <v>71000</v>
      </c>
      <c r="H775" s="5">
        <f ca="1">OFFSET(F775,0,Brains!$D$1,1,1)</f>
        <v>71000</v>
      </c>
      <c r="I775" t="s">
        <v>2186</v>
      </c>
      <c r="J775" t="s">
        <v>1858</v>
      </c>
      <c r="K775" t="s">
        <v>1869</v>
      </c>
      <c r="L775" t="s">
        <v>1869</v>
      </c>
      <c r="M775" s="11" t="s">
        <v>3918</v>
      </c>
      <c r="N775" t="s">
        <v>1860</v>
      </c>
      <c r="P775" s="15" t="str">
        <f t="shared" ca="1" si="24"/>
        <v>50-74.9K</v>
      </c>
      <c r="Q775" s="15">
        <v>5</v>
      </c>
      <c r="S775">
        <v>4</v>
      </c>
      <c r="U775">
        <v>2</v>
      </c>
      <c r="V775" s="15">
        <f t="shared" ca="1" si="25"/>
        <v>4</v>
      </c>
    </row>
    <row r="776" spans="1:22">
      <c r="A776" t="s">
        <v>2309</v>
      </c>
      <c r="B776" s="1">
        <v>41055.036400462966</v>
      </c>
      <c r="C776" s="2">
        <v>70000</v>
      </c>
      <c r="D776">
        <v>70000</v>
      </c>
      <c r="E776" t="s">
        <v>1856</v>
      </c>
      <c r="F776" s="5">
        <v>70000</v>
      </c>
      <c r="G776" s="5">
        <v>70000</v>
      </c>
      <c r="H776" s="5">
        <f ca="1">OFFSET(F776,0,Brains!$D$1,1,1)</f>
        <v>70000</v>
      </c>
      <c r="I776" t="s">
        <v>2310</v>
      </c>
      <c r="J776" t="s">
        <v>1858</v>
      </c>
      <c r="K776" t="s">
        <v>1869</v>
      </c>
      <c r="L776" t="s">
        <v>1869</v>
      </c>
      <c r="M776" s="11" t="s">
        <v>3918</v>
      </c>
      <c r="N776" t="s">
        <v>1860</v>
      </c>
      <c r="P776" s="15" t="str">
        <f t="shared" ca="1" si="24"/>
        <v>50-74.9K</v>
      </c>
      <c r="Q776" s="15">
        <v>5</v>
      </c>
      <c r="S776">
        <v>4</v>
      </c>
      <c r="U776">
        <v>2</v>
      </c>
      <c r="V776" s="15">
        <f t="shared" ca="1" si="25"/>
        <v>4</v>
      </c>
    </row>
    <row r="777" spans="1:22">
      <c r="A777" t="s">
        <v>2886</v>
      </c>
      <c r="B777" s="1">
        <v>41055.135462962964</v>
      </c>
      <c r="C777" s="2">
        <v>70000</v>
      </c>
      <c r="D777">
        <v>70000</v>
      </c>
      <c r="E777" t="s">
        <v>1856</v>
      </c>
      <c r="F777" s="5">
        <v>70000</v>
      </c>
      <c r="G777" s="5">
        <v>70000</v>
      </c>
      <c r="H777" s="5">
        <f ca="1">OFFSET(F777,0,Brains!$D$1,1,1)</f>
        <v>70000</v>
      </c>
      <c r="I777" t="s">
        <v>1858</v>
      </c>
      <c r="J777" t="s">
        <v>1858</v>
      </c>
      <c r="K777" t="s">
        <v>1869</v>
      </c>
      <c r="L777" t="s">
        <v>1869</v>
      </c>
      <c r="M777" s="11" t="s">
        <v>3918</v>
      </c>
      <c r="N777" t="s">
        <v>1860</v>
      </c>
      <c r="P777" s="15" t="str">
        <f t="shared" ca="1" si="24"/>
        <v>50-74.9K</v>
      </c>
      <c r="Q777" s="15">
        <v>5</v>
      </c>
      <c r="S777">
        <v>4</v>
      </c>
      <c r="U777">
        <v>2</v>
      </c>
      <c r="V777" s="15">
        <f t="shared" ca="1" si="25"/>
        <v>4</v>
      </c>
    </row>
    <row r="778" spans="1:22">
      <c r="A778" t="s">
        <v>2944</v>
      </c>
      <c r="B778" s="1">
        <v>41055.166909722226</v>
      </c>
      <c r="C778" s="2">
        <v>68500</v>
      </c>
      <c r="D778">
        <v>68500</v>
      </c>
      <c r="E778" t="s">
        <v>1979</v>
      </c>
      <c r="F778" s="5">
        <v>67360.264327577388</v>
      </c>
      <c r="G778" s="5">
        <v>54843.875100080055</v>
      </c>
      <c r="H778" s="5">
        <f ca="1">OFFSET(F778,0,Brains!$D$1,1,1)</f>
        <v>54843.875100080055</v>
      </c>
      <c r="I778" t="s">
        <v>1868</v>
      </c>
      <c r="J778" t="s">
        <v>1858</v>
      </c>
      <c r="K778" t="s">
        <v>1981</v>
      </c>
      <c r="L778" t="s">
        <v>1981</v>
      </c>
      <c r="M778" s="11" t="s">
        <v>3918</v>
      </c>
      <c r="N778" t="s">
        <v>1860</v>
      </c>
      <c r="P778" s="15" t="str">
        <f t="shared" ca="1" si="24"/>
        <v>50-74.9K</v>
      </c>
      <c r="Q778" s="15">
        <v>5</v>
      </c>
      <c r="S778">
        <v>4</v>
      </c>
      <c r="U778">
        <v>2</v>
      </c>
      <c r="V778" s="15">
        <f t="shared" ca="1" si="25"/>
        <v>4</v>
      </c>
    </row>
    <row r="779" spans="1:22">
      <c r="A779" t="s">
        <v>2144</v>
      </c>
      <c r="B779" s="1">
        <v>41055.02884259259</v>
      </c>
      <c r="C779" s="2">
        <v>67000</v>
      </c>
      <c r="D779">
        <v>67000</v>
      </c>
      <c r="E779" t="s">
        <v>1856</v>
      </c>
      <c r="F779" s="5">
        <v>67000</v>
      </c>
      <c r="G779" s="5">
        <v>67000</v>
      </c>
      <c r="H779" s="5">
        <f ca="1">OFFSET(F779,0,Brains!$D$1,1,1)</f>
        <v>67000</v>
      </c>
      <c r="I779" t="s">
        <v>2145</v>
      </c>
      <c r="J779" t="s">
        <v>1858</v>
      </c>
      <c r="K779" t="s">
        <v>1869</v>
      </c>
      <c r="L779" t="s">
        <v>1869</v>
      </c>
      <c r="M779" s="11" t="s">
        <v>3918</v>
      </c>
      <c r="N779" t="s">
        <v>1860</v>
      </c>
      <c r="P779" s="15" t="str">
        <f t="shared" ca="1" si="24"/>
        <v>50-74.9K</v>
      </c>
      <c r="Q779" s="15">
        <v>5</v>
      </c>
      <c r="S779">
        <v>4</v>
      </c>
      <c r="U779">
        <v>2</v>
      </c>
      <c r="V779" s="15">
        <f t="shared" ca="1" si="25"/>
        <v>4</v>
      </c>
    </row>
    <row r="780" spans="1:22">
      <c r="A780" t="s">
        <v>2267</v>
      </c>
      <c r="B780" s="1">
        <v>41055.033888888887</v>
      </c>
      <c r="C780" s="2">
        <v>67000</v>
      </c>
      <c r="D780">
        <v>67000</v>
      </c>
      <c r="E780" t="s">
        <v>1856</v>
      </c>
      <c r="F780" s="5">
        <v>67000</v>
      </c>
      <c r="G780" s="5">
        <v>67000</v>
      </c>
      <c r="H780" s="5">
        <f ca="1">OFFSET(F780,0,Brains!$D$1,1,1)</f>
        <v>67000</v>
      </c>
      <c r="I780" t="s">
        <v>2268</v>
      </c>
      <c r="J780" t="s">
        <v>1858</v>
      </c>
      <c r="K780" t="s">
        <v>1869</v>
      </c>
      <c r="L780" t="s">
        <v>1869</v>
      </c>
      <c r="M780" s="11" t="s">
        <v>3918</v>
      </c>
      <c r="N780" t="s">
        <v>1860</v>
      </c>
      <c r="P780" s="15" t="str">
        <f t="shared" ca="1" si="24"/>
        <v>50-74.9K</v>
      </c>
      <c r="Q780" s="15">
        <v>5</v>
      </c>
      <c r="S780">
        <v>4</v>
      </c>
      <c r="U780">
        <v>2</v>
      </c>
      <c r="V780" s="15">
        <f t="shared" ca="1" si="25"/>
        <v>4</v>
      </c>
    </row>
    <row r="781" spans="1:22">
      <c r="A781" t="s">
        <v>2308</v>
      </c>
      <c r="B781" s="1">
        <v>41055.036354166667</v>
      </c>
      <c r="C781" s="2">
        <v>67000</v>
      </c>
      <c r="D781">
        <v>67000</v>
      </c>
      <c r="E781" t="s">
        <v>1856</v>
      </c>
      <c r="F781" s="5">
        <v>67000</v>
      </c>
      <c r="G781" s="5">
        <v>67000</v>
      </c>
      <c r="H781" s="5">
        <f ca="1">OFFSET(F781,0,Brains!$D$1,1,1)</f>
        <v>67000</v>
      </c>
      <c r="I781" t="s">
        <v>1868</v>
      </c>
      <c r="J781" t="s">
        <v>1858</v>
      </c>
      <c r="K781" t="s">
        <v>1869</v>
      </c>
      <c r="L781" t="s">
        <v>1869</v>
      </c>
      <c r="M781" s="11" t="s">
        <v>3918</v>
      </c>
      <c r="N781" t="s">
        <v>1860</v>
      </c>
      <c r="P781" s="15" t="str">
        <f t="shared" ca="1" si="24"/>
        <v>50-74.9K</v>
      </c>
      <c r="Q781" s="15">
        <v>5</v>
      </c>
      <c r="S781">
        <v>4</v>
      </c>
      <c r="U781">
        <v>2</v>
      </c>
      <c r="V781" s="15">
        <f t="shared" ca="1" si="25"/>
        <v>4</v>
      </c>
    </row>
    <row r="782" spans="1:22">
      <c r="A782" t="s">
        <v>2530</v>
      </c>
      <c r="B782" s="1">
        <v>41055.057592592595</v>
      </c>
      <c r="C782" s="2">
        <v>67000</v>
      </c>
      <c r="D782">
        <v>67000</v>
      </c>
      <c r="E782" t="s">
        <v>1856</v>
      </c>
      <c r="F782" s="5">
        <v>67000</v>
      </c>
      <c r="G782" s="5">
        <v>67000</v>
      </c>
      <c r="H782" s="5">
        <f ca="1">OFFSET(F782,0,Brains!$D$1,1,1)</f>
        <v>67000</v>
      </c>
      <c r="I782" t="s">
        <v>2531</v>
      </c>
      <c r="J782" t="s">
        <v>1858</v>
      </c>
      <c r="K782" t="s">
        <v>1869</v>
      </c>
      <c r="L782" t="s">
        <v>1869</v>
      </c>
      <c r="M782" s="11" t="s">
        <v>3918</v>
      </c>
      <c r="N782" t="s">
        <v>1860</v>
      </c>
      <c r="P782" s="15" t="str">
        <f t="shared" ca="1" si="24"/>
        <v>50-74.9K</v>
      </c>
      <c r="Q782" s="15">
        <v>5</v>
      </c>
      <c r="S782">
        <v>4</v>
      </c>
      <c r="U782">
        <v>2</v>
      </c>
      <c r="V782" s="15">
        <f t="shared" ca="1" si="25"/>
        <v>4</v>
      </c>
    </row>
    <row r="783" spans="1:22">
      <c r="A783" t="s">
        <v>3046</v>
      </c>
      <c r="B783" s="1">
        <v>41055.240300925929</v>
      </c>
      <c r="C783" s="2">
        <v>67000</v>
      </c>
      <c r="D783">
        <v>67000</v>
      </c>
      <c r="E783" t="s">
        <v>1856</v>
      </c>
      <c r="F783" s="5">
        <v>67000</v>
      </c>
      <c r="G783" s="5">
        <v>67000</v>
      </c>
      <c r="H783" s="5">
        <f ca="1">OFFSET(F783,0,Brains!$D$1,1,1)</f>
        <v>67000</v>
      </c>
      <c r="I783" t="s">
        <v>2560</v>
      </c>
      <c r="J783" t="s">
        <v>1858</v>
      </c>
      <c r="K783" t="s">
        <v>1869</v>
      </c>
      <c r="L783" t="s">
        <v>1869</v>
      </c>
      <c r="M783" s="11" t="s">
        <v>3918</v>
      </c>
      <c r="N783" t="s">
        <v>1860</v>
      </c>
      <c r="P783" s="15" t="str">
        <f t="shared" ca="1" si="24"/>
        <v>50-74.9K</v>
      </c>
      <c r="Q783" s="15">
        <v>5</v>
      </c>
      <c r="S783">
        <v>4</v>
      </c>
      <c r="U783">
        <v>2</v>
      </c>
      <c r="V783" s="15">
        <f t="shared" ca="1" si="25"/>
        <v>4</v>
      </c>
    </row>
    <row r="784" spans="1:22">
      <c r="A784" t="s">
        <v>2500</v>
      </c>
      <c r="B784" s="1">
        <v>41055.0547337963</v>
      </c>
      <c r="C784" s="2">
        <v>65000</v>
      </c>
      <c r="D784">
        <v>65000</v>
      </c>
      <c r="E784" t="s">
        <v>1856</v>
      </c>
      <c r="F784" s="5">
        <v>65000</v>
      </c>
      <c r="G784" s="5">
        <v>65000</v>
      </c>
      <c r="H784" s="5">
        <f ca="1">OFFSET(F784,0,Brains!$D$1,1,1)</f>
        <v>65000</v>
      </c>
      <c r="I784" t="s">
        <v>2501</v>
      </c>
      <c r="J784" t="s">
        <v>1858</v>
      </c>
      <c r="K784" t="s">
        <v>1869</v>
      </c>
      <c r="L784" t="s">
        <v>1869</v>
      </c>
      <c r="M784" s="11" t="s">
        <v>3918</v>
      </c>
      <c r="N784" t="s">
        <v>1860</v>
      </c>
      <c r="P784" s="15" t="str">
        <f t="shared" ca="1" si="24"/>
        <v>50-74.9K</v>
      </c>
      <c r="Q784" s="15">
        <v>5</v>
      </c>
      <c r="S784">
        <v>4</v>
      </c>
      <c r="U784">
        <v>2</v>
      </c>
      <c r="V784" s="15">
        <f t="shared" ca="1" si="25"/>
        <v>4</v>
      </c>
    </row>
    <row r="785" spans="1:22">
      <c r="A785" t="s">
        <v>2813</v>
      </c>
      <c r="B785" s="1">
        <v>41055.110115740739</v>
      </c>
      <c r="C785" s="2">
        <v>65000</v>
      </c>
      <c r="D785">
        <v>65000</v>
      </c>
      <c r="E785" t="s">
        <v>1856</v>
      </c>
      <c r="F785" s="5">
        <v>65000</v>
      </c>
      <c r="G785" s="5">
        <v>65000</v>
      </c>
      <c r="H785" s="5">
        <f ca="1">OFFSET(F785,0,Brains!$D$1,1,1)</f>
        <v>65000</v>
      </c>
      <c r="I785" t="s">
        <v>2814</v>
      </c>
      <c r="J785" t="s">
        <v>1858</v>
      </c>
      <c r="K785" t="s">
        <v>1869</v>
      </c>
      <c r="L785" t="s">
        <v>1869</v>
      </c>
      <c r="M785" s="11" t="s">
        <v>3918</v>
      </c>
      <c r="N785" t="s">
        <v>1860</v>
      </c>
      <c r="P785" s="15" t="str">
        <f t="shared" ca="1" si="24"/>
        <v>50-74.9K</v>
      </c>
      <c r="Q785" s="15">
        <v>5</v>
      </c>
      <c r="S785">
        <v>4</v>
      </c>
      <c r="U785">
        <v>2</v>
      </c>
      <c r="V785" s="15">
        <f t="shared" ca="1" si="25"/>
        <v>4</v>
      </c>
    </row>
    <row r="786" spans="1:22">
      <c r="A786" t="s">
        <v>2332</v>
      </c>
      <c r="B786" s="1">
        <v>41055.037662037037</v>
      </c>
      <c r="C786" s="2" t="s">
        <v>2333</v>
      </c>
      <c r="D786">
        <v>50000</v>
      </c>
      <c r="E786" t="s">
        <v>1880</v>
      </c>
      <c r="F786" s="5">
        <v>63519.971949580387</v>
      </c>
      <c r="G786" s="5">
        <v>62809.967188073148</v>
      </c>
      <c r="H786" s="5">
        <f ca="1">OFFSET(F786,0,Brains!$D$1,1,1)</f>
        <v>62809.967188073148</v>
      </c>
      <c r="I786" t="s">
        <v>2099</v>
      </c>
      <c r="J786" t="s">
        <v>1858</v>
      </c>
      <c r="K786" t="s">
        <v>1902</v>
      </c>
      <c r="L786" t="s">
        <v>1902</v>
      </c>
      <c r="M786" s="11" t="s">
        <v>3918</v>
      </c>
      <c r="N786" t="s">
        <v>1860</v>
      </c>
      <c r="P786" s="15" t="str">
        <f t="shared" ca="1" si="24"/>
        <v>50-74.9K</v>
      </c>
      <c r="Q786" s="15">
        <v>5</v>
      </c>
      <c r="S786">
        <v>4</v>
      </c>
      <c r="U786">
        <v>2</v>
      </c>
      <c r="V786" s="15">
        <f t="shared" ca="1" si="25"/>
        <v>4</v>
      </c>
    </row>
    <row r="787" spans="1:22">
      <c r="A787" t="s">
        <v>2008</v>
      </c>
      <c r="B787" s="1">
        <v>41054.26090277778</v>
      </c>
      <c r="C787" s="2">
        <v>62000</v>
      </c>
      <c r="D787">
        <v>62000</v>
      </c>
      <c r="E787" t="s">
        <v>1856</v>
      </c>
      <c r="F787" s="5">
        <v>62000</v>
      </c>
      <c r="G787" s="5">
        <v>62000</v>
      </c>
      <c r="H787" s="5">
        <f ca="1">OFFSET(F787,0,Brains!$D$1,1,1)</f>
        <v>62000</v>
      </c>
      <c r="I787" t="s">
        <v>1858</v>
      </c>
      <c r="J787" t="s">
        <v>1858</v>
      </c>
      <c r="K787" t="s">
        <v>1869</v>
      </c>
      <c r="L787" t="s">
        <v>1869</v>
      </c>
      <c r="M787" s="11" t="s">
        <v>3918</v>
      </c>
      <c r="N787" t="s">
        <v>1860</v>
      </c>
      <c r="P787" s="15" t="str">
        <f t="shared" ca="1" si="24"/>
        <v>50-74.9K</v>
      </c>
      <c r="Q787" s="15">
        <v>5</v>
      </c>
      <c r="S787">
        <v>4</v>
      </c>
      <c r="U787">
        <v>2</v>
      </c>
      <c r="V787" s="15">
        <f t="shared" ca="1" si="25"/>
        <v>4</v>
      </c>
    </row>
    <row r="788" spans="1:22">
      <c r="A788" t="s">
        <v>2246</v>
      </c>
      <c r="B788" s="1">
        <v>41055.033125000002</v>
      </c>
      <c r="C788" s="2">
        <v>60000</v>
      </c>
      <c r="D788">
        <v>60000</v>
      </c>
      <c r="E788" t="s">
        <v>1856</v>
      </c>
      <c r="F788" s="5">
        <v>60000</v>
      </c>
      <c r="G788" s="5">
        <v>60000</v>
      </c>
      <c r="H788" s="5">
        <f ca="1">OFFSET(F788,0,Brains!$D$1,1,1)</f>
        <v>60000</v>
      </c>
      <c r="I788" t="s">
        <v>2247</v>
      </c>
      <c r="J788" t="s">
        <v>1858</v>
      </c>
      <c r="K788" t="s">
        <v>1869</v>
      </c>
      <c r="L788" t="s">
        <v>1869</v>
      </c>
      <c r="M788" s="11" t="s">
        <v>3918</v>
      </c>
      <c r="N788" t="s">
        <v>1860</v>
      </c>
      <c r="P788" s="15" t="str">
        <f t="shared" ca="1" si="24"/>
        <v>50-74.9K</v>
      </c>
      <c r="Q788" s="15">
        <v>5</v>
      </c>
      <c r="S788">
        <v>4</v>
      </c>
      <c r="U788">
        <v>2</v>
      </c>
      <c r="V788" s="15">
        <f t="shared" ca="1" si="25"/>
        <v>4</v>
      </c>
    </row>
    <row r="789" spans="1:22">
      <c r="A789" t="s">
        <v>2304</v>
      </c>
      <c r="B789" s="1">
        <v>41055.036053240743</v>
      </c>
      <c r="C789" s="2">
        <v>60000</v>
      </c>
      <c r="D789">
        <v>60000</v>
      </c>
      <c r="E789" t="s">
        <v>1856</v>
      </c>
      <c r="F789" s="5">
        <v>60000</v>
      </c>
      <c r="G789" s="5">
        <v>60000</v>
      </c>
      <c r="H789" s="5">
        <f ca="1">OFFSET(F789,0,Brains!$D$1,1,1)</f>
        <v>60000</v>
      </c>
      <c r="I789" t="s">
        <v>2305</v>
      </c>
      <c r="J789" t="s">
        <v>1858</v>
      </c>
      <c r="K789" t="s">
        <v>1869</v>
      </c>
      <c r="L789" t="s">
        <v>1869</v>
      </c>
      <c r="M789" s="11" t="s">
        <v>3918</v>
      </c>
      <c r="N789" t="s">
        <v>1860</v>
      </c>
      <c r="P789" s="15" t="str">
        <f t="shared" ca="1" si="24"/>
        <v>50-74.9K</v>
      </c>
      <c r="Q789" s="15">
        <v>5</v>
      </c>
      <c r="S789">
        <v>4</v>
      </c>
      <c r="U789">
        <v>2</v>
      </c>
      <c r="V789" s="15">
        <f t="shared" ca="1" si="25"/>
        <v>4</v>
      </c>
    </row>
    <row r="790" spans="1:22">
      <c r="A790" t="s">
        <v>2390</v>
      </c>
      <c r="B790" s="1">
        <v>41055.042731481481</v>
      </c>
      <c r="C790" s="2">
        <v>60000</v>
      </c>
      <c r="D790">
        <v>60000</v>
      </c>
      <c r="E790" t="s">
        <v>1856</v>
      </c>
      <c r="F790" s="5">
        <v>60000</v>
      </c>
      <c r="G790" s="5">
        <v>60000</v>
      </c>
      <c r="H790" s="5">
        <f ca="1">OFFSET(F790,0,Brains!$D$1,1,1)</f>
        <v>60000</v>
      </c>
      <c r="I790" t="s">
        <v>2391</v>
      </c>
      <c r="J790" t="s">
        <v>1858</v>
      </c>
      <c r="K790" t="s">
        <v>1869</v>
      </c>
      <c r="L790" t="s">
        <v>1869</v>
      </c>
      <c r="M790" s="11" t="s">
        <v>3918</v>
      </c>
      <c r="N790" t="s">
        <v>1860</v>
      </c>
      <c r="P790" s="15" t="str">
        <f t="shared" ca="1" si="24"/>
        <v>50-74.9K</v>
      </c>
      <c r="Q790" s="15">
        <v>5</v>
      </c>
      <c r="S790">
        <v>4</v>
      </c>
      <c r="U790">
        <v>2</v>
      </c>
      <c r="V790" s="15">
        <f t="shared" ca="1" si="25"/>
        <v>4</v>
      </c>
    </row>
    <row r="791" spans="1:22">
      <c r="A791" t="s">
        <v>2559</v>
      </c>
      <c r="B791" s="1">
        <v>41055.060752314814</v>
      </c>
      <c r="C791" s="2">
        <v>60000</v>
      </c>
      <c r="D791">
        <v>60000</v>
      </c>
      <c r="E791" t="s">
        <v>1856</v>
      </c>
      <c r="F791" s="5">
        <v>60000</v>
      </c>
      <c r="G791" s="5">
        <v>60000</v>
      </c>
      <c r="H791" s="5">
        <f ca="1">OFFSET(F791,0,Brains!$D$1,1,1)</f>
        <v>60000</v>
      </c>
      <c r="I791" t="s">
        <v>2560</v>
      </c>
      <c r="J791" t="s">
        <v>1858</v>
      </c>
      <c r="K791" t="s">
        <v>1869</v>
      </c>
      <c r="L791" t="s">
        <v>1869</v>
      </c>
      <c r="M791" s="11" t="s">
        <v>3918</v>
      </c>
      <c r="N791" t="s">
        <v>1860</v>
      </c>
      <c r="P791" s="15" t="str">
        <f t="shared" ca="1" si="24"/>
        <v>50-74.9K</v>
      </c>
      <c r="Q791" s="15">
        <v>5</v>
      </c>
      <c r="S791">
        <v>4</v>
      </c>
      <c r="U791">
        <v>2</v>
      </c>
      <c r="V791" s="15">
        <f t="shared" ca="1" si="25"/>
        <v>4</v>
      </c>
    </row>
    <row r="792" spans="1:22">
      <c r="A792" t="s">
        <v>2746</v>
      </c>
      <c r="B792" s="1">
        <v>41055.09233796296</v>
      </c>
      <c r="C792" s="2">
        <v>60000</v>
      </c>
      <c r="D792">
        <v>60000</v>
      </c>
      <c r="E792" t="s">
        <v>1856</v>
      </c>
      <c r="F792" s="5">
        <v>60000</v>
      </c>
      <c r="G792" s="5">
        <v>60000</v>
      </c>
      <c r="H792" s="5">
        <f ca="1">OFFSET(F792,0,Brains!$D$1,1,1)</f>
        <v>60000</v>
      </c>
      <c r="I792" t="s">
        <v>2747</v>
      </c>
      <c r="J792" t="s">
        <v>1858</v>
      </c>
      <c r="K792" t="s">
        <v>1869</v>
      </c>
      <c r="L792" t="s">
        <v>1869</v>
      </c>
      <c r="M792" s="11" t="s">
        <v>3918</v>
      </c>
      <c r="N792" t="s">
        <v>1860</v>
      </c>
      <c r="P792" s="15" t="str">
        <f t="shared" ca="1" si="24"/>
        <v>50-74.9K</v>
      </c>
      <c r="Q792" s="15">
        <v>5</v>
      </c>
      <c r="S792">
        <v>4</v>
      </c>
      <c r="U792">
        <v>2</v>
      </c>
      <c r="V792" s="15">
        <f t="shared" ca="1" si="25"/>
        <v>4</v>
      </c>
    </row>
    <row r="793" spans="1:22">
      <c r="A793" t="s">
        <v>2125</v>
      </c>
      <c r="B793" s="1">
        <v>41055.028495370374</v>
      </c>
      <c r="C793" s="2">
        <v>57400</v>
      </c>
      <c r="D793">
        <v>57400</v>
      </c>
      <c r="E793" t="s">
        <v>1856</v>
      </c>
      <c r="F793" s="5">
        <v>57400</v>
      </c>
      <c r="G793" s="5">
        <v>57400</v>
      </c>
      <c r="H793" s="5">
        <f ca="1">OFFSET(F793,0,Brains!$D$1,1,1)</f>
        <v>57400</v>
      </c>
      <c r="I793" t="s">
        <v>2126</v>
      </c>
      <c r="J793" t="s">
        <v>1858</v>
      </c>
      <c r="K793" t="s">
        <v>1869</v>
      </c>
      <c r="L793" t="s">
        <v>1869</v>
      </c>
      <c r="M793" s="11" t="s">
        <v>3918</v>
      </c>
      <c r="N793" t="s">
        <v>1860</v>
      </c>
      <c r="P793" s="15" t="str">
        <f t="shared" ca="1" si="24"/>
        <v>50-74.9K</v>
      </c>
      <c r="Q793" s="15">
        <v>5</v>
      </c>
      <c r="S793">
        <v>4</v>
      </c>
      <c r="U793">
        <v>2</v>
      </c>
      <c r="V793" s="15">
        <f t="shared" ca="1" si="25"/>
        <v>4</v>
      </c>
    </row>
    <row r="794" spans="1:22">
      <c r="A794" t="s">
        <v>2043</v>
      </c>
      <c r="B794" s="1">
        <v>41054.950694444444</v>
      </c>
      <c r="C794" s="2">
        <v>57000</v>
      </c>
      <c r="D794">
        <v>57000</v>
      </c>
      <c r="E794" t="s">
        <v>1856</v>
      </c>
      <c r="F794" s="5">
        <v>57000</v>
      </c>
      <c r="G794" s="5">
        <v>57000</v>
      </c>
      <c r="H794" s="5">
        <f ca="1">OFFSET(F794,0,Brains!$D$1,1,1)</f>
        <v>57000</v>
      </c>
      <c r="I794" t="s">
        <v>2044</v>
      </c>
      <c r="J794" t="s">
        <v>1858</v>
      </c>
      <c r="K794" t="s">
        <v>1869</v>
      </c>
      <c r="L794" t="s">
        <v>1869</v>
      </c>
      <c r="M794" s="11" t="s">
        <v>3918</v>
      </c>
      <c r="N794" t="s">
        <v>1860</v>
      </c>
      <c r="P794" s="15" t="str">
        <f t="shared" ca="1" si="24"/>
        <v>50-74.9K</v>
      </c>
      <c r="Q794" s="15">
        <v>5</v>
      </c>
      <c r="S794">
        <v>4</v>
      </c>
      <c r="U794">
        <v>2</v>
      </c>
      <c r="V794" s="15">
        <f t="shared" ca="1" si="25"/>
        <v>4</v>
      </c>
    </row>
    <row r="795" spans="1:22">
      <c r="A795" t="s">
        <v>2148</v>
      </c>
      <c r="B795" s="1">
        <v>41055.028877314813</v>
      </c>
      <c r="C795" s="2">
        <v>56160</v>
      </c>
      <c r="D795">
        <v>56160</v>
      </c>
      <c r="E795" t="s">
        <v>1856</v>
      </c>
      <c r="F795" s="5">
        <v>56160</v>
      </c>
      <c r="G795" s="5">
        <v>56160</v>
      </c>
      <c r="H795" s="5">
        <f ca="1">OFFSET(F795,0,Brains!$D$1,1,1)</f>
        <v>56160</v>
      </c>
      <c r="I795" t="s">
        <v>2149</v>
      </c>
      <c r="J795" t="s">
        <v>1858</v>
      </c>
      <c r="K795" t="s">
        <v>1869</v>
      </c>
      <c r="L795" t="s">
        <v>1869</v>
      </c>
      <c r="M795" s="11" t="s">
        <v>3918</v>
      </c>
      <c r="N795" t="s">
        <v>1860</v>
      </c>
      <c r="P795" s="15" t="str">
        <f t="shared" ca="1" si="24"/>
        <v>50-74.9K</v>
      </c>
      <c r="Q795" s="15">
        <v>5</v>
      </c>
      <c r="S795">
        <v>4</v>
      </c>
      <c r="U795">
        <v>2</v>
      </c>
      <c r="V795" s="15">
        <f t="shared" ca="1" si="25"/>
        <v>4</v>
      </c>
    </row>
    <row r="796" spans="1:22">
      <c r="A796" t="s">
        <v>2756</v>
      </c>
      <c r="B796" s="1">
        <v>41055.093391203707</v>
      </c>
      <c r="C796" s="2">
        <v>56000</v>
      </c>
      <c r="D796">
        <v>56000</v>
      </c>
      <c r="E796" t="s">
        <v>1856</v>
      </c>
      <c r="F796" s="5">
        <v>56000</v>
      </c>
      <c r="G796" s="5">
        <v>56000</v>
      </c>
      <c r="H796" s="5">
        <f ca="1">OFFSET(F796,0,Brains!$D$1,1,1)</f>
        <v>56000</v>
      </c>
      <c r="I796" t="s">
        <v>2757</v>
      </c>
      <c r="J796" t="s">
        <v>1858</v>
      </c>
      <c r="K796" t="s">
        <v>1869</v>
      </c>
      <c r="L796" t="s">
        <v>1869</v>
      </c>
      <c r="M796" s="11" t="s">
        <v>3918</v>
      </c>
      <c r="N796" t="s">
        <v>1860</v>
      </c>
      <c r="P796" s="15" t="str">
        <f t="shared" ca="1" si="24"/>
        <v>50-74.9K</v>
      </c>
      <c r="Q796" s="15">
        <v>5</v>
      </c>
      <c r="S796">
        <v>4</v>
      </c>
      <c r="U796">
        <v>2</v>
      </c>
      <c r="V796" s="15">
        <f t="shared" ca="1" si="25"/>
        <v>4</v>
      </c>
    </row>
    <row r="797" spans="1:22">
      <c r="A797" t="s">
        <v>2623</v>
      </c>
      <c r="B797" s="1">
        <v>41055.069652777776</v>
      </c>
      <c r="C797" s="2">
        <v>56000</v>
      </c>
      <c r="D797">
        <v>56000</v>
      </c>
      <c r="E797" t="s">
        <v>1979</v>
      </c>
      <c r="F797" s="5">
        <v>55068.245289698301</v>
      </c>
      <c r="G797" s="5">
        <v>44835.868694955956</v>
      </c>
      <c r="H797" s="5">
        <f ca="1">OFFSET(F797,0,Brains!$D$1,1,1)</f>
        <v>44835.868694955956</v>
      </c>
      <c r="I797" t="s">
        <v>2624</v>
      </c>
      <c r="J797" t="s">
        <v>1858</v>
      </c>
      <c r="K797" t="s">
        <v>1981</v>
      </c>
      <c r="L797" t="s">
        <v>1981</v>
      </c>
      <c r="M797" s="11" t="s">
        <v>3918</v>
      </c>
      <c r="N797" t="s">
        <v>1860</v>
      </c>
      <c r="P797" s="15" t="str">
        <f t="shared" ca="1" si="24"/>
        <v>30-49.9K</v>
      </c>
      <c r="Q797" s="15">
        <v>5</v>
      </c>
      <c r="S797">
        <v>4</v>
      </c>
      <c r="U797">
        <v>2</v>
      </c>
      <c r="V797" s="15">
        <f t="shared" ca="1" si="25"/>
        <v>3</v>
      </c>
    </row>
    <row r="798" spans="1:22">
      <c r="A798" t="s">
        <v>2558</v>
      </c>
      <c r="B798" s="1">
        <v>41055.060717592591</v>
      </c>
      <c r="C798" s="2">
        <v>55</v>
      </c>
      <c r="D798">
        <v>55000</v>
      </c>
      <c r="E798" t="s">
        <v>1856</v>
      </c>
      <c r="F798" s="5">
        <v>55000</v>
      </c>
      <c r="G798" s="5">
        <v>55000</v>
      </c>
      <c r="H798" s="5">
        <f ca="1">OFFSET(F798,0,Brains!$D$1,1,1)</f>
        <v>55000</v>
      </c>
      <c r="I798" t="s">
        <v>2195</v>
      </c>
      <c r="J798" t="s">
        <v>1858</v>
      </c>
      <c r="K798" t="s">
        <v>1869</v>
      </c>
      <c r="L798" t="s">
        <v>1869</v>
      </c>
      <c r="M798" s="11" t="s">
        <v>3918</v>
      </c>
      <c r="N798" t="s">
        <v>1860</v>
      </c>
      <c r="P798" s="15" t="str">
        <f t="shared" ca="1" si="24"/>
        <v>50-74.9K</v>
      </c>
      <c r="Q798" s="15">
        <v>5</v>
      </c>
      <c r="S798">
        <v>4</v>
      </c>
      <c r="U798">
        <v>2</v>
      </c>
      <c r="V798" s="15">
        <f t="shared" ca="1" si="25"/>
        <v>4</v>
      </c>
    </row>
    <row r="799" spans="1:22">
      <c r="A799" t="s">
        <v>2976</v>
      </c>
      <c r="B799" s="1">
        <v>41055.185555555552</v>
      </c>
      <c r="C799" s="2">
        <v>54000</v>
      </c>
      <c r="D799">
        <v>54000</v>
      </c>
      <c r="E799" t="s">
        <v>1856</v>
      </c>
      <c r="F799" s="5">
        <v>54000</v>
      </c>
      <c r="G799" s="5">
        <v>54000</v>
      </c>
      <c r="H799" s="5">
        <f ca="1">OFFSET(F799,0,Brains!$D$1,1,1)</f>
        <v>54000</v>
      </c>
      <c r="I799" t="s">
        <v>2195</v>
      </c>
      <c r="J799" t="s">
        <v>1858</v>
      </c>
      <c r="K799" t="s">
        <v>1869</v>
      </c>
      <c r="L799" t="s">
        <v>1869</v>
      </c>
      <c r="M799" s="11" t="s">
        <v>3918</v>
      </c>
      <c r="N799" t="s">
        <v>1860</v>
      </c>
      <c r="P799" s="15" t="str">
        <f t="shared" ca="1" si="24"/>
        <v>50-74.9K</v>
      </c>
      <c r="Q799" s="15">
        <v>5</v>
      </c>
      <c r="S799">
        <v>4</v>
      </c>
      <c r="U799">
        <v>2</v>
      </c>
      <c r="V799" s="15">
        <f t="shared" ca="1" si="25"/>
        <v>4</v>
      </c>
    </row>
    <row r="800" spans="1:22">
      <c r="A800" t="s">
        <v>2202</v>
      </c>
      <c r="B800" s="1">
        <v>41055.030277777776</v>
      </c>
      <c r="C800" s="2">
        <v>53000</v>
      </c>
      <c r="D800">
        <v>53000</v>
      </c>
      <c r="E800" t="s">
        <v>1856</v>
      </c>
      <c r="F800" s="5">
        <v>53000</v>
      </c>
      <c r="G800" s="5">
        <v>53000</v>
      </c>
      <c r="H800" s="5">
        <f ca="1">OFFSET(F800,0,Brains!$D$1,1,1)</f>
        <v>53000</v>
      </c>
      <c r="I800" t="s">
        <v>2099</v>
      </c>
      <c r="J800" t="s">
        <v>1858</v>
      </c>
      <c r="K800" t="s">
        <v>1869</v>
      </c>
      <c r="L800" t="s">
        <v>1869</v>
      </c>
      <c r="M800" s="11" t="s">
        <v>3918</v>
      </c>
      <c r="N800" t="s">
        <v>1860</v>
      </c>
      <c r="P800" s="15" t="str">
        <f t="shared" ca="1" si="24"/>
        <v>50-74.9K</v>
      </c>
      <c r="Q800" s="15">
        <v>5</v>
      </c>
      <c r="S800">
        <v>4</v>
      </c>
      <c r="U800">
        <v>2</v>
      </c>
      <c r="V800" s="15">
        <f t="shared" ca="1" si="25"/>
        <v>4</v>
      </c>
    </row>
    <row r="801" spans="1:22">
      <c r="A801" t="s">
        <v>2525</v>
      </c>
      <c r="B801" s="1">
        <v>41055.05746527778</v>
      </c>
      <c r="C801" s="2">
        <v>53000</v>
      </c>
      <c r="D801">
        <v>53000</v>
      </c>
      <c r="E801" t="s">
        <v>1856</v>
      </c>
      <c r="F801" s="5">
        <v>53000</v>
      </c>
      <c r="G801" s="5">
        <v>53000</v>
      </c>
      <c r="H801" s="5">
        <f ca="1">OFFSET(F801,0,Brains!$D$1,1,1)</f>
        <v>53000</v>
      </c>
      <c r="I801" t="s">
        <v>2099</v>
      </c>
      <c r="J801" t="s">
        <v>1858</v>
      </c>
      <c r="K801" t="s">
        <v>1869</v>
      </c>
      <c r="L801" t="s">
        <v>1869</v>
      </c>
      <c r="M801" s="11" t="s">
        <v>3918</v>
      </c>
      <c r="N801" t="s">
        <v>1860</v>
      </c>
      <c r="P801" s="15" t="str">
        <f t="shared" ca="1" si="24"/>
        <v>50-74.9K</v>
      </c>
      <c r="Q801" s="15">
        <v>5</v>
      </c>
      <c r="S801">
        <v>4</v>
      </c>
      <c r="U801">
        <v>2</v>
      </c>
      <c r="V801" s="15">
        <f t="shared" ca="1" si="25"/>
        <v>4</v>
      </c>
    </row>
    <row r="802" spans="1:22">
      <c r="A802" t="s">
        <v>2385</v>
      </c>
      <c r="B802" s="1">
        <v>41055.042256944442</v>
      </c>
      <c r="C802" s="2" t="s">
        <v>2386</v>
      </c>
      <c r="D802">
        <v>52500</v>
      </c>
      <c r="E802" t="s">
        <v>1856</v>
      </c>
      <c r="F802" s="5">
        <v>52500</v>
      </c>
      <c r="G802" s="5">
        <v>52500</v>
      </c>
      <c r="H802" s="5">
        <f ca="1">OFFSET(F802,0,Brains!$D$1,1,1)</f>
        <v>52500</v>
      </c>
      <c r="I802" t="s">
        <v>2387</v>
      </c>
      <c r="J802" t="s">
        <v>1858</v>
      </c>
      <c r="K802" t="s">
        <v>1869</v>
      </c>
      <c r="L802" t="s">
        <v>1869</v>
      </c>
      <c r="M802" s="11" t="s">
        <v>3918</v>
      </c>
      <c r="N802" t="s">
        <v>1860</v>
      </c>
      <c r="P802" s="15" t="str">
        <f t="shared" ca="1" si="24"/>
        <v>50-74.9K</v>
      </c>
      <c r="Q802" s="15">
        <v>5</v>
      </c>
      <c r="S802">
        <v>4</v>
      </c>
      <c r="U802">
        <v>2</v>
      </c>
      <c r="V802" s="15">
        <f t="shared" ca="1" si="25"/>
        <v>4</v>
      </c>
    </row>
    <row r="803" spans="1:22">
      <c r="A803" t="s">
        <v>2420</v>
      </c>
      <c r="B803" s="1">
        <v>41055.045347222222</v>
      </c>
      <c r="C803" s="2">
        <v>52500</v>
      </c>
      <c r="D803">
        <v>52500</v>
      </c>
      <c r="E803" t="s">
        <v>1856</v>
      </c>
      <c r="F803" s="5">
        <v>52500</v>
      </c>
      <c r="G803" s="5">
        <v>52500</v>
      </c>
      <c r="H803" s="5">
        <f ca="1">OFFSET(F803,0,Brains!$D$1,1,1)</f>
        <v>52500</v>
      </c>
      <c r="I803" t="s">
        <v>1858</v>
      </c>
      <c r="J803" t="s">
        <v>1858</v>
      </c>
      <c r="K803" t="s">
        <v>1869</v>
      </c>
      <c r="L803" t="s">
        <v>1869</v>
      </c>
      <c r="M803" s="11" t="s">
        <v>3918</v>
      </c>
      <c r="N803" t="s">
        <v>1860</v>
      </c>
      <c r="P803" s="15" t="str">
        <f t="shared" ca="1" si="24"/>
        <v>50-74.9K</v>
      </c>
      <c r="Q803" s="15">
        <v>5</v>
      </c>
      <c r="S803">
        <v>4</v>
      </c>
      <c r="U803">
        <v>2</v>
      </c>
      <c r="V803" s="15">
        <f t="shared" ca="1" si="25"/>
        <v>4</v>
      </c>
    </row>
    <row r="804" spans="1:22">
      <c r="A804" t="s">
        <v>2737</v>
      </c>
      <c r="B804" s="1">
        <v>41055.088761574072</v>
      </c>
      <c r="C804" s="2">
        <v>52000</v>
      </c>
      <c r="D804">
        <v>52000</v>
      </c>
      <c r="E804" t="s">
        <v>1856</v>
      </c>
      <c r="F804" s="5">
        <v>52000</v>
      </c>
      <c r="G804" s="5">
        <v>52000</v>
      </c>
      <c r="H804" s="5">
        <f ca="1">OFFSET(F804,0,Brains!$D$1,1,1)</f>
        <v>52000</v>
      </c>
      <c r="I804" t="s">
        <v>2099</v>
      </c>
      <c r="J804" t="s">
        <v>1858</v>
      </c>
      <c r="K804" t="s">
        <v>1869</v>
      </c>
      <c r="L804" t="s">
        <v>1869</v>
      </c>
      <c r="M804" s="11" t="s">
        <v>3918</v>
      </c>
      <c r="N804" t="s">
        <v>1860</v>
      </c>
      <c r="P804" s="15" t="str">
        <f t="shared" ca="1" si="24"/>
        <v>50-74.9K</v>
      </c>
      <c r="Q804" s="15">
        <v>5</v>
      </c>
      <c r="S804">
        <v>4</v>
      </c>
      <c r="U804">
        <v>2</v>
      </c>
      <c r="V804" s="15">
        <f t="shared" ca="1" si="25"/>
        <v>4</v>
      </c>
    </row>
    <row r="805" spans="1:22">
      <c r="A805" t="s">
        <v>2902</v>
      </c>
      <c r="B805" s="1">
        <v>41055.140659722223</v>
      </c>
      <c r="C805" s="2">
        <v>52000</v>
      </c>
      <c r="D805">
        <v>52000</v>
      </c>
      <c r="E805" t="s">
        <v>1856</v>
      </c>
      <c r="F805" s="5">
        <v>52000</v>
      </c>
      <c r="G805" s="5">
        <v>52000</v>
      </c>
      <c r="H805" s="5">
        <f ca="1">OFFSET(F805,0,Brains!$D$1,1,1)</f>
        <v>52000</v>
      </c>
      <c r="I805" t="s">
        <v>2903</v>
      </c>
      <c r="J805" t="s">
        <v>1858</v>
      </c>
      <c r="K805" t="s">
        <v>1869</v>
      </c>
      <c r="L805" t="s">
        <v>1869</v>
      </c>
      <c r="M805" s="11" t="s">
        <v>3918</v>
      </c>
      <c r="N805" t="s">
        <v>1860</v>
      </c>
      <c r="P805" s="15" t="str">
        <f t="shared" ca="1" si="24"/>
        <v>50-74.9K</v>
      </c>
      <c r="Q805" s="15">
        <v>5</v>
      </c>
      <c r="S805">
        <v>4</v>
      </c>
      <c r="U805">
        <v>2</v>
      </c>
      <c r="V805" s="15">
        <f t="shared" ca="1" si="25"/>
        <v>4</v>
      </c>
    </row>
    <row r="806" spans="1:22">
      <c r="A806" t="s">
        <v>1989</v>
      </c>
      <c r="B806" s="1">
        <v>41054.241087962961</v>
      </c>
      <c r="C806" s="2">
        <v>32000</v>
      </c>
      <c r="D806">
        <v>32000</v>
      </c>
      <c r="E806" t="s">
        <v>1954</v>
      </c>
      <c r="F806" s="5">
        <v>50437.70470615309</v>
      </c>
      <c r="G806" s="5">
        <v>47477.744807121657</v>
      </c>
      <c r="H806" s="5">
        <f ca="1">OFFSET(F806,0,Brains!$D$1,1,1)</f>
        <v>47477.744807121657</v>
      </c>
      <c r="I806" t="s">
        <v>1990</v>
      </c>
      <c r="J806" t="s">
        <v>1858</v>
      </c>
      <c r="K806" t="s">
        <v>1956</v>
      </c>
      <c r="L806" t="s">
        <v>1956</v>
      </c>
      <c r="M806" s="11" t="s">
        <v>3918</v>
      </c>
      <c r="N806" t="s">
        <v>1860</v>
      </c>
      <c r="P806" s="15" t="str">
        <f t="shared" ca="1" si="24"/>
        <v>30-49.9K</v>
      </c>
      <c r="Q806" s="15">
        <v>5</v>
      </c>
      <c r="S806">
        <v>4</v>
      </c>
      <c r="U806">
        <v>2</v>
      </c>
      <c r="V806" s="15">
        <f t="shared" ca="1" si="25"/>
        <v>3</v>
      </c>
    </row>
    <row r="807" spans="1:22">
      <c r="A807" t="s">
        <v>2839</v>
      </c>
      <c r="B807" s="1">
        <v>41055.121840277781</v>
      </c>
      <c r="C807" s="2">
        <v>50000</v>
      </c>
      <c r="D807">
        <v>50000</v>
      </c>
      <c r="E807" t="s">
        <v>1856</v>
      </c>
      <c r="F807" s="5">
        <v>50000</v>
      </c>
      <c r="G807" s="5">
        <v>50000</v>
      </c>
      <c r="H807" s="5">
        <f ca="1">OFFSET(F807,0,Brains!$D$1,1,1)</f>
        <v>50000</v>
      </c>
      <c r="I807" t="s">
        <v>2840</v>
      </c>
      <c r="J807" t="s">
        <v>1858</v>
      </c>
      <c r="K807" t="s">
        <v>1869</v>
      </c>
      <c r="L807" t="s">
        <v>1869</v>
      </c>
      <c r="M807" s="11" t="s">
        <v>3918</v>
      </c>
      <c r="N807" t="s">
        <v>1860</v>
      </c>
      <c r="P807" s="15" t="str">
        <f t="shared" ca="1" si="24"/>
        <v>50-74.9K</v>
      </c>
      <c r="Q807" s="15">
        <v>5</v>
      </c>
      <c r="S807">
        <v>4</v>
      </c>
      <c r="U807">
        <v>2</v>
      </c>
      <c r="V807" s="15">
        <f t="shared" ca="1" si="25"/>
        <v>4</v>
      </c>
    </row>
    <row r="808" spans="1:22">
      <c r="A808" t="s">
        <v>2884</v>
      </c>
      <c r="B808" s="1">
        <v>41055.135428240741</v>
      </c>
      <c r="C808" s="2">
        <v>50000</v>
      </c>
      <c r="D808">
        <v>50000</v>
      </c>
      <c r="E808" t="s">
        <v>1856</v>
      </c>
      <c r="F808" s="5">
        <v>50000</v>
      </c>
      <c r="G808" s="5">
        <v>50000</v>
      </c>
      <c r="H808" s="5">
        <f ca="1">OFFSET(F808,0,Brains!$D$1,1,1)</f>
        <v>50000</v>
      </c>
      <c r="I808" t="s">
        <v>2885</v>
      </c>
      <c r="J808" t="s">
        <v>1858</v>
      </c>
      <c r="K808" t="s">
        <v>1869</v>
      </c>
      <c r="L808" t="s">
        <v>1869</v>
      </c>
      <c r="M808" s="11" t="s">
        <v>3918</v>
      </c>
      <c r="N808" t="s">
        <v>1860</v>
      </c>
      <c r="P808" s="15" t="str">
        <f t="shared" ca="1" si="24"/>
        <v>50-74.9K</v>
      </c>
      <c r="Q808" s="15">
        <v>5</v>
      </c>
      <c r="S808">
        <v>4</v>
      </c>
      <c r="U808">
        <v>2</v>
      </c>
      <c r="V808" s="15">
        <f t="shared" ca="1" si="25"/>
        <v>4</v>
      </c>
    </row>
    <row r="809" spans="1:22">
      <c r="A809" t="s">
        <v>2918</v>
      </c>
      <c r="B809" s="1">
        <v>41055.146921296298</v>
      </c>
      <c r="C809" s="2">
        <v>50000</v>
      </c>
      <c r="D809">
        <v>50000</v>
      </c>
      <c r="E809" t="s">
        <v>1856</v>
      </c>
      <c r="F809" s="5">
        <v>50000</v>
      </c>
      <c r="G809" s="5">
        <v>50000</v>
      </c>
      <c r="H809" s="5">
        <f ca="1">OFFSET(F809,0,Brains!$D$1,1,1)</f>
        <v>50000</v>
      </c>
      <c r="I809" t="s">
        <v>2919</v>
      </c>
      <c r="J809" t="s">
        <v>1858</v>
      </c>
      <c r="K809" t="s">
        <v>1869</v>
      </c>
      <c r="L809" t="s">
        <v>1869</v>
      </c>
      <c r="M809" s="11" t="s">
        <v>3918</v>
      </c>
      <c r="N809" t="s">
        <v>1860</v>
      </c>
      <c r="P809" s="15" t="str">
        <f t="shared" ca="1" si="24"/>
        <v>50-74.9K</v>
      </c>
      <c r="Q809" s="15">
        <v>5</v>
      </c>
      <c r="S809">
        <v>4</v>
      </c>
      <c r="U809">
        <v>2</v>
      </c>
      <c r="V809" s="15">
        <f t="shared" ca="1" si="25"/>
        <v>4</v>
      </c>
    </row>
    <row r="810" spans="1:22">
      <c r="A810" t="s">
        <v>3023</v>
      </c>
      <c r="B810" s="1">
        <v>41055.225185185183</v>
      </c>
      <c r="C810" s="2">
        <v>50000</v>
      </c>
      <c r="D810">
        <v>50000</v>
      </c>
      <c r="E810" t="s">
        <v>1856</v>
      </c>
      <c r="F810" s="5">
        <v>50000</v>
      </c>
      <c r="G810" s="5">
        <v>50000</v>
      </c>
      <c r="H810" s="5">
        <f ca="1">OFFSET(F810,0,Brains!$D$1,1,1)</f>
        <v>50000</v>
      </c>
      <c r="I810" t="s">
        <v>3024</v>
      </c>
      <c r="J810" t="s">
        <v>1858</v>
      </c>
      <c r="K810" t="s">
        <v>3025</v>
      </c>
      <c r="L810" s="7" t="s">
        <v>1869</v>
      </c>
      <c r="M810" s="11" t="s">
        <v>3918</v>
      </c>
      <c r="N810" t="s">
        <v>1860</v>
      </c>
      <c r="P810" s="15" t="str">
        <f t="shared" ca="1" si="24"/>
        <v>50-74.9K</v>
      </c>
      <c r="Q810" s="15">
        <v>5</v>
      </c>
      <c r="S810">
        <v>4</v>
      </c>
      <c r="U810">
        <v>2</v>
      </c>
      <c r="V810" s="15">
        <f t="shared" ca="1" si="25"/>
        <v>4</v>
      </c>
    </row>
    <row r="811" spans="1:22">
      <c r="A811" t="s">
        <v>2417</v>
      </c>
      <c r="B811" s="1">
        <v>41055.045023148145</v>
      </c>
      <c r="C811" s="2">
        <v>47700</v>
      </c>
      <c r="D811">
        <v>47700</v>
      </c>
      <c r="E811" t="s">
        <v>1856</v>
      </c>
      <c r="F811" s="5">
        <v>47700</v>
      </c>
      <c r="G811" s="5">
        <v>47700</v>
      </c>
      <c r="H811" s="5">
        <f ca="1">OFFSET(F811,0,Brains!$D$1,1,1)</f>
        <v>47700</v>
      </c>
      <c r="I811" t="s">
        <v>2418</v>
      </c>
      <c r="J811" t="s">
        <v>1858</v>
      </c>
      <c r="K811" t="s">
        <v>1869</v>
      </c>
      <c r="L811" t="s">
        <v>1869</v>
      </c>
      <c r="M811" s="11" t="s">
        <v>3918</v>
      </c>
      <c r="N811" t="s">
        <v>1860</v>
      </c>
      <c r="P811" s="15" t="str">
        <f t="shared" ca="1" si="24"/>
        <v>30-49.9K</v>
      </c>
      <c r="Q811" s="15">
        <v>5</v>
      </c>
      <c r="S811">
        <v>4</v>
      </c>
      <c r="U811">
        <v>2</v>
      </c>
      <c r="V811" s="15">
        <f t="shared" ca="1" si="25"/>
        <v>3</v>
      </c>
    </row>
    <row r="812" spans="1:22">
      <c r="A812" t="s">
        <v>2265</v>
      </c>
      <c r="B812" s="1">
        <v>41055.033888888887</v>
      </c>
      <c r="C812" s="2">
        <v>46584</v>
      </c>
      <c r="D812">
        <v>46584</v>
      </c>
      <c r="E812" t="s">
        <v>1856</v>
      </c>
      <c r="F812" s="5">
        <v>46584</v>
      </c>
      <c r="G812" s="5">
        <v>46584</v>
      </c>
      <c r="H812" s="5">
        <f ca="1">OFFSET(F812,0,Brains!$D$1,1,1)</f>
        <v>46584</v>
      </c>
      <c r="I812" t="s">
        <v>2266</v>
      </c>
      <c r="J812" t="s">
        <v>1858</v>
      </c>
      <c r="K812" t="s">
        <v>1869</v>
      </c>
      <c r="L812" t="s">
        <v>1869</v>
      </c>
      <c r="M812" s="11" t="s">
        <v>3918</v>
      </c>
      <c r="N812" t="s">
        <v>1860</v>
      </c>
      <c r="P812" s="15" t="str">
        <f t="shared" ca="1" si="24"/>
        <v>30-49.9K</v>
      </c>
      <c r="Q812" s="15">
        <v>5</v>
      </c>
      <c r="S812">
        <v>4</v>
      </c>
      <c r="U812">
        <v>2</v>
      </c>
      <c r="V812" s="15">
        <f t="shared" ca="1" si="25"/>
        <v>3</v>
      </c>
    </row>
    <row r="813" spans="1:22">
      <c r="A813" t="s">
        <v>2691</v>
      </c>
      <c r="B813" s="1">
        <v>41055.08315972222</v>
      </c>
      <c r="C813" s="2" t="s">
        <v>2692</v>
      </c>
      <c r="D813">
        <v>46000</v>
      </c>
      <c r="E813" t="s">
        <v>1856</v>
      </c>
      <c r="F813" s="5">
        <v>46000</v>
      </c>
      <c r="G813" s="5">
        <v>46000</v>
      </c>
      <c r="H813" s="5">
        <f ca="1">OFFSET(F813,0,Brains!$D$1,1,1)</f>
        <v>46000</v>
      </c>
      <c r="I813" t="s">
        <v>2693</v>
      </c>
      <c r="J813" t="s">
        <v>1858</v>
      </c>
      <c r="K813" t="s">
        <v>1869</v>
      </c>
      <c r="L813" t="s">
        <v>1869</v>
      </c>
      <c r="M813" s="11" t="s">
        <v>3918</v>
      </c>
      <c r="N813" t="s">
        <v>1860</v>
      </c>
      <c r="P813" s="15" t="str">
        <f t="shared" ca="1" si="24"/>
        <v>30-49.9K</v>
      </c>
      <c r="Q813" s="15">
        <v>5</v>
      </c>
      <c r="S813">
        <v>4</v>
      </c>
      <c r="U813">
        <v>2</v>
      </c>
      <c r="V813" s="15">
        <f t="shared" ca="1" si="25"/>
        <v>3</v>
      </c>
    </row>
    <row r="814" spans="1:22">
      <c r="A814" t="s">
        <v>2570</v>
      </c>
      <c r="B814" s="1">
        <v>41055.0622337963</v>
      </c>
      <c r="C814" s="2" t="s">
        <v>2571</v>
      </c>
      <c r="D814">
        <v>29000</v>
      </c>
      <c r="E814" t="s">
        <v>1954</v>
      </c>
      <c r="F814" s="5">
        <v>45709.169889951241</v>
      </c>
      <c r="G814" s="5">
        <v>43026.706231454002</v>
      </c>
      <c r="H814" s="5">
        <f ca="1">OFFSET(F814,0,Brains!$D$1,1,1)</f>
        <v>43026.706231454002</v>
      </c>
      <c r="I814" t="s">
        <v>2572</v>
      </c>
      <c r="J814" t="s">
        <v>1858</v>
      </c>
      <c r="K814" t="s">
        <v>1956</v>
      </c>
      <c r="L814" t="s">
        <v>1956</v>
      </c>
      <c r="M814" s="11" t="s">
        <v>3918</v>
      </c>
      <c r="N814" t="s">
        <v>1860</v>
      </c>
      <c r="P814" s="15" t="str">
        <f t="shared" ca="1" si="24"/>
        <v>30-49.9K</v>
      </c>
      <c r="Q814" s="15">
        <v>5</v>
      </c>
      <c r="S814">
        <v>4</v>
      </c>
      <c r="U814">
        <v>2</v>
      </c>
      <c r="V814" s="15">
        <f t="shared" ca="1" si="25"/>
        <v>3</v>
      </c>
    </row>
    <row r="815" spans="1:22">
      <c r="A815" t="s">
        <v>2179</v>
      </c>
      <c r="B815" s="1">
        <v>41055.029699074075</v>
      </c>
      <c r="C815" s="2">
        <v>45000</v>
      </c>
      <c r="D815">
        <v>45000</v>
      </c>
      <c r="E815" t="s">
        <v>1856</v>
      </c>
      <c r="F815" s="5">
        <v>45000</v>
      </c>
      <c r="G815" s="5">
        <v>45000</v>
      </c>
      <c r="H815" s="5">
        <f ca="1">OFFSET(F815,0,Brains!$D$1,1,1)</f>
        <v>45000</v>
      </c>
      <c r="I815" t="s">
        <v>2180</v>
      </c>
      <c r="J815" t="s">
        <v>1858</v>
      </c>
      <c r="K815" t="s">
        <v>1869</v>
      </c>
      <c r="L815" t="s">
        <v>1869</v>
      </c>
      <c r="M815" s="11" t="s">
        <v>3918</v>
      </c>
      <c r="N815" t="s">
        <v>1860</v>
      </c>
      <c r="P815" s="15" t="str">
        <f t="shared" ca="1" si="24"/>
        <v>30-49.9K</v>
      </c>
      <c r="Q815" s="15">
        <v>5</v>
      </c>
      <c r="S815">
        <v>4</v>
      </c>
      <c r="U815">
        <v>2</v>
      </c>
      <c r="V815" s="15">
        <f t="shared" ca="1" si="25"/>
        <v>3</v>
      </c>
    </row>
    <row r="816" spans="1:22">
      <c r="A816" t="s">
        <v>2508</v>
      </c>
      <c r="B816" s="1">
        <v>41055.055115740739</v>
      </c>
      <c r="C816" s="2">
        <v>45000</v>
      </c>
      <c r="D816">
        <v>45000</v>
      </c>
      <c r="E816" t="s">
        <v>1856</v>
      </c>
      <c r="F816" s="5">
        <v>45000</v>
      </c>
      <c r="G816" s="5">
        <v>45000</v>
      </c>
      <c r="H816" s="5">
        <f ca="1">OFFSET(F816,0,Brains!$D$1,1,1)</f>
        <v>45000</v>
      </c>
      <c r="I816" t="s">
        <v>2509</v>
      </c>
      <c r="J816" t="s">
        <v>1858</v>
      </c>
      <c r="K816" t="s">
        <v>1869</v>
      </c>
      <c r="L816" t="s">
        <v>1869</v>
      </c>
      <c r="M816" s="11" t="s">
        <v>3918</v>
      </c>
      <c r="N816" t="s">
        <v>1860</v>
      </c>
      <c r="P816" s="15" t="str">
        <f t="shared" ca="1" si="24"/>
        <v>30-49.9K</v>
      </c>
      <c r="Q816" s="15">
        <v>5</v>
      </c>
      <c r="S816">
        <v>4</v>
      </c>
      <c r="U816">
        <v>2</v>
      </c>
      <c r="V816" s="15">
        <f t="shared" ca="1" si="25"/>
        <v>3</v>
      </c>
    </row>
    <row r="817" spans="1:22">
      <c r="A817" t="s">
        <v>2868</v>
      </c>
      <c r="B817" s="1">
        <v>41055.130393518521</v>
      </c>
      <c r="C817" s="2">
        <v>45000</v>
      </c>
      <c r="D817">
        <v>45000</v>
      </c>
      <c r="E817" t="s">
        <v>1856</v>
      </c>
      <c r="F817" s="5">
        <v>45000</v>
      </c>
      <c r="G817" s="5">
        <v>45000</v>
      </c>
      <c r="H817" s="5">
        <f ca="1">OFFSET(F817,0,Brains!$D$1,1,1)</f>
        <v>45000</v>
      </c>
      <c r="I817" t="s">
        <v>1858</v>
      </c>
      <c r="J817" t="s">
        <v>1858</v>
      </c>
      <c r="K817" t="s">
        <v>1869</v>
      </c>
      <c r="L817" t="s">
        <v>1869</v>
      </c>
      <c r="M817" s="11" t="s">
        <v>3918</v>
      </c>
      <c r="N817" t="s">
        <v>1860</v>
      </c>
      <c r="P817" s="15" t="str">
        <f t="shared" ca="1" si="24"/>
        <v>30-49.9K</v>
      </c>
      <c r="Q817" s="15">
        <v>5</v>
      </c>
      <c r="S817">
        <v>4</v>
      </c>
      <c r="U817">
        <v>2</v>
      </c>
      <c r="V817" s="15">
        <f t="shared" ca="1" si="25"/>
        <v>3</v>
      </c>
    </row>
    <row r="818" spans="1:22">
      <c r="A818" t="s">
        <v>2349</v>
      </c>
      <c r="B818" s="1">
        <v>41055.038773148146</v>
      </c>
      <c r="C818" s="2">
        <v>42140</v>
      </c>
      <c r="D818">
        <v>42140</v>
      </c>
      <c r="E818" t="s">
        <v>1856</v>
      </c>
      <c r="F818" s="5">
        <v>42140</v>
      </c>
      <c r="G818" s="5">
        <v>42140</v>
      </c>
      <c r="H818" s="5">
        <f ca="1">OFFSET(F818,0,Brains!$D$1,1,1)</f>
        <v>42140</v>
      </c>
      <c r="I818" t="s">
        <v>2350</v>
      </c>
      <c r="J818" t="s">
        <v>1858</v>
      </c>
      <c r="K818" t="s">
        <v>1869</v>
      </c>
      <c r="L818" t="s">
        <v>1869</v>
      </c>
      <c r="M818" s="11" t="s">
        <v>3918</v>
      </c>
      <c r="N818" t="s">
        <v>1860</v>
      </c>
      <c r="P818" s="15" t="str">
        <f t="shared" ca="1" si="24"/>
        <v>30-49.9K</v>
      </c>
      <c r="Q818" s="15">
        <v>5</v>
      </c>
      <c r="S818">
        <v>4</v>
      </c>
      <c r="U818">
        <v>2</v>
      </c>
      <c r="V818" s="15">
        <f t="shared" ca="1" si="25"/>
        <v>3</v>
      </c>
    </row>
    <row r="819" spans="1:22">
      <c r="A819" t="s">
        <v>2089</v>
      </c>
      <c r="B819" s="1">
        <v>41055.027407407404</v>
      </c>
      <c r="C819" s="2">
        <v>42000</v>
      </c>
      <c r="D819">
        <v>42000</v>
      </c>
      <c r="E819" t="s">
        <v>1979</v>
      </c>
      <c r="F819" s="5">
        <v>41301.183967273726</v>
      </c>
      <c r="G819" s="5">
        <v>33626.901521216969</v>
      </c>
      <c r="H819" s="5">
        <f ca="1">OFFSET(F819,0,Brains!$D$1,1,1)</f>
        <v>33626.901521216969</v>
      </c>
      <c r="I819" t="s">
        <v>2090</v>
      </c>
      <c r="J819" t="s">
        <v>1858</v>
      </c>
      <c r="K819" t="s">
        <v>1981</v>
      </c>
      <c r="L819" t="s">
        <v>1981</v>
      </c>
      <c r="M819" s="11" t="s">
        <v>3918</v>
      </c>
      <c r="N819" t="s">
        <v>1860</v>
      </c>
      <c r="P819" s="15" t="str">
        <f t="shared" ca="1" si="24"/>
        <v>30-49.9K</v>
      </c>
      <c r="Q819" s="15">
        <v>5</v>
      </c>
      <c r="S819">
        <v>4</v>
      </c>
      <c r="U819">
        <v>2</v>
      </c>
      <c r="V819" s="15">
        <f t="shared" ca="1" si="25"/>
        <v>3</v>
      </c>
    </row>
    <row r="820" spans="1:22">
      <c r="A820" t="s">
        <v>2543</v>
      </c>
      <c r="B820" s="1">
        <v>41055.05908564815</v>
      </c>
      <c r="C820" s="2">
        <v>41000</v>
      </c>
      <c r="D820">
        <v>41000</v>
      </c>
      <c r="E820" t="s">
        <v>1856</v>
      </c>
      <c r="F820" s="5">
        <v>41000</v>
      </c>
      <c r="G820" s="5">
        <v>41000</v>
      </c>
      <c r="H820" s="5">
        <f ca="1">OFFSET(F820,0,Brains!$D$1,1,1)</f>
        <v>41000</v>
      </c>
      <c r="I820" t="s">
        <v>2544</v>
      </c>
      <c r="J820" t="s">
        <v>1858</v>
      </c>
      <c r="K820" t="s">
        <v>1869</v>
      </c>
      <c r="L820" t="s">
        <v>1869</v>
      </c>
      <c r="M820" s="11" t="s">
        <v>3918</v>
      </c>
      <c r="N820" t="s">
        <v>1860</v>
      </c>
      <c r="P820" s="15" t="str">
        <f t="shared" ca="1" si="24"/>
        <v>30-49.9K</v>
      </c>
      <c r="Q820" s="15">
        <v>5</v>
      </c>
      <c r="S820">
        <v>4</v>
      </c>
      <c r="U820">
        <v>2</v>
      </c>
      <c r="V820" s="15">
        <f t="shared" ca="1" si="25"/>
        <v>3</v>
      </c>
    </row>
    <row r="821" spans="1:22">
      <c r="A821" t="s">
        <v>2087</v>
      </c>
      <c r="B821" s="1">
        <v>41055.027129629627</v>
      </c>
      <c r="C821" s="2">
        <v>40000</v>
      </c>
      <c r="D821">
        <v>40000</v>
      </c>
      <c r="E821" t="s">
        <v>1856</v>
      </c>
      <c r="F821" s="5">
        <v>40000</v>
      </c>
      <c r="G821" s="5">
        <v>40000</v>
      </c>
      <c r="H821" s="5">
        <f ca="1">OFFSET(F821,0,Brains!$D$1,1,1)</f>
        <v>40000</v>
      </c>
      <c r="I821" t="s">
        <v>2088</v>
      </c>
      <c r="J821" t="s">
        <v>1858</v>
      </c>
      <c r="K821" t="s">
        <v>1869</v>
      </c>
      <c r="L821" t="s">
        <v>1869</v>
      </c>
      <c r="M821" s="11" t="s">
        <v>3918</v>
      </c>
      <c r="N821" t="s">
        <v>1860</v>
      </c>
      <c r="P821" s="15" t="str">
        <f t="shared" ca="1" si="24"/>
        <v>30-49.9K</v>
      </c>
      <c r="Q821" s="15">
        <v>5</v>
      </c>
      <c r="S821">
        <v>4</v>
      </c>
      <c r="U821">
        <v>2</v>
      </c>
      <c r="V821" s="15">
        <f t="shared" ca="1" si="25"/>
        <v>3</v>
      </c>
    </row>
    <row r="822" spans="1:22">
      <c r="A822" t="s">
        <v>2106</v>
      </c>
      <c r="B822" s="1">
        <v>41055.028229166666</v>
      </c>
      <c r="C822" s="2">
        <v>40000</v>
      </c>
      <c r="D822">
        <v>40000</v>
      </c>
      <c r="E822" t="s">
        <v>1856</v>
      </c>
      <c r="F822" s="5">
        <v>40000</v>
      </c>
      <c r="G822" s="5">
        <v>40000</v>
      </c>
      <c r="H822" s="5">
        <f ca="1">OFFSET(F822,0,Brains!$D$1,1,1)</f>
        <v>40000</v>
      </c>
      <c r="I822" t="s">
        <v>2107</v>
      </c>
      <c r="J822" t="s">
        <v>1858</v>
      </c>
      <c r="K822" t="s">
        <v>1869</v>
      </c>
      <c r="L822" t="s">
        <v>1869</v>
      </c>
      <c r="M822" s="11" t="s">
        <v>3918</v>
      </c>
      <c r="N822" t="s">
        <v>1860</v>
      </c>
      <c r="P822" s="15" t="str">
        <f t="shared" ca="1" si="24"/>
        <v>30-49.9K</v>
      </c>
      <c r="Q822" s="15">
        <v>5</v>
      </c>
      <c r="S822">
        <v>4</v>
      </c>
      <c r="U822">
        <v>2</v>
      </c>
      <c r="V822" s="15">
        <f t="shared" ca="1" si="25"/>
        <v>3</v>
      </c>
    </row>
    <row r="823" spans="1:22">
      <c r="A823" t="s">
        <v>2194</v>
      </c>
      <c r="B823" s="1">
        <v>41055.030173611114</v>
      </c>
      <c r="C823" s="2">
        <v>40000</v>
      </c>
      <c r="D823">
        <v>40000</v>
      </c>
      <c r="E823" t="s">
        <v>1856</v>
      </c>
      <c r="F823" s="5">
        <v>40000</v>
      </c>
      <c r="G823" s="5">
        <v>40000</v>
      </c>
      <c r="H823" s="5">
        <f ca="1">OFFSET(F823,0,Brains!$D$1,1,1)</f>
        <v>40000</v>
      </c>
      <c r="I823" t="s">
        <v>2195</v>
      </c>
      <c r="J823" t="s">
        <v>1858</v>
      </c>
      <c r="K823" t="s">
        <v>1869</v>
      </c>
      <c r="L823" t="s">
        <v>1869</v>
      </c>
      <c r="M823" s="11" t="s">
        <v>3918</v>
      </c>
      <c r="N823" t="s">
        <v>1860</v>
      </c>
      <c r="P823" s="15" t="str">
        <f t="shared" ca="1" si="24"/>
        <v>30-49.9K</v>
      </c>
      <c r="Q823" s="15">
        <v>5</v>
      </c>
      <c r="S823">
        <v>4</v>
      </c>
      <c r="U823">
        <v>2</v>
      </c>
      <c r="V823" s="15">
        <f t="shared" ca="1" si="25"/>
        <v>3</v>
      </c>
    </row>
    <row r="824" spans="1:22">
      <c r="A824" t="s">
        <v>2289</v>
      </c>
      <c r="B824" s="1">
        <v>41055.035092592596</v>
      </c>
      <c r="C824" s="2">
        <v>40000</v>
      </c>
      <c r="D824">
        <v>40000</v>
      </c>
      <c r="E824" t="s">
        <v>1856</v>
      </c>
      <c r="F824" s="5">
        <v>40000</v>
      </c>
      <c r="G824" s="5">
        <v>40000</v>
      </c>
      <c r="H824" s="5">
        <f ca="1">OFFSET(F824,0,Brains!$D$1,1,1)</f>
        <v>40000</v>
      </c>
      <c r="I824" t="s">
        <v>2290</v>
      </c>
      <c r="J824" t="s">
        <v>1858</v>
      </c>
      <c r="K824" t="s">
        <v>1869</v>
      </c>
      <c r="L824" t="s">
        <v>1869</v>
      </c>
      <c r="M824" s="11" t="s">
        <v>3918</v>
      </c>
      <c r="N824" t="s">
        <v>1860</v>
      </c>
      <c r="P824" s="15" t="str">
        <f t="shared" ca="1" si="24"/>
        <v>30-49.9K</v>
      </c>
      <c r="Q824" s="15">
        <v>5</v>
      </c>
      <c r="S824">
        <v>4</v>
      </c>
      <c r="U824">
        <v>2</v>
      </c>
      <c r="V824" s="15">
        <f t="shared" ca="1" si="25"/>
        <v>3</v>
      </c>
    </row>
    <row r="825" spans="1:22">
      <c r="A825" t="s">
        <v>2459</v>
      </c>
      <c r="B825" s="1">
        <v>41055.048564814817</v>
      </c>
      <c r="C825" s="2">
        <v>40000</v>
      </c>
      <c r="D825">
        <v>40000</v>
      </c>
      <c r="E825" t="s">
        <v>1856</v>
      </c>
      <c r="F825" s="5">
        <v>40000</v>
      </c>
      <c r="G825" s="5">
        <v>40000</v>
      </c>
      <c r="H825" s="5">
        <f ca="1">OFFSET(F825,0,Brains!$D$1,1,1)</f>
        <v>40000</v>
      </c>
      <c r="I825" t="s">
        <v>2460</v>
      </c>
      <c r="J825" t="s">
        <v>1858</v>
      </c>
      <c r="K825" t="s">
        <v>1869</v>
      </c>
      <c r="L825" t="s">
        <v>1869</v>
      </c>
      <c r="M825" s="11" t="s">
        <v>3918</v>
      </c>
      <c r="N825" t="s">
        <v>1860</v>
      </c>
      <c r="P825" s="15" t="str">
        <f t="shared" ca="1" si="24"/>
        <v>30-49.9K</v>
      </c>
      <c r="Q825" s="15">
        <v>5</v>
      </c>
      <c r="S825">
        <v>4</v>
      </c>
      <c r="U825">
        <v>2</v>
      </c>
      <c r="V825" s="15">
        <f t="shared" ca="1" si="25"/>
        <v>3</v>
      </c>
    </row>
    <row r="826" spans="1:22">
      <c r="A826" t="s">
        <v>2869</v>
      </c>
      <c r="B826" s="1">
        <v>41055.130879629629</v>
      </c>
      <c r="C826" s="2">
        <v>25000</v>
      </c>
      <c r="D826">
        <v>25000</v>
      </c>
      <c r="E826" t="s">
        <v>1954</v>
      </c>
      <c r="F826" s="5">
        <v>39404.456801682099</v>
      </c>
      <c r="G826" s="5">
        <v>37091.988130563797</v>
      </c>
      <c r="H826" s="5">
        <f ca="1">OFFSET(F826,0,Brains!$D$1,1,1)</f>
        <v>37091.988130563797</v>
      </c>
      <c r="I826" t="s">
        <v>1858</v>
      </c>
      <c r="J826" t="s">
        <v>1858</v>
      </c>
      <c r="K826" t="s">
        <v>1956</v>
      </c>
      <c r="L826" t="s">
        <v>1956</v>
      </c>
      <c r="M826" s="11" t="s">
        <v>3918</v>
      </c>
      <c r="N826" t="s">
        <v>1860</v>
      </c>
      <c r="P826" s="15" t="str">
        <f t="shared" ca="1" si="24"/>
        <v>30-49.9K</v>
      </c>
      <c r="Q826" s="15">
        <v>5</v>
      </c>
      <c r="S826">
        <v>4</v>
      </c>
      <c r="U826">
        <v>2</v>
      </c>
      <c r="V826" s="15">
        <f t="shared" ca="1" si="25"/>
        <v>3</v>
      </c>
    </row>
    <row r="827" spans="1:22">
      <c r="A827" t="s">
        <v>2016</v>
      </c>
      <c r="B827" s="1">
        <v>41054.290185185186</v>
      </c>
      <c r="C827" s="2">
        <v>38000</v>
      </c>
      <c r="D827">
        <v>38000</v>
      </c>
      <c r="E827" t="s">
        <v>1856</v>
      </c>
      <c r="F827" s="5">
        <v>38000</v>
      </c>
      <c r="G827" s="5">
        <v>38000</v>
      </c>
      <c r="H827" s="5">
        <f ca="1">OFFSET(F827,0,Brains!$D$1,1,1)</f>
        <v>38000</v>
      </c>
      <c r="I827" t="s">
        <v>2017</v>
      </c>
      <c r="J827" t="s">
        <v>1858</v>
      </c>
      <c r="K827" t="s">
        <v>1869</v>
      </c>
      <c r="L827" t="s">
        <v>1869</v>
      </c>
      <c r="M827" s="11" t="s">
        <v>3918</v>
      </c>
      <c r="N827" t="s">
        <v>1860</v>
      </c>
      <c r="P827" s="15" t="str">
        <f t="shared" ca="1" si="24"/>
        <v>30-49.9K</v>
      </c>
      <c r="Q827" s="15">
        <v>5</v>
      </c>
      <c r="S827">
        <v>4</v>
      </c>
      <c r="U827">
        <v>2</v>
      </c>
      <c r="V827" s="15">
        <f t="shared" ca="1" si="25"/>
        <v>3</v>
      </c>
    </row>
    <row r="828" spans="1:22">
      <c r="A828" t="s">
        <v>2124</v>
      </c>
      <c r="B828" s="1">
        <v>41055.028437499997</v>
      </c>
      <c r="C828" s="2">
        <v>36000</v>
      </c>
      <c r="D828">
        <v>36000</v>
      </c>
      <c r="E828" t="s">
        <v>1856</v>
      </c>
      <c r="F828" s="5">
        <v>36000</v>
      </c>
      <c r="G828" s="5">
        <v>36000</v>
      </c>
      <c r="H828" s="5">
        <f ca="1">OFFSET(F828,0,Brains!$D$1,1,1)</f>
        <v>36000</v>
      </c>
      <c r="I828" t="s">
        <v>1858</v>
      </c>
      <c r="J828" t="s">
        <v>1858</v>
      </c>
      <c r="K828" t="s">
        <v>1869</v>
      </c>
      <c r="L828" t="s">
        <v>1869</v>
      </c>
      <c r="M828" s="11" t="s">
        <v>3918</v>
      </c>
      <c r="N828" t="s">
        <v>1860</v>
      </c>
      <c r="P828" s="15" t="str">
        <f t="shared" ca="1" si="24"/>
        <v>30-49.9K</v>
      </c>
      <c r="Q828" s="15">
        <v>5</v>
      </c>
      <c r="S828">
        <v>4</v>
      </c>
      <c r="U828">
        <v>2</v>
      </c>
      <c r="V828" s="15">
        <f t="shared" ca="1" si="25"/>
        <v>3</v>
      </c>
    </row>
    <row r="829" spans="1:22">
      <c r="A829" t="s">
        <v>2762</v>
      </c>
      <c r="B829" s="1">
        <v>41055.095150462963</v>
      </c>
      <c r="C829" s="2">
        <v>35000</v>
      </c>
      <c r="D829">
        <v>35000</v>
      </c>
      <c r="E829" t="s">
        <v>1856</v>
      </c>
      <c r="F829" s="5">
        <v>35000</v>
      </c>
      <c r="G829" s="5">
        <v>35000</v>
      </c>
      <c r="H829" s="5">
        <f ca="1">OFFSET(F829,0,Brains!$D$1,1,1)</f>
        <v>35000</v>
      </c>
      <c r="I829" t="s">
        <v>2763</v>
      </c>
      <c r="J829" t="s">
        <v>1858</v>
      </c>
      <c r="K829" t="s">
        <v>1949</v>
      </c>
      <c r="L829" t="s">
        <v>1949</v>
      </c>
      <c r="M829" s="11" t="s">
        <v>3918</v>
      </c>
      <c r="N829" t="s">
        <v>1860</v>
      </c>
      <c r="P829" s="15" t="str">
        <f t="shared" ca="1" si="24"/>
        <v>30-49.9K</v>
      </c>
      <c r="Q829" s="15">
        <v>5</v>
      </c>
      <c r="S829">
        <v>4</v>
      </c>
      <c r="U829">
        <v>2</v>
      </c>
      <c r="V829" s="15">
        <f t="shared" ca="1" si="25"/>
        <v>3</v>
      </c>
    </row>
    <row r="830" spans="1:22">
      <c r="A830" t="s">
        <v>2735</v>
      </c>
      <c r="B830" s="1">
        <v>41055.088518518518</v>
      </c>
      <c r="C830" s="2">
        <v>34000</v>
      </c>
      <c r="D830">
        <v>34000</v>
      </c>
      <c r="E830" t="s">
        <v>1856</v>
      </c>
      <c r="F830" s="5">
        <v>34000</v>
      </c>
      <c r="G830" s="5">
        <v>34000</v>
      </c>
      <c r="H830" s="5">
        <f ca="1">OFFSET(F830,0,Brains!$D$1,1,1)</f>
        <v>34000</v>
      </c>
      <c r="I830" t="s">
        <v>2736</v>
      </c>
      <c r="J830" t="s">
        <v>1858</v>
      </c>
      <c r="K830" t="s">
        <v>1869</v>
      </c>
      <c r="L830" t="s">
        <v>1869</v>
      </c>
      <c r="M830" s="11" t="s">
        <v>3918</v>
      </c>
      <c r="N830" t="s">
        <v>1860</v>
      </c>
      <c r="P830" s="15" t="str">
        <f t="shared" ca="1" si="24"/>
        <v>30-49.9K</v>
      </c>
      <c r="Q830" s="15">
        <v>5</v>
      </c>
      <c r="S830">
        <v>4</v>
      </c>
      <c r="U830">
        <v>2</v>
      </c>
      <c r="V830" s="15">
        <f t="shared" ca="1" si="25"/>
        <v>3</v>
      </c>
    </row>
    <row r="831" spans="1:22">
      <c r="A831" t="s">
        <v>2422</v>
      </c>
      <c r="B831" s="1">
        <v>41055.045856481483</v>
      </c>
      <c r="C831" s="2" t="s">
        <v>2423</v>
      </c>
      <c r="D831">
        <v>31000</v>
      </c>
      <c r="E831" t="s">
        <v>1856</v>
      </c>
      <c r="F831" s="5">
        <v>31000</v>
      </c>
      <c r="G831" s="5">
        <v>31000</v>
      </c>
      <c r="H831" s="5">
        <f ca="1">OFFSET(F831,0,Brains!$D$1,1,1)</f>
        <v>31000</v>
      </c>
      <c r="I831" t="s">
        <v>2424</v>
      </c>
      <c r="J831" t="s">
        <v>1858</v>
      </c>
      <c r="K831" t="s">
        <v>1869</v>
      </c>
      <c r="L831" t="s">
        <v>1869</v>
      </c>
      <c r="M831" s="11" t="s">
        <v>3918</v>
      </c>
      <c r="N831" t="s">
        <v>1860</v>
      </c>
      <c r="P831" s="15" t="str">
        <f t="shared" ca="1" si="24"/>
        <v>30-49.9K</v>
      </c>
      <c r="Q831" s="15">
        <v>5</v>
      </c>
      <c r="S831">
        <v>4</v>
      </c>
      <c r="U831">
        <v>2</v>
      </c>
      <c r="V831" s="15">
        <f t="shared" ca="1" si="25"/>
        <v>3</v>
      </c>
    </row>
    <row r="832" spans="1:22">
      <c r="A832" t="s">
        <v>2302</v>
      </c>
      <c r="B832" s="1">
        <v>41055.035914351851</v>
      </c>
      <c r="C832" s="2">
        <v>28000</v>
      </c>
      <c r="D832">
        <v>28000</v>
      </c>
      <c r="E832" t="s">
        <v>1856</v>
      </c>
      <c r="F832" s="5">
        <v>28000</v>
      </c>
      <c r="G832" s="5">
        <v>28000</v>
      </c>
      <c r="H832" s="5">
        <f ca="1">OFFSET(F832,0,Brains!$D$1,1,1)</f>
        <v>28000</v>
      </c>
      <c r="I832" t="s">
        <v>2303</v>
      </c>
      <c r="J832" t="s">
        <v>1858</v>
      </c>
      <c r="K832" t="s">
        <v>1869</v>
      </c>
      <c r="L832" t="s">
        <v>1869</v>
      </c>
      <c r="M832" s="11" t="s">
        <v>3918</v>
      </c>
      <c r="N832" t="s">
        <v>1860</v>
      </c>
      <c r="P832" s="15" t="str">
        <f t="shared" ca="1" si="24"/>
        <v>15-29.9K</v>
      </c>
      <c r="Q832" s="15">
        <v>5</v>
      </c>
      <c r="S832">
        <v>4</v>
      </c>
      <c r="U832">
        <v>2</v>
      </c>
      <c r="V832" s="15">
        <f t="shared" ca="1" si="25"/>
        <v>2</v>
      </c>
    </row>
    <row r="833" spans="1:22">
      <c r="A833" t="s">
        <v>2968</v>
      </c>
      <c r="B833" s="1">
        <v>41055.179918981485</v>
      </c>
      <c r="C833" s="2" t="s">
        <v>2969</v>
      </c>
      <c r="D833">
        <v>16400</v>
      </c>
      <c r="E833" t="s">
        <v>1954</v>
      </c>
      <c r="F833" s="5">
        <v>25849.323661903458</v>
      </c>
      <c r="G833" s="5">
        <v>24332.344213649849</v>
      </c>
      <c r="H833" s="5">
        <f ca="1">OFFSET(F833,0,Brains!$D$1,1,1)</f>
        <v>24332.344213649849</v>
      </c>
      <c r="I833" t="s">
        <v>2970</v>
      </c>
      <c r="J833" t="s">
        <v>1858</v>
      </c>
      <c r="K833" t="s">
        <v>1956</v>
      </c>
      <c r="L833" t="s">
        <v>1956</v>
      </c>
      <c r="M833" s="11" t="s">
        <v>3918</v>
      </c>
      <c r="N833" t="s">
        <v>1860</v>
      </c>
      <c r="P833" s="15" t="str">
        <f t="shared" ca="1" si="24"/>
        <v>15-29.9K</v>
      </c>
      <c r="Q833" s="15">
        <v>5</v>
      </c>
      <c r="S833">
        <v>4</v>
      </c>
      <c r="U833">
        <v>2</v>
      </c>
      <c r="V833" s="15">
        <f t="shared" ca="1" si="25"/>
        <v>2</v>
      </c>
    </row>
    <row r="834" spans="1:22">
      <c r="A834" t="s">
        <v>2121</v>
      </c>
      <c r="B834" s="1">
        <v>41055.028379629628</v>
      </c>
      <c r="C834" s="2">
        <v>19200</v>
      </c>
      <c r="D834">
        <v>19200</v>
      </c>
      <c r="E834" t="s">
        <v>1856</v>
      </c>
      <c r="F834" s="5">
        <v>19200</v>
      </c>
      <c r="G834" s="5">
        <v>19200</v>
      </c>
      <c r="H834" s="5">
        <f ca="1">OFFSET(F834,0,Brains!$D$1,1,1)</f>
        <v>19200</v>
      </c>
      <c r="I834" t="s">
        <v>2122</v>
      </c>
      <c r="J834" t="s">
        <v>1858</v>
      </c>
      <c r="K834" t="s">
        <v>2123</v>
      </c>
      <c r="L834" t="s">
        <v>2123</v>
      </c>
      <c r="M834" s="11" t="s">
        <v>3918</v>
      </c>
      <c r="N834" t="s">
        <v>1860</v>
      </c>
      <c r="P834" s="15" t="str">
        <f t="shared" ref="P834:P897" ca="1" si="26">IF(H834&lt;15000,"0-14.9K",IF(H834&lt;30000,"15-29.9K",IF(H834&lt;50000,"30-49.9K",IF(H834&lt;75000,"50-74.9K",IF(H834&lt;100000,"75-99.9K",IF(H834&lt;150000,"100-149.9K",IF(H834&lt;250000,"150-249.9K","250K+")))))))</f>
        <v>15-29.9K</v>
      </c>
      <c r="Q834" s="15">
        <v>5</v>
      </c>
      <c r="S834">
        <v>4</v>
      </c>
      <c r="U834">
        <v>2</v>
      </c>
      <c r="V834" s="15">
        <f t="shared" ref="V834:V897" ca="1" si="27">IF(H834&lt;15000,1,IF(H834&lt;30000,2,IF(H834&lt;50000,3,IF(H834&lt;75000,4,IF(H834&lt;100000,5,IF(H834&lt;150000,6,IF(H834&lt;250000,7,8)))))))</f>
        <v>2</v>
      </c>
    </row>
    <row r="835" spans="1:22">
      <c r="A835" t="s">
        <v>1976</v>
      </c>
      <c r="B835" s="1">
        <v>41054.222337962965</v>
      </c>
      <c r="C835" s="2">
        <v>14500</v>
      </c>
      <c r="D835">
        <v>14500</v>
      </c>
      <c r="E835" t="s">
        <v>1856</v>
      </c>
      <c r="F835" s="5">
        <v>14500</v>
      </c>
      <c r="G835" s="5">
        <v>14500</v>
      </c>
      <c r="H835" s="5">
        <f ca="1">OFFSET(F835,0,Brains!$D$1,1,1)</f>
        <v>14500</v>
      </c>
      <c r="I835" t="s">
        <v>1977</v>
      </c>
      <c r="J835" t="s">
        <v>1858</v>
      </c>
      <c r="K835" t="s">
        <v>1859</v>
      </c>
      <c r="L835" t="s">
        <v>1859</v>
      </c>
      <c r="M835" s="11" t="s">
        <v>3918</v>
      </c>
      <c r="N835" t="s">
        <v>1860</v>
      </c>
      <c r="P835" s="15" t="str">
        <f t="shared" ca="1" si="26"/>
        <v>0-14.9K</v>
      </c>
      <c r="Q835" s="15">
        <v>5</v>
      </c>
      <c r="S835">
        <v>4</v>
      </c>
      <c r="U835">
        <v>2</v>
      </c>
      <c r="V835" s="15">
        <f t="shared" ca="1" si="27"/>
        <v>1</v>
      </c>
    </row>
    <row r="836" spans="1:22">
      <c r="A836" t="s">
        <v>2841</v>
      </c>
      <c r="B836" s="1">
        <v>41055.121863425928</v>
      </c>
      <c r="C836" s="2" t="s">
        <v>2842</v>
      </c>
      <c r="D836">
        <v>500000</v>
      </c>
      <c r="E836" t="s">
        <v>1908</v>
      </c>
      <c r="F836" s="5">
        <v>8903.9583437212841</v>
      </c>
      <c r="G836" s="5">
        <v>24897.918534010558</v>
      </c>
      <c r="H836" s="5">
        <f ca="1">OFFSET(F836,0,Brains!$D$1,1,1)</f>
        <v>24897.918534010558</v>
      </c>
      <c r="I836" t="s">
        <v>2195</v>
      </c>
      <c r="J836" t="s">
        <v>1858</v>
      </c>
      <c r="K836" t="s">
        <v>1859</v>
      </c>
      <c r="L836" t="s">
        <v>1859</v>
      </c>
      <c r="M836" s="11" t="s">
        <v>3918</v>
      </c>
      <c r="N836" t="s">
        <v>1860</v>
      </c>
      <c r="P836" s="15" t="str">
        <f t="shared" ca="1" si="26"/>
        <v>15-29.9K</v>
      </c>
      <c r="Q836" s="15">
        <v>5</v>
      </c>
      <c r="S836">
        <v>4</v>
      </c>
      <c r="U836">
        <v>2</v>
      </c>
      <c r="V836" s="15">
        <f t="shared" ca="1" si="27"/>
        <v>2</v>
      </c>
    </row>
    <row r="837" spans="1:22">
      <c r="A837" t="s">
        <v>2504</v>
      </c>
      <c r="B837" s="1">
        <v>41055.054965277777</v>
      </c>
      <c r="C837" s="2" t="s">
        <v>2505</v>
      </c>
      <c r="D837">
        <v>450000</v>
      </c>
      <c r="E837" t="s">
        <v>1908</v>
      </c>
      <c r="F837" s="5">
        <v>8013.5625093491553</v>
      </c>
      <c r="G837" s="5">
        <v>22408.126680609501</v>
      </c>
      <c r="H837" s="5">
        <f ca="1">OFFSET(F837,0,Brains!$D$1,1,1)</f>
        <v>22408.126680609501</v>
      </c>
      <c r="I837" t="s">
        <v>2195</v>
      </c>
      <c r="J837" t="s">
        <v>1858</v>
      </c>
      <c r="K837" t="s">
        <v>1859</v>
      </c>
      <c r="L837" t="s">
        <v>1859</v>
      </c>
      <c r="M837" s="11" t="s">
        <v>3918</v>
      </c>
      <c r="N837" t="s">
        <v>1860</v>
      </c>
      <c r="P837" s="15" t="str">
        <f t="shared" ca="1" si="26"/>
        <v>15-29.9K</v>
      </c>
      <c r="Q837" s="15">
        <v>5</v>
      </c>
      <c r="S837">
        <v>4</v>
      </c>
      <c r="U837">
        <v>2</v>
      </c>
      <c r="V837" s="15">
        <f t="shared" ca="1" si="27"/>
        <v>2</v>
      </c>
    </row>
    <row r="838" spans="1:22">
      <c r="A838" t="s">
        <v>2009</v>
      </c>
      <c r="B838" s="1">
        <v>41054.268564814818</v>
      </c>
      <c r="C838" s="2">
        <v>7500</v>
      </c>
      <c r="D838">
        <v>7500</v>
      </c>
      <c r="E838" t="s">
        <v>1856</v>
      </c>
      <c r="F838" s="5">
        <v>7500</v>
      </c>
      <c r="G838" s="5">
        <v>7500</v>
      </c>
      <c r="H838" s="5">
        <f ca="1">OFFSET(F838,0,Brains!$D$1,1,1)</f>
        <v>7500</v>
      </c>
      <c r="I838" t="s">
        <v>1858</v>
      </c>
      <c r="J838" t="s">
        <v>1858</v>
      </c>
      <c r="K838" t="s">
        <v>1859</v>
      </c>
      <c r="L838" t="s">
        <v>1859</v>
      </c>
      <c r="M838" s="11" t="s">
        <v>3918</v>
      </c>
      <c r="N838" t="s">
        <v>1860</v>
      </c>
      <c r="P838" s="15" t="str">
        <f t="shared" ca="1" si="26"/>
        <v>0-14.9K</v>
      </c>
      <c r="Q838" s="15">
        <v>5</v>
      </c>
      <c r="S838">
        <v>4</v>
      </c>
      <c r="U838">
        <v>2</v>
      </c>
      <c r="V838" s="15">
        <f t="shared" ca="1" si="27"/>
        <v>1</v>
      </c>
    </row>
    <row r="839" spans="1:22">
      <c r="A839" t="s">
        <v>2594</v>
      </c>
      <c r="B839" s="1">
        <v>41055.065011574072</v>
      </c>
      <c r="C839" s="2" t="s">
        <v>2595</v>
      </c>
      <c r="D839">
        <v>400000</v>
      </c>
      <c r="E839" t="s">
        <v>1908</v>
      </c>
      <c r="F839" s="5">
        <v>7123.1666749770275</v>
      </c>
      <c r="G839" s="5">
        <v>19918.334827208444</v>
      </c>
      <c r="H839" s="5">
        <f ca="1">OFFSET(F839,0,Brains!$D$1,1,1)</f>
        <v>19918.334827208444</v>
      </c>
      <c r="I839" t="s">
        <v>2596</v>
      </c>
      <c r="J839" t="s">
        <v>1858</v>
      </c>
      <c r="K839" t="s">
        <v>1859</v>
      </c>
      <c r="L839" t="s">
        <v>1859</v>
      </c>
      <c r="M839" s="11" t="s">
        <v>3918</v>
      </c>
      <c r="N839" t="s">
        <v>1860</v>
      </c>
      <c r="P839" s="15" t="str">
        <f t="shared" ca="1" si="26"/>
        <v>15-29.9K</v>
      </c>
      <c r="Q839" s="15">
        <v>5</v>
      </c>
      <c r="S839">
        <v>4</v>
      </c>
      <c r="U839">
        <v>2</v>
      </c>
      <c r="V839" s="15">
        <f t="shared" ca="1" si="27"/>
        <v>2</v>
      </c>
    </row>
    <row r="840" spans="1:22">
      <c r="A840" t="s">
        <v>2740</v>
      </c>
      <c r="B840" s="1">
        <v>41055.090243055558</v>
      </c>
      <c r="C840" s="2">
        <v>400000</v>
      </c>
      <c r="D840">
        <v>400000</v>
      </c>
      <c r="E840" t="s">
        <v>1908</v>
      </c>
      <c r="F840" s="5">
        <v>7123.1666749770275</v>
      </c>
      <c r="G840" s="5">
        <v>19918.334827208444</v>
      </c>
      <c r="H840" s="5">
        <f ca="1">OFFSET(F840,0,Brains!$D$1,1,1)</f>
        <v>19918.334827208444</v>
      </c>
      <c r="I840" t="s">
        <v>1858</v>
      </c>
      <c r="J840" t="s">
        <v>1858</v>
      </c>
      <c r="K840" t="s">
        <v>1859</v>
      </c>
      <c r="L840" t="s">
        <v>1859</v>
      </c>
      <c r="M840" s="11" t="s">
        <v>3918</v>
      </c>
      <c r="N840" t="s">
        <v>1860</v>
      </c>
      <c r="P840" s="15" t="str">
        <f t="shared" ca="1" si="26"/>
        <v>15-29.9K</v>
      </c>
      <c r="Q840" s="15">
        <v>5</v>
      </c>
      <c r="S840">
        <v>4</v>
      </c>
      <c r="U840">
        <v>2</v>
      </c>
      <c r="V840" s="15">
        <f t="shared" ca="1" si="27"/>
        <v>2</v>
      </c>
    </row>
    <row r="841" spans="1:22">
      <c r="A841" t="s">
        <v>1855</v>
      </c>
      <c r="B841" s="1">
        <v>41054.133009259262</v>
      </c>
      <c r="C841" s="2">
        <v>5846</v>
      </c>
      <c r="D841">
        <v>5846</v>
      </c>
      <c r="E841" t="s">
        <v>1856</v>
      </c>
      <c r="F841" s="5">
        <v>5846</v>
      </c>
      <c r="G841" s="5">
        <v>5846</v>
      </c>
      <c r="H841" s="5">
        <f ca="1">OFFSET(F841,0,Brains!$D$1,1,1)</f>
        <v>5846</v>
      </c>
      <c r="I841" t="s">
        <v>1857</v>
      </c>
      <c r="J841" t="s">
        <v>1858</v>
      </c>
      <c r="K841" t="s">
        <v>1859</v>
      </c>
      <c r="L841" t="s">
        <v>1859</v>
      </c>
      <c r="M841" s="11" t="s">
        <v>3918</v>
      </c>
      <c r="N841" t="s">
        <v>1860</v>
      </c>
      <c r="P841" s="15" t="str">
        <f t="shared" ca="1" si="26"/>
        <v>0-14.9K</v>
      </c>
      <c r="Q841" s="15">
        <v>5</v>
      </c>
      <c r="S841">
        <v>4</v>
      </c>
      <c r="U841">
        <v>2</v>
      </c>
      <c r="V841" s="15">
        <f t="shared" ca="1" si="27"/>
        <v>1</v>
      </c>
    </row>
    <row r="842" spans="1:22">
      <c r="A842" t="s">
        <v>2263</v>
      </c>
      <c r="B842" s="1">
        <v>41055.033888888887</v>
      </c>
      <c r="C842" s="2">
        <v>180000</v>
      </c>
      <c r="D842">
        <v>180000</v>
      </c>
      <c r="E842" t="s">
        <v>1908</v>
      </c>
      <c r="F842" s="5">
        <v>3205.4250037396623</v>
      </c>
      <c r="G842" s="5">
        <v>8963.2506722437993</v>
      </c>
      <c r="H842" s="5">
        <f ca="1">OFFSET(F842,0,Brains!$D$1,1,1)</f>
        <v>8963.2506722437993</v>
      </c>
      <c r="I842" t="s">
        <v>2264</v>
      </c>
      <c r="J842" t="s">
        <v>1858</v>
      </c>
      <c r="K842" t="s">
        <v>1859</v>
      </c>
      <c r="L842" t="s">
        <v>1859</v>
      </c>
      <c r="M842" s="11" t="s">
        <v>3918</v>
      </c>
      <c r="N842" t="s">
        <v>1860</v>
      </c>
      <c r="P842" s="15" t="str">
        <f t="shared" ca="1" si="26"/>
        <v>0-14.9K</v>
      </c>
      <c r="Q842" s="15">
        <v>5</v>
      </c>
      <c r="S842">
        <v>4</v>
      </c>
      <c r="U842">
        <v>2</v>
      </c>
      <c r="V842" s="15">
        <f t="shared" ca="1" si="27"/>
        <v>1</v>
      </c>
    </row>
    <row r="843" spans="1:22">
      <c r="A843" t="s">
        <v>2276</v>
      </c>
      <c r="B843" s="1">
        <v>41055.034432870372</v>
      </c>
      <c r="C843" s="2">
        <v>180000</v>
      </c>
      <c r="D843">
        <v>180000</v>
      </c>
      <c r="E843" t="s">
        <v>1908</v>
      </c>
      <c r="F843" s="5">
        <v>3205.4250037396623</v>
      </c>
      <c r="G843" s="5">
        <v>8963.2506722437993</v>
      </c>
      <c r="H843" s="5">
        <f ca="1">OFFSET(F843,0,Brains!$D$1,1,1)</f>
        <v>8963.2506722437993</v>
      </c>
      <c r="I843" t="s">
        <v>2264</v>
      </c>
      <c r="J843" t="s">
        <v>1858</v>
      </c>
      <c r="K843" t="s">
        <v>1859</v>
      </c>
      <c r="L843" t="s">
        <v>1859</v>
      </c>
      <c r="M843" s="11" t="s">
        <v>3918</v>
      </c>
      <c r="N843" t="s">
        <v>1860</v>
      </c>
      <c r="P843" s="15" t="str">
        <f t="shared" ca="1" si="26"/>
        <v>0-14.9K</v>
      </c>
      <c r="Q843" s="15">
        <v>5</v>
      </c>
      <c r="S843">
        <v>4</v>
      </c>
      <c r="U843">
        <v>2</v>
      </c>
      <c r="V843" s="15">
        <f t="shared" ca="1" si="27"/>
        <v>1</v>
      </c>
    </row>
    <row r="844" spans="1:22">
      <c r="A844" t="s">
        <v>2881</v>
      </c>
      <c r="B844" s="1">
        <v>41055.13417824074</v>
      </c>
      <c r="C844" s="2">
        <v>125000</v>
      </c>
      <c r="D844">
        <v>125000</v>
      </c>
      <c r="E844" t="s">
        <v>1908</v>
      </c>
      <c r="F844" s="5">
        <v>2225.989585930321</v>
      </c>
      <c r="G844" s="5">
        <v>6224.4796335026394</v>
      </c>
      <c r="H844" s="5">
        <f ca="1">OFFSET(F844,0,Brains!$D$1,1,1)</f>
        <v>6224.4796335026394</v>
      </c>
      <c r="I844" t="s">
        <v>2882</v>
      </c>
      <c r="J844" t="s">
        <v>1858</v>
      </c>
      <c r="K844" t="s">
        <v>1859</v>
      </c>
      <c r="L844" t="s">
        <v>1859</v>
      </c>
      <c r="M844" s="11" t="s">
        <v>3918</v>
      </c>
      <c r="N844" t="s">
        <v>1860</v>
      </c>
      <c r="P844" s="15" t="str">
        <f t="shared" ca="1" si="26"/>
        <v>0-14.9K</v>
      </c>
      <c r="Q844" s="15">
        <v>5</v>
      </c>
      <c r="S844">
        <v>4</v>
      </c>
      <c r="U844">
        <v>2</v>
      </c>
      <c r="V844" s="15">
        <f t="shared" ca="1" si="27"/>
        <v>1</v>
      </c>
    </row>
    <row r="845" spans="1:22">
      <c r="A845" t="s">
        <v>2720</v>
      </c>
      <c r="B845" s="1">
        <v>41055.086122685185</v>
      </c>
      <c r="C845" s="2">
        <v>100000</v>
      </c>
      <c r="D845">
        <v>100000</v>
      </c>
      <c r="E845" t="s">
        <v>1856</v>
      </c>
      <c r="F845" s="5">
        <v>100000</v>
      </c>
      <c r="G845" s="5">
        <v>100000</v>
      </c>
      <c r="H845" s="5">
        <f ca="1">OFFSET(F845,0,Brains!$D$1,1,1)</f>
        <v>100000</v>
      </c>
      <c r="I845" t="s">
        <v>2721</v>
      </c>
      <c r="J845" t="s">
        <v>1858</v>
      </c>
      <c r="K845" t="s">
        <v>1869</v>
      </c>
      <c r="L845" t="s">
        <v>1869</v>
      </c>
      <c r="M845" t="s">
        <v>3941</v>
      </c>
      <c r="N845" t="s">
        <v>1866</v>
      </c>
      <c r="P845" s="15" t="str">
        <f t="shared" ca="1" si="26"/>
        <v>100-149.9K</v>
      </c>
      <c r="Q845" s="15">
        <v>8</v>
      </c>
      <c r="S845">
        <v>5</v>
      </c>
      <c r="U845">
        <v>2</v>
      </c>
      <c r="V845" s="15">
        <f t="shared" ca="1" si="27"/>
        <v>6</v>
      </c>
    </row>
    <row r="846" spans="1:22">
      <c r="A846" t="s">
        <v>2496</v>
      </c>
      <c r="B846" s="1">
        <v>41055.054131944446</v>
      </c>
      <c r="C846" s="2">
        <v>97000</v>
      </c>
      <c r="D846">
        <v>97000</v>
      </c>
      <c r="E846" t="s">
        <v>1856</v>
      </c>
      <c r="F846" s="5">
        <v>97000</v>
      </c>
      <c r="G846" s="5">
        <v>97000</v>
      </c>
      <c r="H846" s="5">
        <f ca="1">OFFSET(F846,0,Brains!$D$1,1,1)</f>
        <v>97000</v>
      </c>
      <c r="I846" t="s">
        <v>1911</v>
      </c>
      <c r="J846" t="s">
        <v>1858</v>
      </c>
      <c r="K846" t="s">
        <v>1869</v>
      </c>
      <c r="L846" t="s">
        <v>1869</v>
      </c>
      <c r="M846" t="s">
        <v>3941</v>
      </c>
      <c r="N846" t="s">
        <v>1866</v>
      </c>
      <c r="P846" s="15" t="str">
        <f t="shared" ca="1" si="26"/>
        <v>75-99.9K</v>
      </c>
      <c r="Q846" s="15">
        <v>8</v>
      </c>
      <c r="S846">
        <v>5</v>
      </c>
      <c r="U846">
        <v>2</v>
      </c>
      <c r="V846" s="15">
        <f t="shared" ca="1" si="27"/>
        <v>5</v>
      </c>
    </row>
    <row r="847" spans="1:22">
      <c r="A847" t="s">
        <v>2685</v>
      </c>
      <c r="B847" s="1">
        <v>41055.082430555558</v>
      </c>
      <c r="C847" s="2">
        <v>95000</v>
      </c>
      <c r="D847">
        <v>95000</v>
      </c>
      <c r="E847" t="s">
        <v>1856</v>
      </c>
      <c r="F847" s="5">
        <v>95000</v>
      </c>
      <c r="G847" s="5">
        <v>95000</v>
      </c>
      <c r="H847" s="5">
        <f ca="1">OFFSET(F847,0,Brains!$D$1,1,1)</f>
        <v>95000</v>
      </c>
      <c r="I847" t="s">
        <v>2614</v>
      </c>
      <c r="J847" t="s">
        <v>1858</v>
      </c>
      <c r="K847" t="s">
        <v>1869</v>
      </c>
      <c r="L847" t="s">
        <v>1869</v>
      </c>
      <c r="M847" t="s">
        <v>3941</v>
      </c>
      <c r="N847" t="s">
        <v>1866</v>
      </c>
      <c r="P847" s="15" t="str">
        <f t="shared" ca="1" si="26"/>
        <v>75-99.9K</v>
      </c>
      <c r="Q847" s="15">
        <v>8</v>
      </c>
      <c r="S847">
        <v>5</v>
      </c>
      <c r="U847">
        <v>2</v>
      </c>
      <c r="V847" s="15">
        <f t="shared" ca="1" si="27"/>
        <v>5</v>
      </c>
    </row>
    <row r="848" spans="1:22">
      <c r="A848" t="s">
        <v>2775</v>
      </c>
      <c r="B848" s="1">
        <v>41055.097129629627</v>
      </c>
      <c r="C848" s="2">
        <v>90000</v>
      </c>
      <c r="D848">
        <v>90000</v>
      </c>
      <c r="E848" t="s">
        <v>1856</v>
      </c>
      <c r="F848" s="5">
        <v>90000</v>
      </c>
      <c r="G848" s="5">
        <v>90000</v>
      </c>
      <c r="H848" s="5">
        <f ca="1">OFFSET(F848,0,Brains!$D$1,1,1)</f>
        <v>90000</v>
      </c>
      <c r="I848" t="s">
        <v>1868</v>
      </c>
      <c r="J848" t="s">
        <v>1858</v>
      </c>
      <c r="K848" t="s">
        <v>1869</v>
      </c>
      <c r="L848" t="s">
        <v>1869</v>
      </c>
      <c r="M848" t="s">
        <v>3941</v>
      </c>
      <c r="N848" t="s">
        <v>1866</v>
      </c>
      <c r="P848" s="15" t="str">
        <f t="shared" ca="1" si="26"/>
        <v>75-99.9K</v>
      </c>
      <c r="Q848" s="15">
        <v>8</v>
      </c>
      <c r="S848">
        <v>5</v>
      </c>
      <c r="U848">
        <v>2</v>
      </c>
      <c r="V848" s="15">
        <f t="shared" ca="1" si="27"/>
        <v>5</v>
      </c>
    </row>
    <row r="849" spans="1:22">
      <c r="A849" t="s">
        <v>2938</v>
      </c>
      <c r="B849" s="1">
        <v>41055.160000000003</v>
      </c>
      <c r="C849" s="2">
        <v>84000</v>
      </c>
      <c r="D849">
        <v>84000</v>
      </c>
      <c r="E849" t="s">
        <v>1856</v>
      </c>
      <c r="F849" s="5">
        <v>84000</v>
      </c>
      <c r="G849" s="5">
        <v>84000</v>
      </c>
      <c r="H849" s="5">
        <f ca="1">OFFSET(F849,0,Brains!$D$1,1,1)</f>
        <v>84000</v>
      </c>
      <c r="I849" t="s">
        <v>2017</v>
      </c>
      <c r="J849" t="s">
        <v>1858</v>
      </c>
      <c r="K849" t="s">
        <v>1869</v>
      </c>
      <c r="L849" t="s">
        <v>1869</v>
      </c>
      <c r="M849" t="s">
        <v>3941</v>
      </c>
      <c r="N849" t="s">
        <v>1866</v>
      </c>
      <c r="P849" s="15" t="str">
        <f t="shared" ca="1" si="26"/>
        <v>75-99.9K</v>
      </c>
      <c r="Q849" s="15">
        <v>8</v>
      </c>
      <c r="S849">
        <v>5</v>
      </c>
      <c r="U849">
        <v>2</v>
      </c>
      <c r="V849" s="15">
        <f t="shared" ca="1" si="27"/>
        <v>5</v>
      </c>
    </row>
    <row r="850" spans="1:22">
      <c r="A850" t="s">
        <v>3043</v>
      </c>
      <c r="B850" s="1">
        <v>41055.239374999997</v>
      </c>
      <c r="C850" s="2" t="s">
        <v>3044</v>
      </c>
      <c r="D850">
        <v>80000</v>
      </c>
      <c r="E850" t="s">
        <v>1856</v>
      </c>
      <c r="F850" s="5">
        <v>80000</v>
      </c>
      <c r="G850" s="5">
        <v>80000</v>
      </c>
      <c r="H850" s="5">
        <f ca="1">OFFSET(F850,0,Brains!$D$1,1,1)</f>
        <v>80000</v>
      </c>
      <c r="I850" t="s">
        <v>3045</v>
      </c>
      <c r="J850" t="s">
        <v>1858</v>
      </c>
      <c r="K850" t="s">
        <v>1869</v>
      </c>
      <c r="L850" t="s">
        <v>1869</v>
      </c>
      <c r="M850" t="s">
        <v>3941</v>
      </c>
      <c r="N850" t="s">
        <v>1866</v>
      </c>
      <c r="P850" s="15" t="str">
        <f t="shared" ca="1" si="26"/>
        <v>75-99.9K</v>
      </c>
      <c r="Q850" s="15">
        <v>8</v>
      </c>
      <c r="S850">
        <v>5</v>
      </c>
      <c r="U850">
        <v>2</v>
      </c>
      <c r="V850" s="15">
        <f t="shared" ca="1" si="27"/>
        <v>5</v>
      </c>
    </row>
    <row r="851" spans="1:22">
      <c r="A851" t="s">
        <v>2950</v>
      </c>
      <c r="B851" s="1">
        <v>41055.169131944444</v>
      </c>
      <c r="C851" s="2">
        <v>77000</v>
      </c>
      <c r="D851">
        <v>77000</v>
      </c>
      <c r="E851" t="s">
        <v>1856</v>
      </c>
      <c r="F851" s="5">
        <v>77000</v>
      </c>
      <c r="G851" s="5">
        <v>77000</v>
      </c>
      <c r="H851" s="5">
        <f ca="1">OFFSET(F851,0,Brains!$D$1,1,1)</f>
        <v>77000</v>
      </c>
      <c r="I851" t="s">
        <v>2614</v>
      </c>
      <c r="J851" t="s">
        <v>1858</v>
      </c>
      <c r="K851" t="s">
        <v>1869</v>
      </c>
      <c r="L851" t="s">
        <v>1869</v>
      </c>
      <c r="M851" t="s">
        <v>3941</v>
      </c>
      <c r="N851" t="s">
        <v>1866</v>
      </c>
      <c r="P851" s="15" t="str">
        <f t="shared" ca="1" si="26"/>
        <v>75-99.9K</v>
      </c>
      <c r="Q851" s="15">
        <v>8</v>
      </c>
      <c r="S851">
        <v>5</v>
      </c>
      <c r="U851">
        <v>2</v>
      </c>
      <c r="V851" s="15">
        <f t="shared" ca="1" si="27"/>
        <v>5</v>
      </c>
    </row>
    <row r="852" spans="1:22">
      <c r="A852" t="s">
        <v>2645</v>
      </c>
      <c r="B852" s="1">
        <v>41055.072905092595</v>
      </c>
      <c r="C852" s="2">
        <v>75000</v>
      </c>
      <c r="D852">
        <v>75000</v>
      </c>
      <c r="E852" t="s">
        <v>1856</v>
      </c>
      <c r="F852" s="5">
        <v>75000</v>
      </c>
      <c r="G852" s="5">
        <v>75000</v>
      </c>
      <c r="H852" s="5">
        <f ca="1">OFFSET(F852,0,Brains!$D$1,1,1)</f>
        <v>75000</v>
      </c>
      <c r="I852" t="s">
        <v>2335</v>
      </c>
      <c r="J852" t="s">
        <v>1858</v>
      </c>
      <c r="K852" t="s">
        <v>1869</v>
      </c>
      <c r="L852" t="s">
        <v>1869</v>
      </c>
      <c r="M852" t="s">
        <v>3941</v>
      </c>
      <c r="N852" t="s">
        <v>1866</v>
      </c>
      <c r="P852" s="15" t="str">
        <f t="shared" ca="1" si="26"/>
        <v>75-99.9K</v>
      </c>
      <c r="Q852" s="15">
        <v>8</v>
      </c>
      <c r="S852">
        <v>5</v>
      </c>
      <c r="U852">
        <v>2</v>
      </c>
      <c r="V852" s="15">
        <f t="shared" ca="1" si="27"/>
        <v>5</v>
      </c>
    </row>
    <row r="853" spans="1:22">
      <c r="A853" t="s">
        <v>2982</v>
      </c>
      <c r="B853" s="1">
        <v>41055.190752314818</v>
      </c>
      <c r="C853" s="2">
        <v>70000</v>
      </c>
      <c r="D853">
        <v>70000</v>
      </c>
      <c r="E853" t="s">
        <v>1856</v>
      </c>
      <c r="F853" s="5">
        <v>70000</v>
      </c>
      <c r="G853" s="5">
        <v>70000</v>
      </c>
      <c r="H853" s="5">
        <f ca="1">OFFSET(F853,0,Brains!$D$1,1,1)</f>
        <v>70000</v>
      </c>
      <c r="I853" t="s">
        <v>2983</v>
      </c>
      <c r="J853" t="s">
        <v>1858</v>
      </c>
      <c r="K853" t="s">
        <v>1869</v>
      </c>
      <c r="L853" t="s">
        <v>1869</v>
      </c>
      <c r="M853" t="s">
        <v>3941</v>
      </c>
      <c r="N853" t="s">
        <v>1866</v>
      </c>
      <c r="P853" s="15" t="str">
        <f t="shared" ca="1" si="26"/>
        <v>50-74.9K</v>
      </c>
      <c r="Q853" s="15">
        <v>8</v>
      </c>
      <c r="S853">
        <v>5</v>
      </c>
      <c r="U853">
        <v>2</v>
      </c>
      <c r="V853" s="15">
        <f t="shared" ca="1" si="27"/>
        <v>4</v>
      </c>
    </row>
    <row r="854" spans="1:22">
      <c r="A854" t="s">
        <v>2019</v>
      </c>
      <c r="B854" s="1">
        <v>41054.299409722225</v>
      </c>
      <c r="C854" s="2">
        <v>68000</v>
      </c>
      <c r="D854">
        <v>68000</v>
      </c>
      <c r="E854" t="s">
        <v>1856</v>
      </c>
      <c r="F854" s="5">
        <v>68000</v>
      </c>
      <c r="G854" s="5">
        <v>68000</v>
      </c>
      <c r="H854" s="5">
        <f ca="1">OFFSET(F854,0,Brains!$D$1,1,1)</f>
        <v>68000</v>
      </c>
      <c r="I854" t="s">
        <v>2020</v>
      </c>
      <c r="J854" t="s">
        <v>1858</v>
      </c>
      <c r="K854" t="s">
        <v>1869</v>
      </c>
      <c r="L854" t="s">
        <v>1869</v>
      </c>
      <c r="M854" t="s">
        <v>3941</v>
      </c>
      <c r="N854" t="s">
        <v>1866</v>
      </c>
      <c r="P854" s="15" t="str">
        <f t="shared" ca="1" si="26"/>
        <v>50-74.9K</v>
      </c>
      <c r="Q854" s="15">
        <v>8</v>
      </c>
      <c r="S854">
        <v>5</v>
      </c>
      <c r="U854">
        <v>2</v>
      </c>
      <c r="V854" s="15">
        <f t="shared" ca="1" si="27"/>
        <v>4</v>
      </c>
    </row>
    <row r="855" spans="1:22">
      <c r="A855" t="s">
        <v>2231</v>
      </c>
      <c r="B855" s="1">
        <v>41055.031782407408</v>
      </c>
      <c r="C855" s="2">
        <v>66500</v>
      </c>
      <c r="D855">
        <v>66500</v>
      </c>
      <c r="E855" t="s">
        <v>1856</v>
      </c>
      <c r="F855" s="5">
        <v>66500</v>
      </c>
      <c r="G855" s="5">
        <v>66500</v>
      </c>
      <c r="H855" s="5">
        <f ca="1">OFFSET(F855,0,Brains!$D$1,1,1)</f>
        <v>66500</v>
      </c>
      <c r="I855" t="s">
        <v>2232</v>
      </c>
      <c r="J855" t="s">
        <v>1858</v>
      </c>
      <c r="K855" t="s">
        <v>1869</v>
      </c>
      <c r="L855" t="s">
        <v>1869</v>
      </c>
      <c r="M855" t="s">
        <v>3941</v>
      </c>
      <c r="N855" t="s">
        <v>1866</v>
      </c>
      <c r="P855" s="15" t="str">
        <f t="shared" ca="1" si="26"/>
        <v>50-74.9K</v>
      </c>
      <c r="Q855" s="15">
        <v>8</v>
      </c>
      <c r="S855">
        <v>5</v>
      </c>
      <c r="U855">
        <v>2</v>
      </c>
      <c r="V855" s="15">
        <f t="shared" ca="1" si="27"/>
        <v>4</v>
      </c>
    </row>
    <row r="856" spans="1:22">
      <c r="A856" t="s">
        <v>2575</v>
      </c>
      <c r="B856" s="1">
        <v>41055.062951388885</v>
      </c>
      <c r="C856" s="2">
        <v>65000</v>
      </c>
      <c r="D856">
        <v>65000</v>
      </c>
      <c r="E856" t="s">
        <v>1856</v>
      </c>
      <c r="F856" s="5">
        <v>65000</v>
      </c>
      <c r="G856" s="5">
        <v>65000</v>
      </c>
      <c r="H856" s="5">
        <f ca="1">OFFSET(F856,0,Brains!$D$1,1,1)</f>
        <v>65000</v>
      </c>
      <c r="I856" t="s">
        <v>1911</v>
      </c>
      <c r="J856" t="s">
        <v>1858</v>
      </c>
      <c r="K856" t="s">
        <v>1869</v>
      </c>
      <c r="L856" t="s">
        <v>1869</v>
      </c>
      <c r="M856" t="s">
        <v>3941</v>
      </c>
      <c r="N856" t="s">
        <v>1866</v>
      </c>
      <c r="P856" s="15" t="str">
        <f t="shared" ca="1" si="26"/>
        <v>50-74.9K</v>
      </c>
      <c r="Q856" s="15">
        <v>8</v>
      </c>
      <c r="S856">
        <v>5</v>
      </c>
      <c r="U856">
        <v>2</v>
      </c>
      <c r="V856" s="15">
        <f t="shared" ca="1" si="27"/>
        <v>4</v>
      </c>
    </row>
    <row r="857" spans="1:22">
      <c r="A857" t="s">
        <v>2611</v>
      </c>
      <c r="B857" s="1">
        <v>41055.068124999998</v>
      </c>
      <c r="C857" s="2" t="s">
        <v>2612</v>
      </c>
      <c r="D857">
        <v>63000</v>
      </c>
      <c r="E857" t="s">
        <v>1856</v>
      </c>
      <c r="F857" s="5">
        <v>63000</v>
      </c>
      <c r="G857" s="5">
        <v>63000</v>
      </c>
      <c r="H857" s="5">
        <f ca="1">OFFSET(F857,0,Brains!$D$1,1,1)</f>
        <v>63000</v>
      </c>
      <c r="I857" t="s">
        <v>2022</v>
      </c>
      <c r="J857" t="s">
        <v>1858</v>
      </c>
      <c r="K857" t="s">
        <v>1869</v>
      </c>
      <c r="L857" t="s">
        <v>1869</v>
      </c>
      <c r="M857" t="s">
        <v>3941</v>
      </c>
      <c r="N857" t="s">
        <v>1866</v>
      </c>
      <c r="P857" s="15" t="str">
        <f t="shared" ca="1" si="26"/>
        <v>50-74.9K</v>
      </c>
      <c r="Q857" s="15">
        <v>8</v>
      </c>
      <c r="S857">
        <v>5</v>
      </c>
      <c r="U857">
        <v>2</v>
      </c>
      <c r="V857" s="15">
        <f t="shared" ca="1" si="27"/>
        <v>4</v>
      </c>
    </row>
    <row r="858" spans="1:22">
      <c r="A858" t="s">
        <v>1936</v>
      </c>
      <c r="B858" s="1">
        <v>41054.197928240741</v>
      </c>
      <c r="C858" s="2">
        <v>60000</v>
      </c>
      <c r="D858">
        <v>60000</v>
      </c>
      <c r="E858" t="s">
        <v>1856</v>
      </c>
      <c r="F858" s="5">
        <v>60000</v>
      </c>
      <c r="G858" s="5">
        <v>60000</v>
      </c>
      <c r="H858" s="5">
        <f ca="1">OFFSET(F858,0,Brains!$D$1,1,1)</f>
        <v>60000</v>
      </c>
      <c r="I858" t="s">
        <v>1937</v>
      </c>
      <c r="J858" t="s">
        <v>1858</v>
      </c>
      <c r="K858" t="s">
        <v>1869</v>
      </c>
      <c r="L858" t="s">
        <v>1869</v>
      </c>
      <c r="M858" t="s">
        <v>3941</v>
      </c>
      <c r="N858" t="s">
        <v>1866</v>
      </c>
      <c r="P858" s="15" t="str">
        <f t="shared" ca="1" si="26"/>
        <v>50-74.9K</v>
      </c>
      <c r="Q858" s="15">
        <v>8</v>
      </c>
      <c r="S858">
        <v>5</v>
      </c>
      <c r="U858">
        <v>2</v>
      </c>
      <c r="V858" s="15">
        <f t="shared" ca="1" si="27"/>
        <v>4</v>
      </c>
    </row>
    <row r="859" spans="1:22">
      <c r="A859" t="s">
        <v>2851</v>
      </c>
      <c r="B859" s="1">
        <v>41055.126180555555</v>
      </c>
      <c r="C859" s="2">
        <v>60000</v>
      </c>
      <c r="D859">
        <v>60000</v>
      </c>
      <c r="E859" t="s">
        <v>1856</v>
      </c>
      <c r="F859" s="5">
        <v>60000</v>
      </c>
      <c r="G859" s="5">
        <v>60000</v>
      </c>
      <c r="H859" s="5">
        <f ca="1">OFFSET(F859,0,Brains!$D$1,1,1)</f>
        <v>60000</v>
      </c>
      <c r="I859" t="s">
        <v>2852</v>
      </c>
      <c r="J859" t="s">
        <v>1858</v>
      </c>
      <c r="K859" t="s">
        <v>1869</v>
      </c>
      <c r="L859" t="s">
        <v>1869</v>
      </c>
      <c r="M859" t="s">
        <v>3941</v>
      </c>
      <c r="N859" t="s">
        <v>1866</v>
      </c>
      <c r="P859" s="15" t="str">
        <f t="shared" ca="1" si="26"/>
        <v>50-74.9K</v>
      </c>
      <c r="Q859" s="15">
        <v>8</v>
      </c>
      <c r="S859">
        <v>5</v>
      </c>
      <c r="U859">
        <v>2</v>
      </c>
      <c r="V859" s="15">
        <f t="shared" ca="1" si="27"/>
        <v>4</v>
      </c>
    </row>
    <row r="860" spans="1:22">
      <c r="A860" t="s">
        <v>1867</v>
      </c>
      <c r="B860" s="1">
        <v>41054.136412037034</v>
      </c>
      <c r="C860" s="2">
        <v>58000</v>
      </c>
      <c r="D860">
        <v>58000</v>
      </c>
      <c r="E860" t="s">
        <v>1856</v>
      </c>
      <c r="F860" s="5">
        <v>58000</v>
      </c>
      <c r="G860" s="5">
        <v>58000</v>
      </c>
      <c r="H860" s="5">
        <f ca="1">OFFSET(F860,0,Brains!$D$1,1,1)</f>
        <v>58000</v>
      </c>
      <c r="I860" t="s">
        <v>1868</v>
      </c>
      <c r="J860" t="s">
        <v>1858</v>
      </c>
      <c r="K860" t="s">
        <v>1869</v>
      </c>
      <c r="L860" t="s">
        <v>1869</v>
      </c>
      <c r="M860" t="s">
        <v>3941</v>
      </c>
      <c r="N860" t="s">
        <v>1866</v>
      </c>
      <c r="P860" s="15" t="str">
        <f t="shared" ca="1" si="26"/>
        <v>50-74.9K</v>
      </c>
      <c r="Q860" s="15">
        <v>8</v>
      </c>
      <c r="S860">
        <v>5</v>
      </c>
      <c r="U860">
        <v>2</v>
      </c>
      <c r="V860" s="15">
        <f t="shared" ca="1" si="27"/>
        <v>4</v>
      </c>
    </row>
    <row r="861" spans="1:22">
      <c r="A861" t="s">
        <v>2463</v>
      </c>
      <c r="B861" s="1">
        <v>41055.048888888887</v>
      </c>
      <c r="C861" s="2">
        <v>55000</v>
      </c>
      <c r="D861">
        <v>55000</v>
      </c>
      <c r="E861" t="s">
        <v>1856</v>
      </c>
      <c r="F861" s="5">
        <v>55000</v>
      </c>
      <c r="G861" s="5">
        <v>55000</v>
      </c>
      <c r="H861" s="5">
        <f ca="1">OFFSET(F861,0,Brains!$D$1,1,1)</f>
        <v>55000</v>
      </c>
      <c r="I861" t="s">
        <v>2208</v>
      </c>
      <c r="J861" t="s">
        <v>1858</v>
      </c>
      <c r="K861" t="s">
        <v>1869</v>
      </c>
      <c r="L861" t="s">
        <v>1869</v>
      </c>
      <c r="M861" t="s">
        <v>3941</v>
      </c>
      <c r="N861" t="s">
        <v>1866</v>
      </c>
      <c r="P861" s="15" t="str">
        <f t="shared" ca="1" si="26"/>
        <v>50-74.9K</v>
      </c>
      <c r="Q861" s="15">
        <v>8</v>
      </c>
      <c r="S861">
        <v>5</v>
      </c>
      <c r="U861">
        <v>2</v>
      </c>
      <c r="V861" s="15">
        <f t="shared" ca="1" si="27"/>
        <v>4</v>
      </c>
    </row>
    <row r="862" spans="1:22">
      <c r="A862" t="s">
        <v>2760</v>
      </c>
      <c r="B862" s="1">
        <v>41055.093969907408</v>
      </c>
      <c r="C862" s="2">
        <v>51613</v>
      </c>
      <c r="D862">
        <v>51613</v>
      </c>
      <c r="E862" t="s">
        <v>1856</v>
      </c>
      <c r="F862" s="5">
        <v>51613</v>
      </c>
      <c r="G862" s="5">
        <v>51613</v>
      </c>
      <c r="H862" s="5">
        <f ca="1">OFFSET(F862,0,Brains!$D$1,1,1)</f>
        <v>51613</v>
      </c>
      <c r="I862" t="s">
        <v>2761</v>
      </c>
      <c r="J862" t="s">
        <v>1858</v>
      </c>
      <c r="K862" t="s">
        <v>1869</v>
      </c>
      <c r="L862" t="s">
        <v>1869</v>
      </c>
      <c r="M862" t="s">
        <v>3941</v>
      </c>
      <c r="N862" t="s">
        <v>1866</v>
      </c>
      <c r="P862" s="15" t="str">
        <f t="shared" ca="1" si="26"/>
        <v>50-74.9K</v>
      </c>
      <c r="Q862" s="15">
        <v>8</v>
      </c>
      <c r="S862">
        <v>5</v>
      </c>
      <c r="U862">
        <v>2</v>
      </c>
      <c r="V862" s="15">
        <f t="shared" ca="1" si="27"/>
        <v>4</v>
      </c>
    </row>
    <row r="863" spans="1:22">
      <c r="A863" t="s">
        <v>2038</v>
      </c>
      <c r="B863" s="1">
        <v>41054.318310185183</v>
      </c>
      <c r="C863" s="2">
        <v>50000</v>
      </c>
      <c r="D863">
        <v>50000</v>
      </c>
      <c r="E863" t="s">
        <v>1856</v>
      </c>
      <c r="F863" s="5">
        <v>50000</v>
      </c>
      <c r="G863" s="5">
        <v>50000</v>
      </c>
      <c r="H863" s="5">
        <f ca="1">OFFSET(F863,0,Brains!$D$1,1,1)</f>
        <v>50000</v>
      </c>
      <c r="I863" t="s">
        <v>2039</v>
      </c>
      <c r="J863" t="s">
        <v>1858</v>
      </c>
      <c r="K863" t="s">
        <v>1869</v>
      </c>
      <c r="L863" t="s">
        <v>1869</v>
      </c>
      <c r="M863" t="s">
        <v>3941</v>
      </c>
      <c r="N863" t="s">
        <v>1866</v>
      </c>
      <c r="P863" s="15" t="str">
        <f t="shared" ca="1" si="26"/>
        <v>50-74.9K</v>
      </c>
      <c r="Q863" s="15">
        <v>8</v>
      </c>
      <c r="S863">
        <v>5</v>
      </c>
      <c r="U863">
        <v>2</v>
      </c>
      <c r="V863" s="15">
        <f t="shared" ca="1" si="27"/>
        <v>4</v>
      </c>
    </row>
    <row r="864" spans="1:22">
      <c r="A864" t="s">
        <v>2401</v>
      </c>
      <c r="B864" s="1">
        <v>41055.043599537035</v>
      </c>
      <c r="C864" s="2">
        <v>50000</v>
      </c>
      <c r="D864">
        <v>50000</v>
      </c>
      <c r="E864" t="s">
        <v>1856</v>
      </c>
      <c r="F864" s="5">
        <v>50000</v>
      </c>
      <c r="G864" s="5">
        <v>50000</v>
      </c>
      <c r="H864" s="5">
        <f ca="1">OFFSET(F864,0,Brains!$D$1,1,1)</f>
        <v>50000</v>
      </c>
      <c r="I864" t="s">
        <v>2208</v>
      </c>
      <c r="J864" t="s">
        <v>1858</v>
      </c>
      <c r="K864" t="s">
        <v>1869</v>
      </c>
      <c r="L864" t="s">
        <v>1869</v>
      </c>
      <c r="M864" t="s">
        <v>3941</v>
      </c>
      <c r="N864" t="s">
        <v>1866</v>
      </c>
      <c r="P864" s="15" t="str">
        <f t="shared" ca="1" si="26"/>
        <v>50-74.9K</v>
      </c>
      <c r="Q864" s="15">
        <v>8</v>
      </c>
      <c r="S864">
        <v>5</v>
      </c>
      <c r="U864">
        <v>2</v>
      </c>
      <c r="V864" s="15">
        <f t="shared" ca="1" si="27"/>
        <v>4</v>
      </c>
    </row>
    <row r="865" spans="1:22">
      <c r="A865" t="s">
        <v>2506</v>
      </c>
      <c r="B865" s="1">
        <v>41055.054965277777</v>
      </c>
      <c r="C865" s="2">
        <v>50000</v>
      </c>
      <c r="D865">
        <v>50000</v>
      </c>
      <c r="E865" t="s">
        <v>1856</v>
      </c>
      <c r="F865" s="5">
        <v>50000</v>
      </c>
      <c r="G865" s="5">
        <v>50000</v>
      </c>
      <c r="H865" s="5">
        <f ca="1">OFFSET(F865,0,Brains!$D$1,1,1)</f>
        <v>50000</v>
      </c>
      <c r="I865" t="s">
        <v>2507</v>
      </c>
      <c r="J865" t="s">
        <v>1858</v>
      </c>
      <c r="K865" t="s">
        <v>1869</v>
      </c>
      <c r="L865" t="s">
        <v>1869</v>
      </c>
      <c r="M865" t="s">
        <v>3941</v>
      </c>
      <c r="N865" t="s">
        <v>1866</v>
      </c>
      <c r="P865" s="15" t="str">
        <f t="shared" ca="1" si="26"/>
        <v>50-74.9K</v>
      </c>
      <c r="Q865" s="15">
        <v>8</v>
      </c>
      <c r="S865">
        <v>5</v>
      </c>
      <c r="U865">
        <v>2</v>
      </c>
      <c r="V865" s="15">
        <f t="shared" ca="1" si="27"/>
        <v>4</v>
      </c>
    </row>
    <row r="866" spans="1:22">
      <c r="A866" t="s">
        <v>2590</v>
      </c>
      <c r="B866" s="1">
        <v>41055.064189814817</v>
      </c>
      <c r="C866" s="2">
        <v>50000</v>
      </c>
      <c r="D866">
        <v>50000</v>
      </c>
      <c r="E866" t="s">
        <v>1856</v>
      </c>
      <c r="F866" s="5">
        <v>50000</v>
      </c>
      <c r="G866" s="5">
        <v>50000</v>
      </c>
      <c r="H866" s="5">
        <f ca="1">OFFSET(F866,0,Brains!$D$1,1,1)</f>
        <v>50000</v>
      </c>
      <c r="I866" t="s">
        <v>2591</v>
      </c>
      <c r="J866" t="s">
        <v>1858</v>
      </c>
      <c r="K866" t="s">
        <v>1869</v>
      </c>
      <c r="L866" t="s">
        <v>1869</v>
      </c>
      <c r="M866" t="s">
        <v>3941</v>
      </c>
      <c r="N866" t="s">
        <v>1866</v>
      </c>
      <c r="P866" s="15" t="str">
        <f t="shared" ca="1" si="26"/>
        <v>50-74.9K</v>
      </c>
      <c r="Q866" s="15">
        <v>8</v>
      </c>
      <c r="S866">
        <v>5</v>
      </c>
      <c r="U866">
        <v>2</v>
      </c>
      <c r="V866" s="15">
        <f t="shared" ca="1" si="27"/>
        <v>4</v>
      </c>
    </row>
    <row r="867" spans="1:22">
      <c r="A867" t="s">
        <v>1910</v>
      </c>
      <c r="B867" s="1">
        <v>41054.160393518519</v>
      </c>
      <c r="C867" s="2">
        <v>49000</v>
      </c>
      <c r="D867">
        <v>49000</v>
      </c>
      <c r="E867" t="s">
        <v>1856</v>
      </c>
      <c r="F867" s="5">
        <v>49000</v>
      </c>
      <c r="G867" s="5">
        <v>49000</v>
      </c>
      <c r="H867" s="5">
        <f ca="1">OFFSET(F867,0,Brains!$D$1,1,1)</f>
        <v>49000</v>
      </c>
      <c r="I867" t="s">
        <v>1911</v>
      </c>
      <c r="J867" t="s">
        <v>1858</v>
      </c>
      <c r="K867" t="s">
        <v>1869</v>
      </c>
      <c r="L867" t="s">
        <v>1869</v>
      </c>
      <c r="M867" t="s">
        <v>3941</v>
      </c>
      <c r="N867" t="s">
        <v>1866</v>
      </c>
      <c r="P867" s="15" t="str">
        <f t="shared" ca="1" si="26"/>
        <v>30-49.9K</v>
      </c>
      <c r="Q867" s="15">
        <v>8</v>
      </c>
      <c r="S867">
        <v>5</v>
      </c>
      <c r="U867">
        <v>2</v>
      </c>
      <c r="V867" s="15">
        <f t="shared" ca="1" si="27"/>
        <v>3</v>
      </c>
    </row>
    <row r="868" spans="1:22">
      <c r="A868" t="s">
        <v>2475</v>
      </c>
      <c r="B868" s="1">
        <v>41055.051701388889</v>
      </c>
      <c r="C868" s="2">
        <v>46000</v>
      </c>
      <c r="D868">
        <v>46000</v>
      </c>
      <c r="E868" t="s">
        <v>1856</v>
      </c>
      <c r="F868" s="5">
        <v>46000</v>
      </c>
      <c r="G868" s="5">
        <v>46000</v>
      </c>
      <c r="H868" s="5">
        <f ca="1">OFFSET(F868,0,Brains!$D$1,1,1)</f>
        <v>46000</v>
      </c>
      <c r="I868" t="s">
        <v>2476</v>
      </c>
      <c r="J868" t="s">
        <v>1858</v>
      </c>
      <c r="K868" t="s">
        <v>1869</v>
      </c>
      <c r="L868" t="s">
        <v>1869</v>
      </c>
      <c r="M868" t="s">
        <v>3941</v>
      </c>
      <c r="N868" t="s">
        <v>1866</v>
      </c>
      <c r="P868" s="15" t="str">
        <f t="shared" ca="1" si="26"/>
        <v>30-49.9K</v>
      </c>
      <c r="Q868" s="15">
        <v>8</v>
      </c>
      <c r="S868">
        <v>5</v>
      </c>
      <c r="U868">
        <v>2</v>
      </c>
      <c r="V868" s="15">
        <f t="shared" ca="1" si="27"/>
        <v>3</v>
      </c>
    </row>
    <row r="869" spans="1:22">
      <c r="A869" t="s">
        <v>2633</v>
      </c>
      <c r="B869" s="1">
        <v>41055.070763888885</v>
      </c>
      <c r="C869" s="2">
        <v>44200</v>
      </c>
      <c r="D869">
        <v>44200</v>
      </c>
      <c r="E869" t="s">
        <v>1856</v>
      </c>
      <c r="F869" s="5">
        <v>44200</v>
      </c>
      <c r="G869" s="5">
        <v>44200</v>
      </c>
      <c r="H869" s="5">
        <f ca="1">OFFSET(F869,0,Brains!$D$1,1,1)</f>
        <v>44200</v>
      </c>
      <c r="I869" t="s">
        <v>2634</v>
      </c>
      <c r="J869" t="s">
        <v>1858</v>
      </c>
      <c r="K869" t="s">
        <v>1869</v>
      </c>
      <c r="L869" t="s">
        <v>1869</v>
      </c>
      <c r="M869" t="s">
        <v>3941</v>
      </c>
      <c r="N869" t="s">
        <v>1866</v>
      </c>
      <c r="P869" s="15" t="str">
        <f t="shared" ca="1" si="26"/>
        <v>30-49.9K</v>
      </c>
      <c r="Q869" s="15">
        <v>8</v>
      </c>
      <c r="S869">
        <v>5</v>
      </c>
      <c r="U869">
        <v>2</v>
      </c>
      <c r="V869" s="15">
        <f t="shared" ca="1" si="27"/>
        <v>3</v>
      </c>
    </row>
    <row r="870" spans="1:22">
      <c r="A870" t="s">
        <v>2340</v>
      </c>
      <c r="B870" s="1">
        <v>41055.037974537037</v>
      </c>
      <c r="C870" s="2">
        <v>43000</v>
      </c>
      <c r="D870">
        <v>43000</v>
      </c>
      <c r="E870" t="s">
        <v>1856</v>
      </c>
      <c r="F870" s="5">
        <v>43000</v>
      </c>
      <c r="G870" s="5">
        <v>43000</v>
      </c>
      <c r="H870" s="5">
        <f ca="1">OFFSET(F870,0,Brains!$D$1,1,1)</f>
        <v>43000</v>
      </c>
      <c r="I870" t="s">
        <v>2341</v>
      </c>
      <c r="J870" t="s">
        <v>1858</v>
      </c>
      <c r="K870" t="s">
        <v>1869</v>
      </c>
      <c r="L870" t="s">
        <v>1869</v>
      </c>
      <c r="M870" t="s">
        <v>3941</v>
      </c>
      <c r="N870" t="s">
        <v>1866</v>
      </c>
      <c r="P870" s="15" t="str">
        <f t="shared" ca="1" si="26"/>
        <v>30-49.9K</v>
      </c>
      <c r="Q870" s="15">
        <v>8</v>
      </c>
      <c r="S870">
        <v>5</v>
      </c>
      <c r="U870">
        <v>2</v>
      </c>
      <c r="V870" s="15">
        <f t="shared" ca="1" si="27"/>
        <v>3</v>
      </c>
    </row>
    <row r="871" spans="1:22">
      <c r="A871" t="s">
        <v>2279</v>
      </c>
      <c r="B871" s="1">
        <v>41055.03460648148</v>
      </c>
      <c r="C871" s="2">
        <v>40000</v>
      </c>
      <c r="D871">
        <v>40000</v>
      </c>
      <c r="E871" t="s">
        <v>1856</v>
      </c>
      <c r="F871" s="5">
        <v>40000</v>
      </c>
      <c r="G871" s="5">
        <v>40000</v>
      </c>
      <c r="H871" s="5">
        <f ca="1">OFFSET(F871,0,Brains!$D$1,1,1)</f>
        <v>40000</v>
      </c>
      <c r="I871" t="s">
        <v>2280</v>
      </c>
      <c r="J871" t="s">
        <v>1858</v>
      </c>
      <c r="K871" t="s">
        <v>1869</v>
      </c>
      <c r="L871" t="s">
        <v>1869</v>
      </c>
      <c r="M871" t="s">
        <v>3941</v>
      </c>
      <c r="N871" t="s">
        <v>1866</v>
      </c>
      <c r="P871" s="15" t="str">
        <f t="shared" ca="1" si="26"/>
        <v>30-49.9K</v>
      </c>
      <c r="Q871" s="15">
        <v>8</v>
      </c>
      <c r="S871">
        <v>5</v>
      </c>
      <c r="U871">
        <v>2</v>
      </c>
      <c r="V871" s="15">
        <f t="shared" ca="1" si="27"/>
        <v>3</v>
      </c>
    </row>
    <row r="872" spans="1:22">
      <c r="A872" t="s">
        <v>2421</v>
      </c>
      <c r="B872" s="1">
        <v>41055.045451388891</v>
      </c>
      <c r="C872" s="2">
        <v>40000</v>
      </c>
      <c r="D872">
        <v>40000</v>
      </c>
      <c r="E872" t="s">
        <v>1856</v>
      </c>
      <c r="F872" s="5">
        <v>40000</v>
      </c>
      <c r="G872" s="5">
        <v>40000</v>
      </c>
      <c r="H872" s="5">
        <f ca="1">OFFSET(F872,0,Brains!$D$1,1,1)</f>
        <v>40000</v>
      </c>
      <c r="I872" t="s">
        <v>2195</v>
      </c>
      <c r="J872" t="s">
        <v>1858</v>
      </c>
      <c r="K872" t="s">
        <v>1869</v>
      </c>
      <c r="L872" t="s">
        <v>1869</v>
      </c>
      <c r="M872" t="s">
        <v>3941</v>
      </c>
      <c r="N872" t="s">
        <v>1866</v>
      </c>
      <c r="P872" s="15" t="str">
        <f t="shared" ca="1" si="26"/>
        <v>30-49.9K</v>
      </c>
      <c r="Q872" s="15">
        <v>8</v>
      </c>
      <c r="S872">
        <v>5</v>
      </c>
      <c r="U872">
        <v>2</v>
      </c>
      <c r="V872" s="15">
        <f t="shared" ca="1" si="27"/>
        <v>3</v>
      </c>
    </row>
    <row r="873" spans="1:22">
      <c r="A873" t="s">
        <v>2474</v>
      </c>
      <c r="B873" s="1">
        <v>41055.05127314815</v>
      </c>
      <c r="C873" s="2">
        <v>40000</v>
      </c>
      <c r="D873">
        <v>40000</v>
      </c>
      <c r="E873" t="s">
        <v>1856</v>
      </c>
      <c r="F873" s="5">
        <v>40000</v>
      </c>
      <c r="G873" s="5">
        <v>40000</v>
      </c>
      <c r="H873" s="5">
        <f ca="1">OFFSET(F873,0,Brains!$D$1,1,1)</f>
        <v>40000</v>
      </c>
      <c r="I873" t="s">
        <v>2195</v>
      </c>
      <c r="J873" t="s">
        <v>1858</v>
      </c>
      <c r="K873" t="s">
        <v>1869</v>
      </c>
      <c r="L873" t="s">
        <v>1869</v>
      </c>
      <c r="M873" t="s">
        <v>3941</v>
      </c>
      <c r="N873" t="s">
        <v>1866</v>
      </c>
      <c r="P873" s="15" t="str">
        <f t="shared" ca="1" si="26"/>
        <v>30-49.9K</v>
      </c>
      <c r="Q873" s="15">
        <v>8</v>
      </c>
      <c r="S873">
        <v>5</v>
      </c>
      <c r="U873">
        <v>2</v>
      </c>
      <c r="V873" s="15">
        <f t="shared" ca="1" si="27"/>
        <v>3</v>
      </c>
    </row>
    <row r="874" spans="1:22">
      <c r="A874" t="s">
        <v>2225</v>
      </c>
      <c r="B874" s="1">
        <v>41055.031319444446</v>
      </c>
      <c r="C874" s="2">
        <v>37440</v>
      </c>
      <c r="D874">
        <v>37440</v>
      </c>
      <c r="E874" t="s">
        <v>1856</v>
      </c>
      <c r="F874" s="5">
        <v>37440</v>
      </c>
      <c r="G874" s="5">
        <v>37440</v>
      </c>
      <c r="H874" s="5">
        <f ca="1">OFFSET(F874,0,Brains!$D$1,1,1)</f>
        <v>37440</v>
      </c>
      <c r="I874" t="s">
        <v>2044</v>
      </c>
      <c r="J874" t="s">
        <v>1858</v>
      </c>
      <c r="K874" t="s">
        <v>1869</v>
      </c>
      <c r="L874" t="s">
        <v>1869</v>
      </c>
      <c r="M874" t="s">
        <v>3941</v>
      </c>
      <c r="N874" t="s">
        <v>1866</v>
      </c>
      <c r="P874" s="15" t="str">
        <f t="shared" ca="1" si="26"/>
        <v>30-49.9K</v>
      </c>
      <c r="Q874" s="15">
        <v>8</v>
      </c>
      <c r="S874">
        <v>5</v>
      </c>
      <c r="U874">
        <v>2</v>
      </c>
      <c r="V874" s="15">
        <f t="shared" ca="1" si="27"/>
        <v>3</v>
      </c>
    </row>
    <row r="875" spans="1:22">
      <c r="A875" t="s">
        <v>2521</v>
      </c>
      <c r="B875" s="1">
        <v>41055.057199074072</v>
      </c>
      <c r="C875" s="2" t="s">
        <v>2522</v>
      </c>
      <c r="D875">
        <v>36000</v>
      </c>
      <c r="E875" t="s">
        <v>1856</v>
      </c>
      <c r="F875" s="5">
        <v>36000</v>
      </c>
      <c r="G875" s="5">
        <v>36000</v>
      </c>
      <c r="H875" s="5">
        <f ca="1">OFFSET(F875,0,Brains!$D$1,1,1)</f>
        <v>36000</v>
      </c>
      <c r="I875" t="s">
        <v>2523</v>
      </c>
      <c r="J875" t="s">
        <v>1858</v>
      </c>
      <c r="K875" t="s">
        <v>1869</v>
      </c>
      <c r="L875" t="s">
        <v>1869</v>
      </c>
      <c r="M875" t="s">
        <v>3941</v>
      </c>
      <c r="N875" t="s">
        <v>1866</v>
      </c>
      <c r="P875" s="15" t="str">
        <f t="shared" ca="1" si="26"/>
        <v>30-49.9K</v>
      </c>
      <c r="Q875" s="15">
        <v>8</v>
      </c>
      <c r="S875">
        <v>5</v>
      </c>
      <c r="U875">
        <v>2</v>
      </c>
      <c r="V875" s="15">
        <f t="shared" ca="1" si="27"/>
        <v>3</v>
      </c>
    </row>
    <row r="876" spans="1:22">
      <c r="A876" t="s">
        <v>2641</v>
      </c>
      <c r="B876" s="1">
        <v>41055.071446759262</v>
      </c>
      <c r="C876" s="2" t="s">
        <v>2642</v>
      </c>
      <c r="D876">
        <v>170000</v>
      </c>
      <c r="E876" t="s">
        <v>1856</v>
      </c>
      <c r="F876" s="5">
        <v>170000</v>
      </c>
      <c r="G876" s="5">
        <v>170000</v>
      </c>
      <c r="H876" s="5">
        <f ca="1">OFFSET(F876,0,Brains!$D$1,1,1)</f>
        <v>170000</v>
      </c>
      <c r="I876" t="s">
        <v>2643</v>
      </c>
      <c r="J876" t="s">
        <v>1858</v>
      </c>
      <c r="K876" t="s">
        <v>1956</v>
      </c>
      <c r="L876" t="s">
        <v>1956</v>
      </c>
      <c r="M876" s="11" t="s">
        <v>3919</v>
      </c>
      <c r="N876" t="s">
        <v>2155</v>
      </c>
      <c r="P876" s="15" t="str">
        <f t="shared" ca="1" si="26"/>
        <v>150-249.9K</v>
      </c>
      <c r="Q876" s="15">
        <v>0</v>
      </c>
      <c r="S876">
        <v>1</v>
      </c>
      <c r="U876">
        <v>2</v>
      </c>
      <c r="V876" s="15">
        <f t="shared" ca="1" si="27"/>
        <v>7</v>
      </c>
    </row>
    <row r="877" spans="1:22">
      <c r="A877" t="s">
        <v>2156</v>
      </c>
      <c r="B877" s="1">
        <v>41055.028946759259</v>
      </c>
      <c r="C877" s="2">
        <v>60000</v>
      </c>
      <c r="D877">
        <v>60000</v>
      </c>
      <c r="E877" t="s">
        <v>1979</v>
      </c>
      <c r="F877" s="5">
        <v>59001.691381819612</v>
      </c>
      <c r="G877" s="5">
        <v>48038.430744595673</v>
      </c>
      <c r="H877" s="5">
        <f ca="1">OFFSET(F877,0,Brains!$D$1,1,1)</f>
        <v>48038.430744595673</v>
      </c>
      <c r="I877" t="s">
        <v>2157</v>
      </c>
      <c r="J877" t="s">
        <v>1858</v>
      </c>
      <c r="K877" t="s">
        <v>1981</v>
      </c>
      <c r="L877" t="s">
        <v>1981</v>
      </c>
      <c r="M877" s="11" t="s">
        <v>3919</v>
      </c>
      <c r="N877" t="s">
        <v>2155</v>
      </c>
      <c r="P877" s="15" t="str">
        <f t="shared" ca="1" si="26"/>
        <v>30-49.9K</v>
      </c>
      <c r="Q877" s="15">
        <v>0</v>
      </c>
      <c r="S877">
        <v>1</v>
      </c>
      <c r="U877">
        <v>2</v>
      </c>
      <c r="V877" s="15">
        <f t="shared" ca="1" si="27"/>
        <v>3</v>
      </c>
    </row>
    <row r="878" spans="1:22">
      <c r="A878" t="s">
        <v>2153</v>
      </c>
      <c r="B878" s="1">
        <v>41055.028912037036</v>
      </c>
      <c r="C878" s="2">
        <v>52000</v>
      </c>
      <c r="D878">
        <v>52000</v>
      </c>
      <c r="E878" t="s">
        <v>1856</v>
      </c>
      <c r="F878" s="5">
        <v>52000</v>
      </c>
      <c r="G878" s="5">
        <v>52000</v>
      </c>
      <c r="H878" s="5">
        <f ca="1">OFFSET(F878,0,Brains!$D$1,1,1)</f>
        <v>52000</v>
      </c>
      <c r="I878" t="s">
        <v>2154</v>
      </c>
      <c r="J878" t="s">
        <v>1858</v>
      </c>
      <c r="K878" t="s">
        <v>1869</v>
      </c>
      <c r="L878" t="s">
        <v>1869</v>
      </c>
      <c r="M878" s="11" t="s">
        <v>3919</v>
      </c>
      <c r="N878" t="s">
        <v>2155</v>
      </c>
      <c r="P878" s="15" t="str">
        <f t="shared" ca="1" si="26"/>
        <v>50-74.9K</v>
      </c>
      <c r="Q878" s="15">
        <v>0</v>
      </c>
      <c r="S878">
        <v>1</v>
      </c>
      <c r="U878">
        <v>2</v>
      </c>
      <c r="V878" s="15">
        <f t="shared" ca="1" si="27"/>
        <v>4</v>
      </c>
    </row>
    <row r="879" spans="1:22">
      <c r="A879" t="s">
        <v>2896</v>
      </c>
      <c r="B879" s="1">
        <v>41055.138194444444</v>
      </c>
      <c r="C879" s="2">
        <v>30000</v>
      </c>
      <c r="D879">
        <v>30000</v>
      </c>
      <c r="E879" t="s">
        <v>1856</v>
      </c>
      <c r="F879" s="5">
        <v>30000</v>
      </c>
      <c r="G879" s="5">
        <v>30000</v>
      </c>
      <c r="H879" s="5">
        <f ca="1">OFFSET(F879,0,Brains!$D$1,1,1)</f>
        <v>30000</v>
      </c>
      <c r="I879" t="s">
        <v>2897</v>
      </c>
      <c r="J879" t="s">
        <v>1858</v>
      </c>
      <c r="K879" t="s">
        <v>1869</v>
      </c>
      <c r="L879" t="s">
        <v>1869</v>
      </c>
      <c r="M879" s="11" t="s">
        <v>3919</v>
      </c>
      <c r="N879" t="s">
        <v>2155</v>
      </c>
      <c r="P879" s="15" t="str">
        <f t="shared" ca="1" si="26"/>
        <v>30-49.9K</v>
      </c>
      <c r="Q879" s="15">
        <v>0</v>
      </c>
      <c r="S879">
        <v>1</v>
      </c>
      <c r="U879">
        <v>2</v>
      </c>
      <c r="V879" s="15">
        <f t="shared" ca="1" si="27"/>
        <v>3</v>
      </c>
    </row>
    <row r="880" spans="1:22">
      <c r="A880" t="s">
        <v>1701</v>
      </c>
      <c r="B880" s="1">
        <v>41075.048715277779</v>
      </c>
      <c r="C880" s="2">
        <v>37500</v>
      </c>
      <c r="D880">
        <v>37500</v>
      </c>
      <c r="E880" t="s">
        <v>1856</v>
      </c>
      <c r="F880" s="5">
        <v>37500</v>
      </c>
      <c r="G880" s="5">
        <v>37500</v>
      </c>
      <c r="H880" s="5">
        <f ca="1">OFFSET(F880,0,Brains!$D$1,1,1)</f>
        <v>37500</v>
      </c>
      <c r="I880" t="s">
        <v>1974</v>
      </c>
      <c r="J880" t="s">
        <v>1962</v>
      </c>
      <c r="K880" t="s">
        <v>1859</v>
      </c>
      <c r="L880" t="s">
        <v>1859</v>
      </c>
      <c r="M880" s="7" t="s">
        <v>3941</v>
      </c>
      <c r="N880" t="s">
        <v>1866</v>
      </c>
      <c r="O880" s="7" t="s">
        <v>3920</v>
      </c>
      <c r="P880" s="17" t="str">
        <f t="shared" ca="1" si="26"/>
        <v>30-49.9K</v>
      </c>
      <c r="Q880" s="17">
        <v>8</v>
      </c>
      <c r="R880">
        <v>0</v>
      </c>
      <c r="S880">
        <v>5</v>
      </c>
      <c r="T880">
        <v>1</v>
      </c>
      <c r="U880">
        <v>3</v>
      </c>
      <c r="V880" s="15">
        <f t="shared" ca="1" si="27"/>
        <v>3</v>
      </c>
    </row>
    <row r="881" spans="1:22">
      <c r="A881" t="s">
        <v>1379</v>
      </c>
      <c r="B881" s="1">
        <v>41064.905034722222</v>
      </c>
      <c r="C881" s="2">
        <v>56000</v>
      </c>
      <c r="D881">
        <v>56000</v>
      </c>
      <c r="E881" t="s">
        <v>1979</v>
      </c>
      <c r="F881" s="5">
        <v>55068.245289698301</v>
      </c>
      <c r="G881" s="5">
        <v>44835.868694955956</v>
      </c>
      <c r="H881" s="5">
        <f ca="1">OFFSET(F881,0,Brains!$D$1,1,1)</f>
        <v>44835.868694955956</v>
      </c>
      <c r="I881" t="s">
        <v>1974</v>
      </c>
      <c r="J881" t="s">
        <v>1962</v>
      </c>
      <c r="K881" t="s">
        <v>1981</v>
      </c>
      <c r="L881" t="s">
        <v>1981</v>
      </c>
      <c r="M881" s="7" t="s">
        <v>3941</v>
      </c>
      <c r="N881" t="s">
        <v>1866</v>
      </c>
      <c r="O881" s="7" t="s">
        <v>3920</v>
      </c>
      <c r="P881" s="17" t="str">
        <f t="shared" ca="1" si="26"/>
        <v>30-49.9K</v>
      </c>
      <c r="Q881" s="17">
        <v>8</v>
      </c>
      <c r="R881">
        <v>1</v>
      </c>
      <c r="S881">
        <v>5</v>
      </c>
      <c r="T881">
        <v>1</v>
      </c>
      <c r="U881">
        <v>3</v>
      </c>
      <c r="V881" s="15">
        <f t="shared" ca="1" si="27"/>
        <v>3</v>
      </c>
    </row>
    <row r="882" spans="1:22">
      <c r="A882" t="s">
        <v>3503</v>
      </c>
      <c r="B882" s="1">
        <v>41055.744062500002</v>
      </c>
      <c r="C882" s="2">
        <v>48000</v>
      </c>
      <c r="D882">
        <v>48000</v>
      </c>
      <c r="E882" t="s">
        <v>1856</v>
      </c>
      <c r="F882" s="5">
        <v>48000</v>
      </c>
      <c r="G882" s="5">
        <v>48000</v>
      </c>
      <c r="H882" s="5">
        <f ca="1">OFFSET(F882,0,Brains!$D$1,1,1)</f>
        <v>48000</v>
      </c>
      <c r="I882" t="s">
        <v>1962</v>
      </c>
      <c r="J882" t="s">
        <v>1962</v>
      </c>
      <c r="K882" t="s">
        <v>2344</v>
      </c>
      <c r="L882" t="s">
        <v>2344</v>
      </c>
      <c r="M882" s="7" t="s">
        <v>3941</v>
      </c>
      <c r="N882" t="s">
        <v>1866</v>
      </c>
      <c r="O882" s="7" t="s">
        <v>3920</v>
      </c>
      <c r="P882" s="17" t="str">
        <f t="shared" ca="1" si="26"/>
        <v>30-49.9K</v>
      </c>
      <c r="Q882" s="17">
        <v>8</v>
      </c>
      <c r="R882">
        <v>3</v>
      </c>
      <c r="S882">
        <v>5</v>
      </c>
      <c r="T882">
        <v>1</v>
      </c>
      <c r="U882">
        <v>3</v>
      </c>
      <c r="V882" s="15">
        <f t="shared" ca="1" si="27"/>
        <v>3</v>
      </c>
    </row>
    <row r="883" spans="1:22">
      <c r="A883" t="s">
        <v>3294</v>
      </c>
      <c r="B883" s="1">
        <v>41055.543634259258</v>
      </c>
      <c r="C883" s="2">
        <v>470000</v>
      </c>
      <c r="D883">
        <v>470000</v>
      </c>
      <c r="E883" t="s">
        <v>1908</v>
      </c>
      <c r="F883" s="5">
        <v>8369.7208430980063</v>
      </c>
      <c r="G883" s="5">
        <v>23404.043421969924</v>
      </c>
      <c r="H883" s="5">
        <f ca="1">OFFSET(F883,0,Brains!$D$1,1,1)</f>
        <v>23404.043421969924</v>
      </c>
      <c r="I883" t="s">
        <v>1962</v>
      </c>
      <c r="J883" t="s">
        <v>1962</v>
      </c>
      <c r="K883" t="s">
        <v>1859</v>
      </c>
      <c r="L883" t="s">
        <v>1859</v>
      </c>
      <c r="M883" s="7" t="s">
        <v>3941</v>
      </c>
      <c r="N883" t="s">
        <v>1866</v>
      </c>
      <c r="O883" s="7" t="s">
        <v>3920</v>
      </c>
      <c r="P883" s="17" t="str">
        <f t="shared" ca="1" si="26"/>
        <v>15-29.9K</v>
      </c>
      <c r="Q883" s="17">
        <v>8</v>
      </c>
      <c r="R883">
        <v>4</v>
      </c>
      <c r="S883">
        <v>5</v>
      </c>
      <c r="T883">
        <v>1</v>
      </c>
      <c r="U883">
        <v>3</v>
      </c>
      <c r="V883" s="15">
        <f t="shared" ca="1" si="27"/>
        <v>2</v>
      </c>
    </row>
    <row r="884" spans="1:22">
      <c r="A884" t="s">
        <v>142</v>
      </c>
      <c r="B884" s="1">
        <v>41057.570115740738</v>
      </c>
      <c r="C884" s="2" t="s">
        <v>143</v>
      </c>
      <c r="D884">
        <v>60000</v>
      </c>
      <c r="E884" t="s">
        <v>1856</v>
      </c>
      <c r="F884" s="5">
        <v>60000</v>
      </c>
      <c r="G884" s="5">
        <v>60000</v>
      </c>
      <c r="H884" s="5">
        <f ca="1">OFFSET(F884,0,Brains!$D$1,1,1)</f>
        <v>60000</v>
      </c>
      <c r="I884" t="s">
        <v>144</v>
      </c>
      <c r="J884" t="s">
        <v>1962</v>
      </c>
      <c r="K884" t="s">
        <v>2785</v>
      </c>
      <c r="L884" t="s">
        <v>2785</v>
      </c>
      <c r="M884" s="7" t="s">
        <v>3941</v>
      </c>
      <c r="N884" t="s">
        <v>1866</v>
      </c>
      <c r="O884" s="7" t="s">
        <v>3920</v>
      </c>
      <c r="P884" s="17" t="str">
        <f t="shared" ca="1" si="26"/>
        <v>50-74.9K</v>
      </c>
      <c r="Q884" s="17">
        <v>8</v>
      </c>
      <c r="R884">
        <v>5</v>
      </c>
      <c r="S884">
        <v>5</v>
      </c>
      <c r="T884">
        <v>1</v>
      </c>
      <c r="U884">
        <v>3</v>
      </c>
      <c r="V884" s="15">
        <f t="shared" ca="1" si="27"/>
        <v>4</v>
      </c>
    </row>
    <row r="885" spans="1:22">
      <c r="A885" t="s">
        <v>1506</v>
      </c>
      <c r="B885" s="1">
        <v>41067.714791666665</v>
      </c>
      <c r="C885" s="2">
        <v>360000</v>
      </c>
      <c r="D885">
        <v>360000</v>
      </c>
      <c r="E885" t="s">
        <v>1908</v>
      </c>
      <c r="F885" s="5">
        <v>6410.8500074793246</v>
      </c>
      <c r="G885" s="5">
        <v>17926.501344487599</v>
      </c>
      <c r="H885" s="5">
        <f ca="1">OFFSET(F885,0,Brains!$D$1,1,1)</f>
        <v>17926.501344487599</v>
      </c>
      <c r="I885" t="s">
        <v>1507</v>
      </c>
      <c r="J885" t="s">
        <v>1962</v>
      </c>
      <c r="K885" t="s">
        <v>1859</v>
      </c>
      <c r="L885" t="s">
        <v>1859</v>
      </c>
      <c r="M885" s="11" t="s">
        <v>3916</v>
      </c>
      <c r="N885" t="s">
        <v>1884</v>
      </c>
      <c r="O885" s="7" t="s">
        <v>3920</v>
      </c>
      <c r="P885" s="17" t="str">
        <f t="shared" ca="1" si="26"/>
        <v>15-29.9K</v>
      </c>
      <c r="Q885" s="17">
        <v>1.5</v>
      </c>
      <c r="R885">
        <v>2</v>
      </c>
      <c r="S885">
        <v>2</v>
      </c>
      <c r="T885">
        <v>1</v>
      </c>
      <c r="U885">
        <v>3</v>
      </c>
      <c r="V885" s="15">
        <f t="shared" ca="1" si="27"/>
        <v>2</v>
      </c>
    </row>
    <row r="886" spans="1:22">
      <c r="A886" t="s">
        <v>551</v>
      </c>
      <c r="B886" s="1">
        <v>41058.172743055555</v>
      </c>
      <c r="C886" s="2">
        <v>71000</v>
      </c>
      <c r="D886">
        <v>71000</v>
      </c>
      <c r="E886" t="s">
        <v>1880</v>
      </c>
      <c r="F886" s="5">
        <v>90198.36016840415</v>
      </c>
      <c r="G886" s="5">
        <v>89190.153407063874</v>
      </c>
      <c r="H886" s="5">
        <f ca="1">OFFSET(F886,0,Brains!$D$1,1,1)</f>
        <v>89190.153407063874</v>
      </c>
      <c r="I886" t="s">
        <v>1962</v>
      </c>
      <c r="J886" t="s">
        <v>1962</v>
      </c>
      <c r="K886" t="s">
        <v>1883</v>
      </c>
      <c r="L886" t="s">
        <v>1883</v>
      </c>
      <c r="M886" s="11" t="s">
        <v>3916</v>
      </c>
      <c r="N886" t="s">
        <v>1884</v>
      </c>
      <c r="O886" s="7" t="s">
        <v>3920</v>
      </c>
      <c r="P886" s="17" t="str">
        <f t="shared" ca="1" si="26"/>
        <v>75-99.9K</v>
      </c>
      <c r="Q886" s="17">
        <v>1.5</v>
      </c>
      <c r="R886">
        <v>3</v>
      </c>
      <c r="S886">
        <v>2</v>
      </c>
      <c r="T886">
        <v>1</v>
      </c>
      <c r="U886">
        <v>3</v>
      </c>
      <c r="V886" s="15">
        <f t="shared" ca="1" si="27"/>
        <v>5</v>
      </c>
    </row>
    <row r="887" spans="1:22">
      <c r="A887" t="s">
        <v>595</v>
      </c>
      <c r="B887" s="1">
        <v>41058.351284722223</v>
      </c>
      <c r="C887" s="2" t="s">
        <v>596</v>
      </c>
      <c r="D887">
        <v>120000</v>
      </c>
      <c r="E887" t="s">
        <v>1856</v>
      </c>
      <c r="F887" s="5">
        <v>120000</v>
      </c>
      <c r="G887" s="5">
        <v>120000</v>
      </c>
      <c r="H887" s="5">
        <f ca="1">OFFSET(F887,0,Brains!$D$1,1,1)</f>
        <v>120000</v>
      </c>
      <c r="I887" t="s">
        <v>597</v>
      </c>
      <c r="J887" t="s">
        <v>1962</v>
      </c>
      <c r="K887" t="s">
        <v>2344</v>
      </c>
      <c r="L887" t="s">
        <v>2344</v>
      </c>
      <c r="M887" s="11" t="s">
        <v>3916</v>
      </c>
      <c r="N887" t="s">
        <v>1884</v>
      </c>
      <c r="O887" s="7" t="s">
        <v>3920</v>
      </c>
      <c r="P887" s="17" t="str">
        <f t="shared" ca="1" si="26"/>
        <v>100-149.9K</v>
      </c>
      <c r="Q887" s="17">
        <v>1.5</v>
      </c>
      <c r="R887">
        <v>5</v>
      </c>
      <c r="S887">
        <v>2</v>
      </c>
      <c r="T887">
        <v>1</v>
      </c>
      <c r="U887">
        <v>3</v>
      </c>
      <c r="V887" s="15">
        <f t="shared" ca="1" si="27"/>
        <v>6</v>
      </c>
    </row>
    <row r="888" spans="1:22">
      <c r="A888" t="s">
        <v>193</v>
      </c>
      <c r="B888" s="1">
        <v>41057.61996527778</v>
      </c>
      <c r="C888" s="2" t="s">
        <v>194</v>
      </c>
      <c r="D888">
        <v>300000</v>
      </c>
      <c r="E888" t="s">
        <v>1908</v>
      </c>
      <c r="F888" s="5">
        <v>5342.3750062327708</v>
      </c>
      <c r="G888" s="5">
        <v>14938.751120406334</v>
      </c>
      <c r="H888" s="5">
        <f ca="1">OFFSET(F888,0,Brains!$D$1,1,1)</f>
        <v>14938.751120406334</v>
      </c>
      <c r="I888" t="s">
        <v>195</v>
      </c>
      <c r="J888" t="s">
        <v>1962</v>
      </c>
      <c r="K888" t="s">
        <v>1859</v>
      </c>
      <c r="L888" t="s">
        <v>1859</v>
      </c>
      <c r="M888" s="11" t="s">
        <v>3917</v>
      </c>
      <c r="N888" t="s">
        <v>1873</v>
      </c>
      <c r="O888" s="7" t="s">
        <v>3920</v>
      </c>
      <c r="P888" s="17" t="str">
        <f t="shared" ca="1" si="26"/>
        <v>0-14.9K</v>
      </c>
      <c r="Q888" s="17">
        <v>2.5</v>
      </c>
      <c r="R888">
        <v>1</v>
      </c>
      <c r="S888">
        <v>3</v>
      </c>
      <c r="T888">
        <v>1</v>
      </c>
      <c r="U888">
        <v>3</v>
      </c>
      <c r="V888" s="15">
        <f t="shared" ca="1" si="27"/>
        <v>1</v>
      </c>
    </row>
    <row r="889" spans="1:22">
      <c r="A889" t="s">
        <v>3328</v>
      </c>
      <c r="B889" s="1">
        <v>41055.561944444446</v>
      </c>
      <c r="C889" s="2" t="s">
        <v>3329</v>
      </c>
      <c r="D889">
        <v>3000</v>
      </c>
      <c r="E889" t="s">
        <v>1856</v>
      </c>
      <c r="F889" s="5">
        <v>3000</v>
      </c>
      <c r="G889" s="5">
        <v>3000</v>
      </c>
      <c r="H889" s="5">
        <f ca="1">OFFSET(F889,0,Brains!$D$1,1,1)</f>
        <v>3000</v>
      </c>
      <c r="I889" t="s">
        <v>3330</v>
      </c>
      <c r="J889" t="s">
        <v>1962</v>
      </c>
      <c r="K889" t="s">
        <v>3331</v>
      </c>
      <c r="L889" t="s">
        <v>3331</v>
      </c>
      <c r="M889" s="11" t="s">
        <v>3917</v>
      </c>
      <c r="N889" t="s">
        <v>1873</v>
      </c>
      <c r="O889" s="7" t="s">
        <v>3920</v>
      </c>
      <c r="P889" s="17" t="str">
        <f t="shared" ca="1" si="26"/>
        <v>0-14.9K</v>
      </c>
      <c r="Q889" s="17">
        <v>2.5</v>
      </c>
      <c r="R889">
        <v>2</v>
      </c>
      <c r="S889">
        <v>3</v>
      </c>
      <c r="T889">
        <v>1</v>
      </c>
      <c r="U889">
        <v>3</v>
      </c>
      <c r="V889" s="15">
        <f t="shared" ca="1" si="27"/>
        <v>1</v>
      </c>
    </row>
    <row r="890" spans="1:22">
      <c r="A890" t="s">
        <v>3867</v>
      </c>
      <c r="B890" s="1">
        <v>41057.053668981483</v>
      </c>
      <c r="C890" s="2" t="s">
        <v>3868</v>
      </c>
      <c r="D890">
        <v>42000</v>
      </c>
      <c r="E890" t="s">
        <v>1880</v>
      </c>
      <c r="F890" s="5">
        <v>53356.776437647524</v>
      </c>
      <c r="G890" s="5">
        <v>52760.372437981445</v>
      </c>
      <c r="H890" s="5">
        <f ca="1">OFFSET(F890,0,Brains!$D$1,1,1)</f>
        <v>52760.372437981445</v>
      </c>
      <c r="I890" t="s">
        <v>1962</v>
      </c>
      <c r="J890" t="s">
        <v>1962</v>
      </c>
      <c r="K890" t="s">
        <v>1883</v>
      </c>
      <c r="L890" t="s">
        <v>1883</v>
      </c>
      <c r="M890" s="11" t="s">
        <v>3917</v>
      </c>
      <c r="N890" t="s">
        <v>1873</v>
      </c>
      <c r="O890" s="7" t="s">
        <v>3920</v>
      </c>
      <c r="P890" s="17" t="str">
        <f t="shared" ca="1" si="26"/>
        <v>50-74.9K</v>
      </c>
      <c r="Q890" s="17">
        <v>2.5</v>
      </c>
      <c r="R890">
        <v>3</v>
      </c>
      <c r="S890">
        <v>3</v>
      </c>
      <c r="T890">
        <v>1</v>
      </c>
      <c r="U890">
        <v>3</v>
      </c>
      <c r="V890" s="15">
        <f t="shared" ca="1" si="27"/>
        <v>4</v>
      </c>
    </row>
    <row r="891" spans="1:22">
      <c r="A891" t="s">
        <v>496</v>
      </c>
      <c r="B891" s="1">
        <v>41058.019884259258</v>
      </c>
      <c r="C891" s="2">
        <v>500000</v>
      </c>
      <c r="D891">
        <v>500000</v>
      </c>
      <c r="E891" t="s">
        <v>1908</v>
      </c>
      <c r="F891" s="5">
        <v>8903.9583437212841</v>
      </c>
      <c r="G891" s="5">
        <v>24897.918534010558</v>
      </c>
      <c r="H891" s="5">
        <f ca="1">OFFSET(F891,0,Brains!$D$1,1,1)</f>
        <v>24897.918534010558</v>
      </c>
      <c r="I891" t="s">
        <v>1962</v>
      </c>
      <c r="J891" t="s">
        <v>1962</v>
      </c>
      <c r="K891" t="s">
        <v>1859</v>
      </c>
      <c r="L891" t="s">
        <v>1859</v>
      </c>
      <c r="M891" s="11" t="s">
        <v>3917</v>
      </c>
      <c r="N891" t="s">
        <v>1873</v>
      </c>
      <c r="O891" s="7" t="s">
        <v>3920</v>
      </c>
      <c r="P891" s="17" t="str">
        <f t="shared" ca="1" si="26"/>
        <v>15-29.9K</v>
      </c>
      <c r="Q891" s="17">
        <v>2.5</v>
      </c>
      <c r="R891">
        <v>3</v>
      </c>
      <c r="S891">
        <v>3</v>
      </c>
      <c r="T891">
        <v>1</v>
      </c>
      <c r="U891">
        <v>3</v>
      </c>
      <c r="V891" s="15">
        <f t="shared" ca="1" si="27"/>
        <v>2</v>
      </c>
    </row>
    <row r="892" spans="1:22">
      <c r="A892" t="s">
        <v>1336</v>
      </c>
      <c r="B892" s="1">
        <v>41063.518831018519</v>
      </c>
      <c r="C892" s="2">
        <v>100000</v>
      </c>
      <c r="D892">
        <v>100000</v>
      </c>
      <c r="E892" t="s">
        <v>1856</v>
      </c>
      <c r="F892" s="5">
        <v>100000</v>
      </c>
      <c r="G892" s="5">
        <v>100000</v>
      </c>
      <c r="H892" s="5">
        <f ca="1">OFFSET(F892,0,Brains!$D$1,1,1)</f>
        <v>100000</v>
      </c>
      <c r="I892" t="s">
        <v>1962</v>
      </c>
      <c r="J892" t="s">
        <v>1962</v>
      </c>
      <c r="K892" t="s">
        <v>1869</v>
      </c>
      <c r="L892" t="s">
        <v>1869</v>
      </c>
      <c r="M892" s="11" t="s">
        <v>3917</v>
      </c>
      <c r="N892" t="s">
        <v>1873</v>
      </c>
      <c r="O892" s="7" t="s">
        <v>3920</v>
      </c>
      <c r="P892" s="17" t="str">
        <f t="shared" ca="1" si="26"/>
        <v>100-149.9K</v>
      </c>
      <c r="Q892" s="17">
        <v>2.5</v>
      </c>
      <c r="R892">
        <v>4</v>
      </c>
      <c r="S892">
        <v>3</v>
      </c>
      <c r="T892">
        <v>1</v>
      </c>
      <c r="U892">
        <v>3</v>
      </c>
      <c r="V892" s="15">
        <f t="shared" ca="1" si="27"/>
        <v>6</v>
      </c>
    </row>
    <row r="893" spans="1:22">
      <c r="A893" t="s">
        <v>736</v>
      </c>
      <c r="B893" s="1">
        <v>41058.693877314814</v>
      </c>
      <c r="C893" s="2" t="s">
        <v>285</v>
      </c>
      <c r="D893">
        <v>45000</v>
      </c>
      <c r="E893" t="s">
        <v>1954</v>
      </c>
      <c r="F893" s="5">
        <v>70928.022243027779</v>
      </c>
      <c r="G893" s="5">
        <v>66765.578635014841</v>
      </c>
      <c r="H893" s="5">
        <f ca="1">OFFSET(F893,0,Brains!$D$1,1,1)</f>
        <v>66765.578635014841</v>
      </c>
      <c r="I893" t="s">
        <v>1961</v>
      </c>
      <c r="J893" t="s">
        <v>1962</v>
      </c>
      <c r="K893" t="s">
        <v>1956</v>
      </c>
      <c r="L893" t="s">
        <v>1956</v>
      </c>
      <c r="M893" s="11" t="s">
        <v>3917</v>
      </c>
      <c r="N893" t="s">
        <v>1873</v>
      </c>
      <c r="O893" s="7" t="s">
        <v>3920</v>
      </c>
      <c r="P893" s="17" t="str">
        <f t="shared" ca="1" si="26"/>
        <v>50-74.9K</v>
      </c>
      <c r="Q893" s="17">
        <v>2.5</v>
      </c>
      <c r="R893">
        <v>4</v>
      </c>
      <c r="S893">
        <v>3</v>
      </c>
      <c r="T893">
        <v>1</v>
      </c>
      <c r="U893">
        <v>3</v>
      </c>
      <c r="V893" s="15">
        <f t="shared" ca="1" si="27"/>
        <v>4</v>
      </c>
    </row>
    <row r="894" spans="1:22">
      <c r="A894" t="s">
        <v>3361</v>
      </c>
      <c r="B894" s="1">
        <v>41055.593460648146</v>
      </c>
      <c r="C894" s="2">
        <v>400000</v>
      </c>
      <c r="D894">
        <v>400000</v>
      </c>
      <c r="E894" t="s">
        <v>1908</v>
      </c>
      <c r="F894" s="5">
        <v>7123.1666749770275</v>
      </c>
      <c r="G894" s="5">
        <v>19918.334827208444</v>
      </c>
      <c r="H894" s="5">
        <f ca="1">OFFSET(F894,0,Brains!$D$1,1,1)</f>
        <v>19918.334827208444</v>
      </c>
      <c r="I894" t="s">
        <v>1962</v>
      </c>
      <c r="J894" t="s">
        <v>1962</v>
      </c>
      <c r="K894" t="s">
        <v>1859</v>
      </c>
      <c r="L894" t="s">
        <v>1859</v>
      </c>
      <c r="M894" s="11" t="s">
        <v>3918</v>
      </c>
      <c r="N894" t="s">
        <v>1860</v>
      </c>
      <c r="O894" s="7" t="s">
        <v>3920</v>
      </c>
      <c r="P894" s="17" t="str">
        <f t="shared" ca="1" si="26"/>
        <v>15-29.9K</v>
      </c>
      <c r="Q894" s="17">
        <v>5</v>
      </c>
      <c r="R894">
        <v>0</v>
      </c>
      <c r="S894">
        <v>4</v>
      </c>
      <c r="T894">
        <v>1</v>
      </c>
      <c r="U894">
        <v>3</v>
      </c>
      <c r="V894" s="15">
        <f t="shared" ca="1" si="27"/>
        <v>2</v>
      </c>
    </row>
    <row r="895" spans="1:22">
      <c r="A895" t="s">
        <v>660</v>
      </c>
      <c r="B895" s="1">
        <v>41058.553298611114</v>
      </c>
      <c r="C895" s="2">
        <v>1000</v>
      </c>
      <c r="D895">
        <v>12000</v>
      </c>
      <c r="E895" t="s">
        <v>1856</v>
      </c>
      <c r="F895" s="5">
        <v>12000</v>
      </c>
      <c r="G895" s="5">
        <v>12000</v>
      </c>
      <c r="H895" s="5">
        <f ca="1">OFFSET(F895,0,Brains!$D$1,1,1)</f>
        <v>12000</v>
      </c>
      <c r="I895" t="s">
        <v>661</v>
      </c>
      <c r="J895" t="s">
        <v>1962</v>
      </c>
      <c r="K895" t="s">
        <v>662</v>
      </c>
      <c r="L895" t="s">
        <v>1872</v>
      </c>
      <c r="M895" s="11" t="s">
        <v>3918</v>
      </c>
      <c r="N895" t="s">
        <v>1860</v>
      </c>
      <c r="O895" s="7" t="s">
        <v>3920</v>
      </c>
      <c r="P895" s="17" t="str">
        <f t="shared" ca="1" si="26"/>
        <v>0-14.9K</v>
      </c>
      <c r="Q895" s="17">
        <v>5</v>
      </c>
      <c r="R895">
        <v>1</v>
      </c>
      <c r="S895">
        <v>4</v>
      </c>
      <c r="T895">
        <v>1</v>
      </c>
      <c r="U895">
        <v>3</v>
      </c>
      <c r="V895" s="15">
        <f t="shared" ca="1" si="27"/>
        <v>1</v>
      </c>
    </row>
    <row r="896" spans="1:22">
      <c r="A896" t="s">
        <v>3856</v>
      </c>
      <c r="B896" s="1">
        <v>41057.00744212963</v>
      </c>
      <c r="C896" s="2">
        <v>63200</v>
      </c>
      <c r="D896">
        <v>63200</v>
      </c>
      <c r="E896" t="s">
        <v>1880</v>
      </c>
      <c r="F896" s="5">
        <v>80289.244544269619</v>
      </c>
      <c r="G896" s="5">
        <v>79391.798525724458</v>
      </c>
      <c r="H896" s="5">
        <f ca="1">OFFSET(F896,0,Brains!$D$1,1,1)</f>
        <v>79391.798525724458</v>
      </c>
      <c r="I896" t="s">
        <v>1962</v>
      </c>
      <c r="J896" t="s">
        <v>1962</v>
      </c>
      <c r="K896" t="s">
        <v>2015</v>
      </c>
      <c r="L896" t="s">
        <v>2015</v>
      </c>
      <c r="M896" s="11" t="s">
        <v>3918</v>
      </c>
      <c r="N896" t="s">
        <v>1860</v>
      </c>
      <c r="O896" s="7" t="s">
        <v>3920</v>
      </c>
      <c r="P896" s="17" t="str">
        <f t="shared" ca="1" si="26"/>
        <v>75-99.9K</v>
      </c>
      <c r="Q896" s="17">
        <v>5</v>
      </c>
      <c r="R896">
        <v>3</v>
      </c>
      <c r="S896">
        <v>4</v>
      </c>
      <c r="T896">
        <v>1</v>
      </c>
      <c r="U896">
        <v>3</v>
      </c>
      <c r="V896" s="15">
        <f t="shared" ca="1" si="27"/>
        <v>5</v>
      </c>
    </row>
    <row r="897" spans="1:22">
      <c r="A897" t="s">
        <v>468</v>
      </c>
      <c r="B897" s="1">
        <v>41057.99417824074</v>
      </c>
      <c r="C897" s="2" t="s">
        <v>469</v>
      </c>
      <c r="D897">
        <v>15000</v>
      </c>
      <c r="E897" t="s">
        <v>1880</v>
      </c>
      <c r="F897" s="5">
        <v>19055.991584874118</v>
      </c>
      <c r="G897" s="5">
        <v>18842.990156421944</v>
      </c>
      <c r="H897" s="5">
        <f ca="1">OFFSET(F897,0,Brains!$D$1,1,1)</f>
        <v>18842.990156421944</v>
      </c>
      <c r="I897" t="s">
        <v>470</v>
      </c>
      <c r="J897" t="s">
        <v>1962</v>
      </c>
      <c r="K897" t="s">
        <v>471</v>
      </c>
      <c r="L897" t="s">
        <v>471</v>
      </c>
      <c r="M897" s="11" t="s">
        <v>3918</v>
      </c>
      <c r="N897" t="s">
        <v>1860</v>
      </c>
      <c r="O897" s="7" t="s">
        <v>3920</v>
      </c>
      <c r="P897" s="17" t="str">
        <f t="shared" ca="1" si="26"/>
        <v>15-29.9K</v>
      </c>
      <c r="Q897" s="17">
        <v>5</v>
      </c>
      <c r="R897">
        <v>3</v>
      </c>
      <c r="S897">
        <v>4</v>
      </c>
      <c r="T897">
        <v>1</v>
      </c>
      <c r="U897">
        <v>3</v>
      </c>
      <c r="V897" s="15">
        <f t="shared" ca="1" si="27"/>
        <v>2</v>
      </c>
    </row>
    <row r="898" spans="1:22">
      <c r="A898" t="s">
        <v>936</v>
      </c>
      <c r="B898" s="1">
        <v>41059.099062499998</v>
      </c>
      <c r="C898" s="2">
        <v>14000</v>
      </c>
      <c r="D898">
        <v>14000</v>
      </c>
      <c r="E898" t="s">
        <v>1856</v>
      </c>
      <c r="F898" s="5">
        <v>14000</v>
      </c>
      <c r="G898" s="5">
        <v>14000</v>
      </c>
      <c r="H898" s="5">
        <f ca="1">OFFSET(F898,0,Brains!$D$1,1,1)</f>
        <v>14000</v>
      </c>
      <c r="I898" t="s">
        <v>1962</v>
      </c>
      <c r="J898" t="s">
        <v>1962</v>
      </c>
      <c r="K898" t="s">
        <v>1859</v>
      </c>
      <c r="L898" t="s">
        <v>1859</v>
      </c>
      <c r="M898" s="11" t="s">
        <v>3918</v>
      </c>
      <c r="N898" t="s">
        <v>1860</v>
      </c>
      <c r="O898" s="7" t="s">
        <v>3920</v>
      </c>
      <c r="P898" s="17" t="str">
        <f t="shared" ref="P898:P961" ca="1" si="28">IF(H898&lt;15000,"0-14.9K",IF(H898&lt;30000,"15-29.9K",IF(H898&lt;50000,"30-49.9K",IF(H898&lt;75000,"50-74.9K",IF(H898&lt;100000,"75-99.9K",IF(H898&lt;150000,"100-149.9K",IF(H898&lt;250000,"150-249.9K","250K+")))))))</f>
        <v>0-14.9K</v>
      </c>
      <c r="Q898" s="17">
        <v>5</v>
      </c>
      <c r="R898">
        <v>3</v>
      </c>
      <c r="S898">
        <v>4</v>
      </c>
      <c r="T898">
        <v>1</v>
      </c>
      <c r="U898">
        <v>3</v>
      </c>
      <c r="V898" s="15">
        <f t="shared" ref="V898:V961" ca="1" si="29">IF(H898&lt;15000,1,IF(H898&lt;30000,2,IF(H898&lt;50000,3,IF(H898&lt;75000,4,IF(H898&lt;100000,5,IF(H898&lt;150000,6,IF(H898&lt;250000,7,8)))))))</f>
        <v>1</v>
      </c>
    </row>
    <row r="899" spans="1:22">
      <c r="A899" t="s">
        <v>3839</v>
      </c>
      <c r="B899" s="1">
        <v>41056.957395833335</v>
      </c>
      <c r="C899" s="2">
        <v>60000</v>
      </c>
      <c r="D899">
        <v>60000</v>
      </c>
      <c r="E899" t="s">
        <v>1856</v>
      </c>
      <c r="F899" s="5">
        <v>60000</v>
      </c>
      <c r="G899" s="5">
        <v>60000</v>
      </c>
      <c r="H899" s="5">
        <f ca="1">OFFSET(F899,0,Brains!$D$1,1,1)</f>
        <v>60000</v>
      </c>
      <c r="I899" t="s">
        <v>1962</v>
      </c>
      <c r="J899" t="s">
        <v>1962</v>
      </c>
      <c r="K899" t="s">
        <v>2344</v>
      </c>
      <c r="L899" t="s">
        <v>2344</v>
      </c>
      <c r="M899" s="11" t="s">
        <v>3918</v>
      </c>
      <c r="N899" t="s">
        <v>1860</v>
      </c>
      <c r="O899" s="7" t="s">
        <v>3920</v>
      </c>
      <c r="P899" s="17" t="str">
        <f t="shared" ca="1" si="28"/>
        <v>50-74.9K</v>
      </c>
      <c r="Q899" s="17">
        <v>5</v>
      </c>
      <c r="R899">
        <v>5</v>
      </c>
      <c r="S899">
        <v>4</v>
      </c>
      <c r="T899">
        <v>1</v>
      </c>
      <c r="U899">
        <v>3</v>
      </c>
      <c r="V899" s="15">
        <f t="shared" ca="1" si="29"/>
        <v>4</v>
      </c>
    </row>
    <row r="900" spans="1:22">
      <c r="A900" t="s">
        <v>1317</v>
      </c>
      <c r="B900" s="1">
        <v>41063.121203703704</v>
      </c>
      <c r="C900" s="2">
        <v>36000</v>
      </c>
      <c r="D900">
        <v>36000</v>
      </c>
      <c r="E900" t="s">
        <v>1856</v>
      </c>
      <c r="F900" s="5">
        <v>36000</v>
      </c>
      <c r="G900" s="5">
        <v>36000</v>
      </c>
      <c r="H900" s="5">
        <f ca="1">OFFSET(F900,0,Brains!$D$1,1,1)</f>
        <v>36000</v>
      </c>
      <c r="I900" t="s">
        <v>1318</v>
      </c>
      <c r="J900" t="s">
        <v>1962</v>
      </c>
      <c r="K900" t="s">
        <v>1319</v>
      </c>
      <c r="L900" t="s">
        <v>1319</v>
      </c>
      <c r="M900" s="11" t="s">
        <v>3918</v>
      </c>
      <c r="N900" t="s">
        <v>1860</v>
      </c>
      <c r="O900" s="7" t="s">
        <v>3920</v>
      </c>
      <c r="P900" s="17" t="str">
        <f t="shared" ca="1" si="28"/>
        <v>30-49.9K</v>
      </c>
      <c r="Q900" s="17">
        <v>5</v>
      </c>
      <c r="R900">
        <v>5</v>
      </c>
      <c r="S900">
        <v>4</v>
      </c>
      <c r="T900">
        <v>1</v>
      </c>
      <c r="U900">
        <v>3</v>
      </c>
      <c r="V900" s="15">
        <f t="shared" ca="1" si="29"/>
        <v>3</v>
      </c>
    </row>
    <row r="901" spans="1:22">
      <c r="A901" t="s">
        <v>474</v>
      </c>
      <c r="B901" s="1">
        <v>41057.995162037034</v>
      </c>
      <c r="C901" s="2">
        <v>1100000</v>
      </c>
      <c r="D901">
        <v>1100000</v>
      </c>
      <c r="E901" t="s">
        <v>1908</v>
      </c>
      <c r="F901" s="5">
        <v>19588.708356186824</v>
      </c>
      <c r="G901" s="5">
        <v>54775.420774823222</v>
      </c>
      <c r="H901" s="5">
        <f ca="1">OFFSET(F901,0,Brains!$D$1,1,1)</f>
        <v>54775.420774823222</v>
      </c>
      <c r="I901" t="s">
        <v>475</v>
      </c>
      <c r="J901" t="s">
        <v>1962</v>
      </c>
      <c r="K901" t="s">
        <v>1859</v>
      </c>
      <c r="L901" t="s">
        <v>1859</v>
      </c>
      <c r="M901" s="7" t="s">
        <v>3941</v>
      </c>
      <c r="N901" t="s">
        <v>1866</v>
      </c>
      <c r="O901" s="7" t="s">
        <v>3922</v>
      </c>
      <c r="P901" s="17" t="str">
        <f t="shared" ca="1" si="28"/>
        <v>50-74.9K</v>
      </c>
      <c r="Q901" s="17">
        <v>8</v>
      </c>
      <c r="R901">
        <v>13</v>
      </c>
      <c r="S901">
        <v>5</v>
      </c>
      <c r="T901">
        <v>3</v>
      </c>
      <c r="U901">
        <v>3</v>
      </c>
      <c r="V901" s="15">
        <f t="shared" ca="1" si="29"/>
        <v>4</v>
      </c>
    </row>
    <row r="902" spans="1:22">
      <c r="A902" t="s">
        <v>472</v>
      </c>
      <c r="B902" s="1">
        <v>41057.994930555556</v>
      </c>
      <c r="C902" s="2">
        <v>480000</v>
      </c>
      <c r="D902">
        <v>480000</v>
      </c>
      <c r="E902" t="s">
        <v>1908</v>
      </c>
      <c r="F902" s="5">
        <v>8547.8000099724322</v>
      </c>
      <c r="G902" s="5">
        <v>23902.001792650135</v>
      </c>
      <c r="H902" s="5">
        <f ca="1">OFFSET(F902,0,Brains!$D$1,1,1)</f>
        <v>23902.001792650135</v>
      </c>
      <c r="I902" t="s">
        <v>473</v>
      </c>
      <c r="J902" t="s">
        <v>1962</v>
      </c>
      <c r="K902" t="s">
        <v>1859</v>
      </c>
      <c r="L902" t="s">
        <v>1859</v>
      </c>
      <c r="M902" s="7" t="s">
        <v>3941</v>
      </c>
      <c r="N902" t="s">
        <v>1866</v>
      </c>
      <c r="O902" s="7" t="s">
        <v>3922</v>
      </c>
      <c r="P902" s="17" t="str">
        <f t="shared" ca="1" si="28"/>
        <v>15-29.9K</v>
      </c>
      <c r="Q902" s="17">
        <v>8</v>
      </c>
      <c r="R902">
        <v>15</v>
      </c>
      <c r="S902">
        <v>5</v>
      </c>
      <c r="T902">
        <v>3</v>
      </c>
      <c r="U902">
        <v>3</v>
      </c>
      <c r="V902" s="15">
        <f t="shared" ca="1" si="29"/>
        <v>2</v>
      </c>
    </row>
    <row r="903" spans="1:22">
      <c r="A903" t="s">
        <v>3689</v>
      </c>
      <c r="B903" s="1">
        <v>41056.175046296295</v>
      </c>
      <c r="C903" s="2">
        <v>5000</v>
      </c>
      <c r="D903">
        <v>5000</v>
      </c>
      <c r="E903" t="s">
        <v>1856</v>
      </c>
      <c r="F903" s="5">
        <v>5000</v>
      </c>
      <c r="G903" s="5">
        <v>5000</v>
      </c>
      <c r="H903" s="5">
        <f ca="1">OFFSET(F903,0,Brains!$D$1,1,1)</f>
        <v>5000</v>
      </c>
      <c r="I903" t="s">
        <v>3690</v>
      </c>
      <c r="J903" t="s">
        <v>1962</v>
      </c>
      <c r="K903" t="s">
        <v>3691</v>
      </c>
      <c r="L903" t="s">
        <v>3691</v>
      </c>
      <c r="M903" s="11" t="s">
        <v>3916</v>
      </c>
      <c r="N903" t="s">
        <v>1884</v>
      </c>
      <c r="O903" s="7" t="s">
        <v>3922</v>
      </c>
      <c r="P903" s="17" t="str">
        <f t="shared" ca="1" si="28"/>
        <v>0-14.9K</v>
      </c>
      <c r="Q903" s="17">
        <v>1.5</v>
      </c>
      <c r="R903">
        <v>13</v>
      </c>
      <c r="S903">
        <v>2</v>
      </c>
      <c r="T903">
        <v>3</v>
      </c>
      <c r="U903">
        <v>3</v>
      </c>
      <c r="V903" s="15">
        <f t="shared" ca="1" si="29"/>
        <v>1</v>
      </c>
    </row>
    <row r="904" spans="1:22">
      <c r="A904" t="s">
        <v>3183</v>
      </c>
      <c r="B904" s="1">
        <v>41055.460439814815</v>
      </c>
      <c r="C904" s="2" t="s">
        <v>3184</v>
      </c>
      <c r="D904">
        <v>85000</v>
      </c>
      <c r="E904" t="s">
        <v>1973</v>
      </c>
      <c r="F904" s="5">
        <v>86692.320794224041</v>
      </c>
      <c r="G904" s="5">
        <v>54071.246819338427</v>
      </c>
      <c r="H904" s="5">
        <f ca="1">OFFSET(F904,0,Brains!$D$1,1,1)</f>
        <v>54071.246819338427</v>
      </c>
      <c r="I904" t="s">
        <v>3029</v>
      </c>
      <c r="J904" t="s">
        <v>1962</v>
      </c>
      <c r="K904" t="s">
        <v>1975</v>
      </c>
      <c r="L904" t="s">
        <v>1975</v>
      </c>
      <c r="M904" s="11" t="s">
        <v>3916</v>
      </c>
      <c r="N904" t="s">
        <v>1884</v>
      </c>
      <c r="O904" s="7" t="s">
        <v>3922</v>
      </c>
      <c r="P904" s="17" t="str">
        <f t="shared" ca="1" si="28"/>
        <v>50-74.9K</v>
      </c>
      <c r="Q904" s="17">
        <v>1.5</v>
      </c>
      <c r="R904">
        <v>20</v>
      </c>
      <c r="S904">
        <v>2</v>
      </c>
      <c r="T904">
        <v>3</v>
      </c>
      <c r="U904">
        <v>3</v>
      </c>
      <c r="V904" s="15">
        <f t="shared" ca="1" si="29"/>
        <v>4</v>
      </c>
    </row>
    <row r="905" spans="1:22">
      <c r="A905" t="s">
        <v>1561</v>
      </c>
      <c r="B905" s="1">
        <v>41069.074652777781</v>
      </c>
      <c r="C905" s="2">
        <v>72000</v>
      </c>
      <c r="D905">
        <v>72000</v>
      </c>
      <c r="E905" t="s">
        <v>1856</v>
      </c>
      <c r="F905" s="5">
        <v>72000</v>
      </c>
      <c r="G905" s="5">
        <v>72000</v>
      </c>
      <c r="H905" s="5">
        <f ca="1">OFFSET(F905,0,Brains!$D$1,1,1)</f>
        <v>72000</v>
      </c>
      <c r="I905" t="s">
        <v>1962</v>
      </c>
      <c r="J905" t="s">
        <v>1962</v>
      </c>
      <c r="K905" t="s">
        <v>1869</v>
      </c>
      <c r="L905" t="s">
        <v>1869</v>
      </c>
      <c r="M905" s="11" t="s">
        <v>3917</v>
      </c>
      <c r="N905" t="s">
        <v>1873</v>
      </c>
      <c r="O905" s="7" t="s">
        <v>3922</v>
      </c>
      <c r="P905" s="17" t="str">
        <f t="shared" ca="1" si="28"/>
        <v>50-74.9K</v>
      </c>
      <c r="Q905" s="17">
        <v>2.5</v>
      </c>
      <c r="R905">
        <v>13</v>
      </c>
      <c r="S905">
        <v>3</v>
      </c>
      <c r="T905">
        <v>3</v>
      </c>
      <c r="U905">
        <v>3</v>
      </c>
      <c r="V905" s="15">
        <f t="shared" ca="1" si="29"/>
        <v>4</v>
      </c>
    </row>
    <row r="906" spans="1:22">
      <c r="A906" t="s">
        <v>3290</v>
      </c>
      <c r="B906" s="1">
        <v>41055.542870370373</v>
      </c>
      <c r="C906" s="2">
        <v>105000</v>
      </c>
      <c r="D906">
        <v>105000</v>
      </c>
      <c r="E906" t="s">
        <v>1856</v>
      </c>
      <c r="F906" s="5">
        <v>105000</v>
      </c>
      <c r="G906" s="5">
        <v>105000</v>
      </c>
      <c r="H906" s="5">
        <f ca="1">OFFSET(F906,0,Brains!$D$1,1,1)</f>
        <v>105000</v>
      </c>
      <c r="I906" t="s">
        <v>1961</v>
      </c>
      <c r="J906" t="s">
        <v>1962</v>
      </c>
      <c r="K906" t="s">
        <v>1869</v>
      </c>
      <c r="L906" t="s">
        <v>1869</v>
      </c>
      <c r="M906" s="11" t="s">
        <v>3917</v>
      </c>
      <c r="N906" t="s">
        <v>1873</v>
      </c>
      <c r="O906" s="7" t="s">
        <v>3922</v>
      </c>
      <c r="P906" s="17" t="str">
        <f t="shared" ca="1" si="28"/>
        <v>100-149.9K</v>
      </c>
      <c r="Q906" s="17">
        <v>2.5</v>
      </c>
      <c r="R906">
        <v>15</v>
      </c>
      <c r="S906">
        <v>3</v>
      </c>
      <c r="T906">
        <v>3</v>
      </c>
      <c r="U906">
        <v>3</v>
      </c>
      <c r="V906" s="15">
        <f t="shared" ca="1" si="29"/>
        <v>6</v>
      </c>
    </row>
    <row r="907" spans="1:22">
      <c r="A907" t="s">
        <v>3476</v>
      </c>
      <c r="B907" s="1">
        <v>41055.713541666664</v>
      </c>
      <c r="C907" s="2">
        <v>20000</v>
      </c>
      <c r="D907">
        <v>20000</v>
      </c>
      <c r="E907" t="s">
        <v>1856</v>
      </c>
      <c r="F907" s="5">
        <v>20000</v>
      </c>
      <c r="G907" s="5">
        <v>20000</v>
      </c>
      <c r="H907" s="5">
        <f ca="1">OFFSET(F907,0,Brains!$D$1,1,1)</f>
        <v>20000</v>
      </c>
      <c r="I907" t="s">
        <v>3477</v>
      </c>
      <c r="J907" t="s">
        <v>1962</v>
      </c>
      <c r="K907" t="s">
        <v>3478</v>
      </c>
      <c r="L907" t="s">
        <v>3478</v>
      </c>
      <c r="M907" s="11" t="s">
        <v>3917</v>
      </c>
      <c r="N907" t="s">
        <v>1873</v>
      </c>
      <c r="O907" s="7" t="s">
        <v>3922</v>
      </c>
      <c r="P907" s="17" t="str">
        <f t="shared" ca="1" si="28"/>
        <v>15-29.9K</v>
      </c>
      <c r="Q907" s="17">
        <v>2.5</v>
      </c>
      <c r="R907">
        <v>15</v>
      </c>
      <c r="S907">
        <v>3</v>
      </c>
      <c r="T907">
        <v>3</v>
      </c>
      <c r="U907">
        <v>3</v>
      </c>
      <c r="V907" s="15">
        <f t="shared" ca="1" si="29"/>
        <v>2</v>
      </c>
    </row>
    <row r="908" spans="1:22">
      <c r="A908" t="s">
        <v>3687</v>
      </c>
      <c r="B908" s="1">
        <v>41056.1716087963</v>
      </c>
      <c r="C908" s="2">
        <v>12000</v>
      </c>
      <c r="D908">
        <v>12000</v>
      </c>
      <c r="E908" t="s">
        <v>1856</v>
      </c>
      <c r="F908" s="5">
        <v>12000</v>
      </c>
      <c r="G908" s="5">
        <v>12000</v>
      </c>
      <c r="H908" s="5">
        <f ca="1">OFFSET(F908,0,Brains!$D$1,1,1)</f>
        <v>12000</v>
      </c>
      <c r="I908" t="s">
        <v>3688</v>
      </c>
      <c r="J908" t="s">
        <v>1962</v>
      </c>
      <c r="K908" t="s">
        <v>2957</v>
      </c>
      <c r="L908" t="s">
        <v>2957</v>
      </c>
      <c r="M908" s="11" t="s">
        <v>3917</v>
      </c>
      <c r="N908" t="s">
        <v>1873</v>
      </c>
      <c r="O908" s="7" t="s">
        <v>3922</v>
      </c>
      <c r="P908" s="17" t="str">
        <f t="shared" ca="1" si="28"/>
        <v>0-14.9K</v>
      </c>
      <c r="Q908" s="17">
        <v>2.5</v>
      </c>
      <c r="R908">
        <v>15</v>
      </c>
      <c r="S908">
        <v>3</v>
      </c>
      <c r="T908">
        <v>3</v>
      </c>
      <c r="U908">
        <v>3</v>
      </c>
      <c r="V908" s="15">
        <f t="shared" ca="1" si="29"/>
        <v>1</v>
      </c>
    </row>
    <row r="909" spans="1:22">
      <c r="A909" t="s">
        <v>353</v>
      </c>
      <c r="B909" s="1">
        <v>41057.837037037039</v>
      </c>
      <c r="C909" s="2" t="s">
        <v>354</v>
      </c>
      <c r="D909">
        <v>70000</v>
      </c>
      <c r="E909" t="s">
        <v>1880</v>
      </c>
      <c r="F909" s="5">
        <v>88927.960729412545</v>
      </c>
      <c r="G909" s="5">
        <v>87933.954063302401</v>
      </c>
      <c r="H909" s="5">
        <f ca="1">OFFSET(F909,0,Brains!$D$1,1,1)</f>
        <v>87933.954063302401</v>
      </c>
      <c r="I909" t="s">
        <v>355</v>
      </c>
      <c r="J909" t="s">
        <v>1962</v>
      </c>
      <c r="K909" t="s">
        <v>1902</v>
      </c>
      <c r="L909" t="s">
        <v>1902</v>
      </c>
      <c r="M909" s="11" t="s">
        <v>3917</v>
      </c>
      <c r="N909" t="s">
        <v>1873</v>
      </c>
      <c r="O909" s="7" t="s">
        <v>3922</v>
      </c>
      <c r="P909" s="17" t="str">
        <f t="shared" ca="1" si="28"/>
        <v>75-99.9K</v>
      </c>
      <c r="Q909" s="17">
        <v>2.5</v>
      </c>
      <c r="R909">
        <v>20</v>
      </c>
      <c r="S909">
        <v>3</v>
      </c>
      <c r="T909">
        <v>3</v>
      </c>
      <c r="U909">
        <v>3</v>
      </c>
      <c r="V909" s="15">
        <f t="shared" ca="1" si="29"/>
        <v>5</v>
      </c>
    </row>
    <row r="910" spans="1:22">
      <c r="A910" t="s">
        <v>1258</v>
      </c>
      <c r="B910" s="1">
        <v>41061.831770833334</v>
      </c>
      <c r="C910" s="2" t="s">
        <v>400</v>
      </c>
      <c r="D910">
        <v>80000</v>
      </c>
      <c r="E910" t="s">
        <v>1954</v>
      </c>
      <c r="F910" s="5">
        <v>126094.26176538273</v>
      </c>
      <c r="G910" s="5">
        <v>118694.36201780415</v>
      </c>
      <c r="H910" s="5">
        <f ca="1">OFFSET(F910,0,Brains!$D$1,1,1)</f>
        <v>118694.36201780415</v>
      </c>
      <c r="I910" t="s">
        <v>1259</v>
      </c>
      <c r="J910" t="s">
        <v>1962</v>
      </c>
      <c r="K910" t="s">
        <v>1956</v>
      </c>
      <c r="L910" t="s">
        <v>1956</v>
      </c>
      <c r="M910" s="11" t="s">
        <v>3918</v>
      </c>
      <c r="N910" t="s">
        <v>1860</v>
      </c>
      <c r="O910" s="7" t="s">
        <v>3922</v>
      </c>
      <c r="P910" s="17" t="str">
        <f t="shared" ca="1" si="28"/>
        <v>100-149.9K</v>
      </c>
      <c r="Q910" s="17">
        <v>5</v>
      </c>
      <c r="R910">
        <v>12</v>
      </c>
      <c r="S910">
        <v>4</v>
      </c>
      <c r="T910">
        <v>3</v>
      </c>
      <c r="U910">
        <v>3</v>
      </c>
      <c r="V910" s="15">
        <f t="shared" ca="1" si="29"/>
        <v>6</v>
      </c>
    </row>
    <row r="911" spans="1:22">
      <c r="A911" t="s">
        <v>1139</v>
      </c>
      <c r="B911" s="1">
        <v>41060.677905092591</v>
      </c>
      <c r="C911" s="2" t="s">
        <v>1140</v>
      </c>
      <c r="D911">
        <v>30500</v>
      </c>
      <c r="E911" t="s">
        <v>1954</v>
      </c>
      <c r="F911" s="5">
        <v>48073.437298052166</v>
      </c>
      <c r="G911" s="5">
        <v>45252.225519287829</v>
      </c>
      <c r="H911" s="5">
        <f ca="1">OFFSET(F911,0,Brains!$D$1,1,1)</f>
        <v>45252.225519287829</v>
      </c>
      <c r="I911" t="s">
        <v>1141</v>
      </c>
      <c r="J911" t="s">
        <v>1962</v>
      </c>
      <c r="K911" t="s">
        <v>1956</v>
      </c>
      <c r="L911" t="s">
        <v>1956</v>
      </c>
      <c r="M911" s="11" t="s">
        <v>3918</v>
      </c>
      <c r="N911" t="s">
        <v>1860</v>
      </c>
      <c r="O911" s="7" t="s">
        <v>3922</v>
      </c>
      <c r="P911" s="17" t="str">
        <f t="shared" ca="1" si="28"/>
        <v>30-49.9K</v>
      </c>
      <c r="Q911" s="17">
        <v>5</v>
      </c>
      <c r="R911">
        <v>14</v>
      </c>
      <c r="S911">
        <v>4</v>
      </c>
      <c r="T911">
        <v>3</v>
      </c>
      <c r="U911">
        <v>3</v>
      </c>
      <c r="V911" s="15">
        <f t="shared" ca="1" si="29"/>
        <v>3</v>
      </c>
    </row>
    <row r="912" spans="1:22">
      <c r="A912" t="s">
        <v>771</v>
      </c>
      <c r="B912" s="1">
        <v>41058.754050925927</v>
      </c>
      <c r="C912" s="2" t="s">
        <v>772</v>
      </c>
      <c r="D912">
        <v>70000</v>
      </c>
      <c r="E912" t="s">
        <v>1954</v>
      </c>
      <c r="F912" s="5">
        <v>110332.47904470989</v>
      </c>
      <c r="G912" s="5">
        <v>103857.56676557862</v>
      </c>
      <c r="H912" s="5">
        <f ca="1">OFFSET(F912,0,Brains!$D$1,1,1)</f>
        <v>103857.56676557862</v>
      </c>
      <c r="I912" t="s">
        <v>1962</v>
      </c>
      <c r="J912" t="s">
        <v>1962</v>
      </c>
      <c r="K912" t="s">
        <v>1956</v>
      </c>
      <c r="L912" t="s">
        <v>1956</v>
      </c>
      <c r="M912" s="11" t="s">
        <v>3918</v>
      </c>
      <c r="N912" t="s">
        <v>1860</v>
      </c>
      <c r="O912" s="7" t="s">
        <v>3922</v>
      </c>
      <c r="P912" s="17" t="str">
        <f t="shared" ca="1" si="28"/>
        <v>100-149.9K</v>
      </c>
      <c r="Q912" s="17">
        <v>5</v>
      </c>
      <c r="R912">
        <v>15</v>
      </c>
      <c r="S912">
        <v>4</v>
      </c>
      <c r="T912">
        <v>3</v>
      </c>
      <c r="U912">
        <v>3</v>
      </c>
      <c r="V912" s="15">
        <f t="shared" ca="1" si="29"/>
        <v>6</v>
      </c>
    </row>
    <row r="913" spans="1:22">
      <c r="A913" t="s">
        <v>606</v>
      </c>
      <c r="B913" s="1">
        <v>41058.39271990741</v>
      </c>
      <c r="C913" s="2">
        <v>100000</v>
      </c>
      <c r="D913">
        <v>100000</v>
      </c>
      <c r="E913" t="s">
        <v>1973</v>
      </c>
      <c r="F913" s="5">
        <v>101990.96564026357</v>
      </c>
      <c r="G913" s="5">
        <v>63613.231552162855</v>
      </c>
      <c r="H913" s="5">
        <f ca="1">OFFSET(F913,0,Brains!$D$1,1,1)</f>
        <v>63613.231552162855</v>
      </c>
      <c r="I913" t="s">
        <v>607</v>
      </c>
      <c r="J913" t="s">
        <v>1962</v>
      </c>
      <c r="K913" t="s">
        <v>1975</v>
      </c>
      <c r="L913" t="s">
        <v>1975</v>
      </c>
      <c r="M913" s="11" t="s">
        <v>3918</v>
      </c>
      <c r="N913" t="s">
        <v>1860</v>
      </c>
      <c r="O913" s="7" t="s">
        <v>3922</v>
      </c>
      <c r="P913" s="17" t="str">
        <f t="shared" ca="1" si="28"/>
        <v>50-74.9K</v>
      </c>
      <c r="Q913" s="17">
        <v>5</v>
      </c>
      <c r="R913">
        <v>15</v>
      </c>
      <c r="S913">
        <v>4</v>
      </c>
      <c r="T913">
        <v>3</v>
      </c>
      <c r="U913">
        <v>3</v>
      </c>
      <c r="V913" s="15">
        <f t="shared" ca="1" si="29"/>
        <v>4</v>
      </c>
    </row>
    <row r="914" spans="1:22">
      <c r="A914" t="s">
        <v>3807</v>
      </c>
      <c r="B914" s="1">
        <v>41056.763553240744</v>
      </c>
      <c r="C914" s="2">
        <v>64210.1</v>
      </c>
      <c r="D914">
        <v>64210</v>
      </c>
      <c r="E914" t="s">
        <v>1954</v>
      </c>
      <c r="F914" s="5">
        <v>101206.40684944032</v>
      </c>
      <c r="G914" s="5">
        <v>95267.06231454006</v>
      </c>
      <c r="H914" s="5">
        <f ca="1">OFFSET(F914,0,Brains!$D$1,1,1)</f>
        <v>95267.06231454006</v>
      </c>
      <c r="I914" t="s">
        <v>3808</v>
      </c>
      <c r="J914" t="s">
        <v>1962</v>
      </c>
      <c r="K914" t="s">
        <v>1956</v>
      </c>
      <c r="L914" t="s">
        <v>1956</v>
      </c>
      <c r="M914" s="11" t="s">
        <v>3918</v>
      </c>
      <c r="N914" t="s">
        <v>1860</v>
      </c>
      <c r="O914" s="7" t="s">
        <v>3922</v>
      </c>
      <c r="P914" s="17" t="str">
        <f t="shared" ca="1" si="28"/>
        <v>75-99.9K</v>
      </c>
      <c r="Q914" s="17">
        <v>5</v>
      </c>
      <c r="R914">
        <v>16</v>
      </c>
      <c r="S914">
        <v>4</v>
      </c>
      <c r="T914">
        <v>3</v>
      </c>
      <c r="U914">
        <v>3</v>
      </c>
      <c r="V914" s="15">
        <f t="shared" ca="1" si="29"/>
        <v>5</v>
      </c>
    </row>
    <row r="915" spans="1:22">
      <c r="A915" t="s">
        <v>1100</v>
      </c>
      <c r="B915" s="1">
        <v>41060.109131944446</v>
      </c>
      <c r="C915" s="2">
        <v>250000</v>
      </c>
      <c r="D915">
        <v>250000</v>
      </c>
      <c r="E915" t="s">
        <v>1856</v>
      </c>
      <c r="F915" s="5">
        <v>250000</v>
      </c>
      <c r="G915" s="5">
        <v>250000</v>
      </c>
      <c r="H915" s="5">
        <f ca="1">OFFSET(F915,0,Brains!$D$1,1,1)</f>
        <v>250000</v>
      </c>
      <c r="I915" t="s">
        <v>1974</v>
      </c>
      <c r="J915" t="s">
        <v>1962</v>
      </c>
      <c r="K915" t="s">
        <v>1869</v>
      </c>
      <c r="L915" t="s">
        <v>1869</v>
      </c>
      <c r="M915" t="s">
        <v>3941</v>
      </c>
      <c r="N915" t="s">
        <v>1866</v>
      </c>
      <c r="O915" s="7" t="s">
        <v>3922</v>
      </c>
      <c r="P915" s="17" t="str">
        <f t="shared" ca="1" si="28"/>
        <v>250K+</v>
      </c>
      <c r="Q915" s="17">
        <v>8</v>
      </c>
      <c r="R915">
        <v>20</v>
      </c>
      <c r="S915">
        <v>5</v>
      </c>
      <c r="T915">
        <v>3</v>
      </c>
      <c r="U915">
        <v>3</v>
      </c>
      <c r="V915" s="15">
        <f t="shared" ca="1" si="29"/>
        <v>8</v>
      </c>
    </row>
    <row r="916" spans="1:22">
      <c r="A916" t="s">
        <v>787</v>
      </c>
      <c r="B916" s="1">
        <v>41058.788402777776</v>
      </c>
      <c r="C916" s="2">
        <v>100000</v>
      </c>
      <c r="D916">
        <v>100000</v>
      </c>
      <c r="E916" t="s">
        <v>1973</v>
      </c>
      <c r="F916" s="5">
        <v>101990.96564026357</v>
      </c>
      <c r="G916" s="5">
        <v>63613.231552162855</v>
      </c>
      <c r="H916" s="5">
        <f ca="1">OFFSET(F916,0,Brains!$D$1,1,1)</f>
        <v>63613.231552162855</v>
      </c>
      <c r="I916" t="s">
        <v>788</v>
      </c>
      <c r="J916" t="s">
        <v>1962</v>
      </c>
      <c r="K916" t="s">
        <v>1975</v>
      </c>
      <c r="L916" t="s">
        <v>1975</v>
      </c>
      <c r="M916" s="11" t="s">
        <v>3916</v>
      </c>
      <c r="N916" t="s">
        <v>1884</v>
      </c>
      <c r="O916" s="7" t="s">
        <v>3923</v>
      </c>
      <c r="P916" s="17" t="str">
        <f t="shared" ca="1" si="28"/>
        <v>50-74.9K</v>
      </c>
      <c r="Q916" s="17">
        <v>1.5</v>
      </c>
      <c r="R916">
        <v>30</v>
      </c>
      <c r="S916">
        <v>2</v>
      </c>
      <c r="T916">
        <v>4</v>
      </c>
      <c r="U916">
        <v>3</v>
      </c>
      <c r="V916" s="15">
        <f t="shared" ca="1" si="29"/>
        <v>4</v>
      </c>
    </row>
    <row r="917" spans="1:22">
      <c r="A917" t="s">
        <v>758</v>
      </c>
      <c r="B917" s="1">
        <v>41058.729664351849</v>
      </c>
      <c r="C917" s="2">
        <v>1200000</v>
      </c>
      <c r="D917">
        <v>1200000</v>
      </c>
      <c r="E917" t="s">
        <v>1908</v>
      </c>
      <c r="F917" s="5">
        <v>21369.500024931083</v>
      </c>
      <c r="G917" s="5">
        <v>59755.004481625336</v>
      </c>
      <c r="H917" s="5">
        <f ca="1">OFFSET(F917,0,Brains!$D$1,1,1)</f>
        <v>59755.004481625336</v>
      </c>
      <c r="I917" t="s">
        <v>1962</v>
      </c>
      <c r="J917" t="s">
        <v>1962</v>
      </c>
      <c r="K917" t="s">
        <v>1859</v>
      </c>
      <c r="L917" t="s">
        <v>1859</v>
      </c>
      <c r="M917" s="11" t="s">
        <v>3917</v>
      </c>
      <c r="N917" t="s">
        <v>1873</v>
      </c>
      <c r="O917" s="7" t="s">
        <v>3923</v>
      </c>
      <c r="P917" s="17" t="str">
        <f t="shared" ca="1" si="28"/>
        <v>50-74.9K</v>
      </c>
      <c r="Q917" s="17">
        <v>2.5</v>
      </c>
      <c r="R917">
        <v>21</v>
      </c>
      <c r="S917">
        <v>3</v>
      </c>
      <c r="T917">
        <v>4</v>
      </c>
      <c r="U917">
        <v>3</v>
      </c>
      <c r="V917" s="15">
        <f t="shared" ca="1" si="29"/>
        <v>4</v>
      </c>
    </row>
    <row r="918" spans="1:22">
      <c r="A918" t="s">
        <v>968</v>
      </c>
      <c r="B918" s="1">
        <v>41059.5393287037</v>
      </c>
      <c r="C918" s="2" t="s">
        <v>969</v>
      </c>
      <c r="D918">
        <v>600000</v>
      </c>
      <c r="E918" t="s">
        <v>1908</v>
      </c>
      <c r="F918" s="5">
        <v>10684.750012465542</v>
      </c>
      <c r="G918" s="5">
        <v>29877.502240812668</v>
      </c>
      <c r="H918" s="5">
        <f ca="1">OFFSET(F918,0,Brains!$D$1,1,1)</f>
        <v>29877.502240812668</v>
      </c>
      <c r="I918" t="s">
        <v>1974</v>
      </c>
      <c r="J918" t="s">
        <v>1962</v>
      </c>
      <c r="K918" t="s">
        <v>1859</v>
      </c>
      <c r="L918" t="s">
        <v>1859</v>
      </c>
      <c r="M918" s="11" t="s">
        <v>3917</v>
      </c>
      <c r="N918" t="s">
        <v>1873</v>
      </c>
      <c r="O918" s="7" t="s">
        <v>3924</v>
      </c>
      <c r="P918" s="17" t="str">
        <f t="shared" ca="1" si="28"/>
        <v>15-29.9K</v>
      </c>
      <c r="Q918" s="17">
        <v>2.5</v>
      </c>
      <c r="R918">
        <v>36</v>
      </c>
      <c r="S918">
        <v>3</v>
      </c>
      <c r="T918">
        <v>5</v>
      </c>
      <c r="U918">
        <v>3</v>
      </c>
      <c r="V918" s="15">
        <f t="shared" ca="1" si="29"/>
        <v>2</v>
      </c>
    </row>
    <row r="919" spans="1:22">
      <c r="A919" t="s">
        <v>3903</v>
      </c>
      <c r="B919" s="1">
        <v>41057.274884259263</v>
      </c>
      <c r="C919" s="2">
        <v>100000</v>
      </c>
      <c r="D919">
        <v>100000</v>
      </c>
      <c r="E919" t="s">
        <v>1973</v>
      </c>
      <c r="F919" s="5">
        <v>101990.96564026357</v>
      </c>
      <c r="G919" s="5">
        <v>63613.231552162855</v>
      </c>
      <c r="H919" s="5">
        <f ca="1">OFFSET(F919,0,Brains!$D$1,1,1)</f>
        <v>63613.231552162855</v>
      </c>
      <c r="I919" t="s">
        <v>1961</v>
      </c>
      <c r="J919" t="s">
        <v>1962</v>
      </c>
      <c r="K919" t="s">
        <v>1975</v>
      </c>
      <c r="L919" t="s">
        <v>1975</v>
      </c>
      <c r="M919" s="7" t="s">
        <v>3941</v>
      </c>
      <c r="N919" t="s">
        <v>1866</v>
      </c>
      <c r="O919" s="7" t="s">
        <v>3921</v>
      </c>
      <c r="P919" s="17" t="str">
        <f t="shared" ca="1" si="28"/>
        <v>50-74.9K</v>
      </c>
      <c r="Q919" s="17">
        <v>8</v>
      </c>
      <c r="R919">
        <v>6</v>
      </c>
      <c r="S919">
        <v>5</v>
      </c>
      <c r="T919">
        <v>2</v>
      </c>
      <c r="U919">
        <v>3</v>
      </c>
      <c r="V919" s="15">
        <f t="shared" ca="1" si="29"/>
        <v>4</v>
      </c>
    </row>
    <row r="920" spans="1:22">
      <c r="A920" t="s">
        <v>46</v>
      </c>
      <c r="B920" s="1">
        <v>41057.405243055553</v>
      </c>
      <c r="C920" s="2" t="s">
        <v>47</v>
      </c>
      <c r="D920">
        <v>1200000</v>
      </c>
      <c r="E920" t="s">
        <v>1908</v>
      </c>
      <c r="F920" s="5">
        <v>21369.500024931083</v>
      </c>
      <c r="G920" s="5">
        <v>59755.004481625336</v>
      </c>
      <c r="H920" s="5">
        <f ca="1">OFFSET(F920,0,Brains!$D$1,1,1)</f>
        <v>59755.004481625336</v>
      </c>
      <c r="I920" t="s">
        <v>1961</v>
      </c>
      <c r="J920" t="s">
        <v>1962</v>
      </c>
      <c r="K920" t="s">
        <v>1859</v>
      </c>
      <c r="L920" t="s">
        <v>1859</v>
      </c>
      <c r="M920" s="7" t="s">
        <v>3941</v>
      </c>
      <c r="N920" t="s">
        <v>1866</v>
      </c>
      <c r="O920" s="7" t="s">
        <v>3921</v>
      </c>
      <c r="P920" s="17" t="str">
        <f t="shared" ca="1" si="28"/>
        <v>50-74.9K</v>
      </c>
      <c r="Q920" s="17">
        <v>8</v>
      </c>
      <c r="R920">
        <v>6</v>
      </c>
      <c r="S920">
        <v>5</v>
      </c>
      <c r="T920">
        <v>2</v>
      </c>
      <c r="U920">
        <v>3</v>
      </c>
      <c r="V920" s="15">
        <f t="shared" ca="1" si="29"/>
        <v>4</v>
      </c>
    </row>
    <row r="921" spans="1:22">
      <c r="A921" t="s">
        <v>1058</v>
      </c>
      <c r="B921" s="1">
        <v>41059.880486111113</v>
      </c>
      <c r="C921" s="2">
        <v>42000</v>
      </c>
      <c r="D921">
        <v>42000</v>
      </c>
      <c r="E921" t="s">
        <v>1880</v>
      </c>
      <c r="F921" s="5">
        <v>53356.776437647524</v>
      </c>
      <c r="G921" s="5">
        <v>52760.372437981445</v>
      </c>
      <c r="H921" s="5">
        <f ca="1">OFFSET(F921,0,Brains!$D$1,1,1)</f>
        <v>52760.372437981445</v>
      </c>
      <c r="I921" t="s">
        <v>1059</v>
      </c>
      <c r="J921" t="s">
        <v>1962</v>
      </c>
      <c r="K921" t="s">
        <v>1883</v>
      </c>
      <c r="L921" t="s">
        <v>1883</v>
      </c>
      <c r="M921" s="7" t="s">
        <v>3941</v>
      </c>
      <c r="N921" t="s">
        <v>1866</v>
      </c>
      <c r="O921" s="7" t="s">
        <v>3921</v>
      </c>
      <c r="P921" s="17" t="str">
        <f t="shared" ca="1" si="28"/>
        <v>50-74.9K</v>
      </c>
      <c r="Q921" s="17">
        <v>8</v>
      </c>
      <c r="R921">
        <v>7</v>
      </c>
      <c r="S921">
        <v>5</v>
      </c>
      <c r="T921">
        <v>2</v>
      </c>
      <c r="U921">
        <v>3</v>
      </c>
      <c r="V921" s="15">
        <f t="shared" ca="1" si="29"/>
        <v>4</v>
      </c>
    </row>
    <row r="922" spans="1:22">
      <c r="A922" t="s">
        <v>167</v>
      </c>
      <c r="B922" s="1">
        <v>41057.596296296295</v>
      </c>
      <c r="C922" s="2">
        <v>26000</v>
      </c>
      <c r="D922">
        <v>26000</v>
      </c>
      <c r="E922" t="s">
        <v>1954</v>
      </c>
      <c r="F922" s="5">
        <v>40980.635073749385</v>
      </c>
      <c r="G922" s="5">
        <v>38575.667655786347</v>
      </c>
      <c r="H922" s="5">
        <f ca="1">OFFSET(F922,0,Brains!$D$1,1,1)</f>
        <v>38575.667655786347</v>
      </c>
      <c r="I922" t="s">
        <v>1962</v>
      </c>
      <c r="J922" t="s">
        <v>1962</v>
      </c>
      <c r="K922" t="s">
        <v>1956</v>
      </c>
      <c r="L922" t="s">
        <v>1956</v>
      </c>
      <c r="M922" s="7" t="s">
        <v>3941</v>
      </c>
      <c r="N922" t="s">
        <v>1866</v>
      </c>
      <c r="O922" s="7" t="s">
        <v>3921</v>
      </c>
      <c r="P922" s="17" t="str">
        <f t="shared" ca="1" si="28"/>
        <v>30-49.9K</v>
      </c>
      <c r="Q922" s="17">
        <v>8</v>
      </c>
      <c r="R922">
        <v>8</v>
      </c>
      <c r="S922">
        <v>5</v>
      </c>
      <c r="T922">
        <v>2</v>
      </c>
      <c r="U922">
        <v>3</v>
      </c>
      <c r="V922" s="15">
        <f t="shared" ca="1" si="29"/>
        <v>3</v>
      </c>
    </row>
    <row r="923" spans="1:22">
      <c r="A923" t="s">
        <v>441</v>
      </c>
      <c r="B923" s="1">
        <v>41057.962754629632</v>
      </c>
      <c r="C923" s="2" t="s">
        <v>442</v>
      </c>
      <c r="D923">
        <v>2000000</v>
      </c>
      <c r="E923" t="s">
        <v>1895</v>
      </c>
      <c r="F923" s="5">
        <v>21228.177433598263</v>
      </c>
      <c r="G923" s="5">
        <v>48920.089034562043</v>
      </c>
      <c r="H923" s="5">
        <f ca="1">OFFSET(F923,0,Brains!$D$1,1,1)</f>
        <v>48920.089034562043</v>
      </c>
      <c r="I923" t="s">
        <v>443</v>
      </c>
      <c r="J923" t="s">
        <v>1962</v>
      </c>
      <c r="K923" t="s">
        <v>1872</v>
      </c>
      <c r="L923" t="s">
        <v>1872</v>
      </c>
      <c r="M923" s="7" t="s">
        <v>3941</v>
      </c>
      <c r="N923" t="s">
        <v>1866</v>
      </c>
      <c r="O923" s="7" t="s">
        <v>3921</v>
      </c>
      <c r="P923" s="17" t="str">
        <f t="shared" ca="1" si="28"/>
        <v>30-49.9K</v>
      </c>
      <c r="Q923" s="17">
        <v>8</v>
      </c>
      <c r="R923">
        <v>8</v>
      </c>
      <c r="S923">
        <v>5</v>
      </c>
      <c r="T923">
        <v>2</v>
      </c>
      <c r="U923">
        <v>3</v>
      </c>
      <c r="V923" s="15">
        <f t="shared" ca="1" si="29"/>
        <v>3</v>
      </c>
    </row>
    <row r="924" spans="1:22">
      <c r="A924" t="s">
        <v>3125</v>
      </c>
      <c r="B924" s="1">
        <v>41055.345752314817</v>
      </c>
      <c r="C924" s="2" t="s">
        <v>3126</v>
      </c>
      <c r="D924">
        <v>36000</v>
      </c>
      <c r="E924" t="s">
        <v>1856</v>
      </c>
      <c r="F924" s="5">
        <v>36000</v>
      </c>
      <c r="G924" s="5">
        <v>36000</v>
      </c>
      <c r="H924" s="5">
        <f ca="1">OFFSET(F924,0,Brains!$D$1,1,1)</f>
        <v>36000</v>
      </c>
      <c r="I924" t="s">
        <v>3127</v>
      </c>
      <c r="J924" t="s">
        <v>1962</v>
      </c>
      <c r="K924" t="s">
        <v>1949</v>
      </c>
      <c r="L924" t="s">
        <v>1949</v>
      </c>
      <c r="M924" s="7" t="s">
        <v>3941</v>
      </c>
      <c r="N924" t="s">
        <v>1866</v>
      </c>
      <c r="O924" s="7" t="s">
        <v>3921</v>
      </c>
      <c r="P924" s="17" t="str">
        <f t="shared" ca="1" si="28"/>
        <v>30-49.9K</v>
      </c>
      <c r="Q924" s="17">
        <v>8</v>
      </c>
      <c r="R924">
        <v>10</v>
      </c>
      <c r="S924">
        <v>5</v>
      </c>
      <c r="T924">
        <v>2</v>
      </c>
      <c r="U924">
        <v>3</v>
      </c>
      <c r="V924" s="15">
        <f t="shared" ca="1" si="29"/>
        <v>3</v>
      </c>
    </row>
    <row r="925" spans="1:22">
      <c r="A925" t="s">
        <v>545</v>
      </c>
      <c r="B925" s="1">
        <v>41058.160520833335</v>
      </c>
      <c r="C925" s="2">
        <v>30</v>
      </c>
      <c r="D925">
        <v>30000</v>
      </c>
      <c r="E925" t="s">
        <v>1880</v>
      </c>
      <c r="F925" s="5">
        <v>38111.983169748237</v>
      </c>
      <c r="G925" s="5">
        <v>37685.980312843887</v>
      </c>
      <c r="H925" s="5">
        <f ca="1">OFFSET(F925,0,Brains!$D$1,1,1)</f>
        <v>37685.980312843887</v>
      </c>
      <c r="I925" t="s">
        <v>546</v>
      </c>
      <c r="J925" t="s">
        <v>1962</v>
      </c>
      <c r="K925" t="s">
        <v>547</v>
      </c>
      <c r="L925" t="s">
        <v>2998</v>
      </c>
      <c r="M925" s="11" t="s">
        <v>3916</v>
      </c>
      <c r="N925" t="s">
        <v>1884</v>
      </c>
      <c r="O925" s="7" t="s">
        <v>3921</v>
      </c>
      <c r="P925" s="17" t="str">
        <f t="shared" ca="1" si="28"/>
        <v>30-49.9K</v>
      </c>
      <c r="Q925" s="17">
        <v>1.5</v>
      </c>
      <c r="R925">
        <v>8</v>
      </c>
      <c r="S925">
        <v>2</v>
      </c>
      <c r="T925">
        <v>2</v>
      </c>
      <c r="U925">
        <v>3</v>
      </c>
      <c r="V925" s="15">
        <f t="shared" ca="1" si="29"/>
        <v>3</v>
      </c>
    </row>
    <row r="926" spans="1:22">
      <c r="A926" t="s">
        <v>3129</v>
      </c>
      <c r="B926" s="1">
        <v>41055.363275462965</v>
      </c>
      <c r="C926" s="2">
        <v>108000</v>
      </c>
      <c r="D926">
        <v>108000</v>
      </c>
      <c r="E926" t="s">
        <v>1856</v>
      </c>
      <c r="F926" s="5">
        <v>108000</v>
      </c>
      <c r="G926" s="5">
        <v>108000</v>
      </c>
      <c r="H926" s="5">
        <f ca="1">OFFSET(F926,0,Brains!$D$1,1,1)</f>
        <v>108000</v>
      </c>
      <c r="I926" t="s">
        <v>3130</v>
      </c>
      <c r="J926" t="s">
        <v>1962</v>
      </c>
      <c r="K926" t="s">
        <v>1869</v>
      </c>
      <c r="L926" t="s">
        <v>1869</v>
      </c>
      <c r="M926" s="11" t="s">
        <v>3917</v>
      </c>
      <c r="N926" t="s">
        <v>1873</v>
      </c>
      <c r="O926" s="7" t="s">
        <v>3921</v>
      </c>
      <c r="P926" s="17" t="str">
        <f t="shared" ca="1" si="28"/>
        <v>100-149.9K</v>
      </c>
      <c r="Q926" s="17">
        <v>2.5</v>
      </c>
      <c r="R926">
        <v>7</v>
      </c>
      <c r="S926">
        <v>3</v>
      </c>
      <c r="T926">
        <v>2</v>
      </c>
      <c r="U926">
        <v>3</v>
      </c>
      <c r="V926" s="15">
        <f t="shared" ca="1" si="29"/>
        <v>6</v>
      </c>
    </row>
    <row r="927" spans="1:22">
      <c r="A927" t="s">
        <v>71</v>
      </c>
      <c r="B927" s="1">
        <v>41057.445925925924</v>
      </c>
      <c r="C927" s="2">
        <v>170000</v>
      </c>
      <c r="D927">
        <v>170000</v>
      </c>
      <c r="E927" t="s">
        <v>1973</v>
      </c>
      <c r="F927" s="5">
        <v>173384.64158844808</v>
      </c>
      <c r="G927" s="5">
        <v>108142.49363867685</v>
      </c>
      <c r="H927" s="5">
        <f ca="1">OFFSET(F927,0,Brains!$D$1,1,1)</f>
        <v>108142.49363867685</v>
      </c>
      <c r="I927" t="s">
        <v>72</v>
      </c>
      <c r="J927" t="s">
        <v>1962</v>
      </c>
      <c r="K927" t="s">
        <v>1975</v>
      </c>
      <c r="L927" t="s">
        <v>1975</v>
      </c>
      <c r="M927" s="11" t="s">
        <v>3917</v>
      </c>
      <c r="N927" t="s">
        <v>1873</v>
      </c>
      <c r="O927" s="7" t="s">
        <v>3921</v>
      </c>
      <c r="P927" s="17" t="str">
        <f t="shared" ca="1" si="28"/>
        <v>100-149.9K</v>
      </c>
      <c r="Q927" s="17">
        <v>2.5</v>
      </c>
      <c r="R927">
        <v>8</v>
      </c>
      <c r="S927">
        <v>3</v>
      </c>
      <c r="T927">
        <v>2</v>
      </c>
      <c r="U927">
        <v>3</v>
      </c>
      <c r="V927" s="15">
        <f t="shared" ca="1" si="29"/>
        <v>6</v>
      </c>
    </row>
    <row r="928" spans="1:22">
      <c r="A928" t="s">
        <v>879</v>
      </c>
      <c r="B928" s="1">
        <v>41058.951620370368</v>
      </c>
      <c r="C928" s="2">
        <v>80000</v>
      </c>
      <c r="D928">
        <v>80000</v>
      </c>
      <c r="E928" t="s">
        <v>1856</v>
      </c>
      <c r="F928" s="5">
        <v>80000</v>
      </c>
      <c r="G928" s="5">
        <v>80000</v>
      </c>
      <c r="H928" s="5">
        <f ca="1">OFFSET(F928,0,Brains!$D$1,1,1)</f>
        <v>80000</v>
      </c>
      <c r="I928" t="s">
        <v>880</v>
      </c>
      <c r="J928" t="s">
        <v>1962</v>
      </c>
      <c r="K928" t="s">
        <v>1869</v>
      </c>
      <c r="L928" t="s">
        <v>1869</v>
      </c>
      <c r="M928" s="11" t="s">
        <v>3917</v>
      </c>
      <c r="N928" t="s">
        <v>1873</v>
      </c>
      <c r="O928" s="7" t="s">
        <v>3921</v>
      </c>
      <c r="P928" s="17" t="str">
        <f t="shared" ca="1" si="28"/>
        <v>75-99.9K</v>
      </c>
      <c r="Q928" s="17">
        <v>2.5</v>
      </c>
      <c r="R928">
        <v>8</v>
      </c>
      <c r="S928">
        <v>3</v>
      </c>
      <c r="T928">
        <v>2</v>
      </c>
      <c r="U928">
        <v>3</v>
      </c>
      <c r="V928" s="15">
        <f t="shared" ca="1" si="29"/>
        <v>5</v>
      </c>
    </row>
    <row r="929" spans="1:22">
      <c r="A929" t="s">
        <v>173</v>
      </c>
      <c r="B929" s="1">
        <v>41057.599965277775</v>
      </c>
      <c r="C929" s="2">
        <v>1000</v>
      </c>
      <c r="D929">
        <v>12000</v>
      </c>
      <c r="E929" t="s">
        <v>1856</v>
      </c>
      <c r="F929" s="5">
        <v>12000</v>
      </c>
      <c r="G929" s="5">
        <v>12000</v>
      </c>
      <c r="H929" s="5">
        <f ca="1">OFFSET(F929,0,Brains!$D$1,1,1)</f>
        <v>12000</v>
      </c>
      <c r="I929" t="s">
        <v>1974</v>
      </c>
      <c r="J929" t="s">
        <v>1962</v>
      </c>
      <c r="K929" t="s">
        <v>1859</v>
      </c>
      <c r="L929" t="s">
        <v>1859</v>
      </c>
      <c r="M929" s="11" t="s">
        <v>3917</v>
      </c>
      <c r="N929" t="s">
        <v>1873</v>
      </c>
      <c r="O929" s="7" t="s">
        <v>3921</v>
      </c>
      <c r="P929" s="17" t="str">
        <f t="shared" ca="1" si="28"/>
        <v>0-14.9K</v>
      </c>
      <c r="Q929" s="17">
        <v>2.5</v>
      </c>
      <c r="R929">
        <v>8</v>
      </c>
      <c r="S929">
        <v>3</v>
      </c>
      <c r="T929">
        <v>2</v>
      </c>
      <c r="U929">
        <v>3</v>
      </c>
      <c r="V929" s="15">
        <f t="shared" ca="1" si="29"/>
        <v>1</v>
      </c>
    </row>
    <row r="930" spans="1:22">
      <c r="A930" t="s">
        <v>1248</v>
      </c>
      <c r="B930" s="1">
        <v>41061.755636574075</v>
      </c>
      <c r="C930" s="2" t="s">
        <v>1249</v>
      </c>
      <c r="D930">
        <v>75000</v>
      </c>
      <c r="E930" t="s">
        <v>1856</v>
      </c>
      <c r="F930" s="5">
        <v>75000</v>
      </c>
      <c r="G930" s="5">
        <v>75000</v>
      </c>
      <c r="H930" s="5">
        <f ca="1">OFFSET(F930,0,Brains!$D$1,1,1)</f>
        <v>75000</v>
      </c>
      <c r="I930" t="s">
        <v>1962</v>
      </c>
      <c r="J930" t="s">
        <v>1962</v>
      </c>
      <c r="K930" t="s">
        <v>1883</v>
      </c>
      <c r="L930" t="s">
        <v>1883</v>
      </c>
      <c r="M930" s="11" t="s">
        <v>3917</v>
      </c>
      <c r="N930" t="s">
        <v>1873</v>
      </c>
      <c r="O930" s="7" t="s">
        <v>3921</v>
      </c>
      <c r="P930" s="17" t="str">
        <f t="shared" ca="1" si="28"/>
        <v>75-99.9K</v>
      </c>
      <c r="Q930" s="17">
        <v>2.5</v>
      </c>
      <c r="R930">
        <v>9</v>
      </c>
      <c r="S930">
        <v>3</v>
      </c>
      <c r="T930">
        <v>2</v>
      </c>
      <c r="U930">
        <v>3</v>
      </c>
      <c r="V930" s="15">
        <f t="shared" ca="1" si="29"/>
        <v>5</v>
      </c>
    </row>
    <row r="931" spans="1:22">
      <c r="A931" t="s">
        <v>568</v>
      </c>
      <c r="B931" s="1">
        <v>41058.216006944444</v>
      </c>
      <c r="C931" s="2" t="s">
        <v>569</v>
      </c>
      <c r="D931">
        <v>72000</v>
      </c>
      <c r="E931" t="s">
        <v>1856</v>
      </c>
      <c r="F931" s="5">
        <v>72000</v>
      </c>
      <c r="G931" s="5">
        <v>72000</v>
      </c>
      <c r="H931" s="5">
        <f ca="1">OFFSET(F931,0,Brains!$D$1,1,1)</f>
        <v>72000</v>
      </c>
      <c r="I931" t="s">
        <v>570</v>
      </c>
      <c r="J931" t="s">
        <v>1962</v>
      </c>
      <c r="K931" t="s">
        <v>3083</v>
      </c>
      <c r="L931" t="s">
        <v>3083</v>
      </c>
      <c r="M931" s="11" t="s">
        <v>3917</v>
      </c>
      <c r="N931" t="s">
        <v>1873</v>
      </c>
      <c r="O931" s="7" t="s">
        <v>3921</v>
      </c>
      <c r="P931" s="17" t="str">
        <f t="shared" ca="1" si="28"/>
        <v>50-74.9K</v>
      </c>
      <c r="Q931" s="17">
        <v>2.5</v>
      </c>
      <c r="R931">
        <v>10</v>
      </c>
      <c r="S931">
        <v>3</v>
      </c>
      <c r="T931">
        <v>2</v>
      </c>
      <c r="U931">
        <v>3</v>
      </c>
      <c r="V931" s="15">
        <f t="shared" ca="1" si="29"/>
        <v>4</v>
      </c>
    </row>
    <row r="932" spans="1:22">
      <c r="A932" t="s">
        <v>1364</v>
      </c>
      <c r="B932" s="1">
        <v>41064.563090277778</v>
      </c>
      <c r="C932" s="2">
        <v>84000</v>
      </c>
      <c r="D932">
        <v>84000</v>
      </c>
      <c r="E932" t="s">
        <v>1973</v>
      </c>
      <c r="F932" s="5">
        <v>85672.4111378214</v>
      </c>
      <c r="G932" s="5">
        <v>53435.114503816796</v>
      </c>
      <c r="H932" s="5">
        <f ca="1">OFFSET(F932,0,Brains!$D$1,1,1)</f>
        <v>53435.114503816796</v>
      </c>
      <c r="I932" t="s">
        <v>1974</v>
      </c>
      <c r="J932" t="s">
        <v>1962</v>
      </c>
      <c r="K932" t="s">
        <v>1975</v>
      </c>
      <c r="L932" t="s">
        <v>1975</v>
      </c>
      <c r="M932" s="11" t="s">
        <v>3918</v>
      </c>
      <c r="N932" t="s">
        <v>1860</v>
      </c>
      <c r="O932" s="7" t="s">
        <v>3921</v>
      </c>
      <c r="P932" s="17" t="str">
        <f t="shared" ca="1" si="28"/>
        <v>50-74.9K</v>
      </c>
      <c r="Q932" s="17">
        <v>5</v>
      </c>
      <c r="R932">
        <v>6</v>
      </c>
      <c r="S932">
        <v>4</v>
      </c>
      <c r="T932">
        <v>2</v>
      </c>
      <c r="U932">
        <v>3</v>
      </c>
      <c r="V932" s="15">
        <f t="shared" ca="1" si="29"/>
        <v>4</v>
      </c>
    </row>
    <row r="933" spans="1:22">
      <c r="A933" t="s">
        <v>224</v>
      </c>
      <c r="B933" s="1">
        <v>41057.65421296296</v>
      </c>
      <c r="C933" s="2">
        <v>80000</v>
      </c>
      <c r="D933">
        <v>80000</v>
      </c>
      <c r="E933" t="s">
        <v>1954</v>
      </c>
      <c r="F933" s="5">
        <v>126094.26176538273</v>
      </c>
      <c r="G933" s="5">
        <v>118694.36201780415</v>
      </c>
      <c r="H933" s="5">
        <f ca="1">OFFSET(F933,0,Brains!$D$1,1,1)</f>
        <v>118694.36201780415</v>
      </c>
      <c r="I933" t="s">
        <v>225</v>
      </c>
      <c r="J933" t="s">
        <v>1962</v>
      </c>
      <c r="K933" t="s">
        <v>1956</v>
      </c>
      <c r="L933" t="s">
        <v>1956</v>
      </c>
      <c r="M933" s="11" t="s">
        <v>3918</v>
      </c>
      <c r="N933" t="s">
        <v>1860</v>
      </c>
      <c r="O933" s="7" t="s">
        <v>3921</v>
      </c>
      <c r="P933" s="17" t="str">
        <f t="shared" ca="1" si="28"/>
        <v>100-149.9K</v>
      </c>
      <c r="Q933" s="17">
        <v>5</v>
      </c>
      <c r="R933">
        <v>10</v>
      </c>
      <c r="S933">
        <v>4</v>
      </c>
      <c r="T933">
        <v>2</v>
      </c>
      <c r="U933">
        <v>3</v>
      </c>
      <c r="V933" s="15">
        <f t="shared" ca="1" si="29"/>
        <v>6</v>
      </c>
    </row>
    <row r="934" spans="1:22">
      <c r="A934" t="s">
        <v>724</v>
      </c>
      <c r="B934" s="1">
        <v>41058.66065972222</v>
      </c>
      <c r="C934" s="2" t="s">
        <v>725</v>
      </c>
      <c r="D934">
        <v>82000</v>
      </c>
      <c r="E934" t="s">
        <v>1856</v>
      </c>
      <c r="F934" s="5">
        <v>82000</v>
      </c>
      <c r="G934" s="5">
        <v>82000</v>
      </c>
      <c r="H934" s="5">
        <f ca="1">OFFSET(F934,0,Brains!$D$1,1,1)</f>
        <v>82000</v>
      </c>
      <c r="I934" t="s">
        <v>1962</v>
      </c>
      <c r="J934" t="s">
        <v>1962</v>
      </c>
      <c r="K934" t="s">
        <v>1922</v>
      </c>
      <c r="L934" t="s">
        <v>1922</v>
      </c>
      <c r="M934" s="11" t="s">
        <v>3918</v>
      </c>
      <c r="N934" t="s">
        <v>1860</v>
      </c>
      <c r="O934" s="7" t="s">
        <v>3921</v>
      </c>
      <c r="P934" s="17" t="str">
        <f t="shared" ca="1" si="28"/>
        <v>75-99.9K</v>
      </c>
      <c r="Q934" s="17">
        <v>5</v>
      </c>
      <c r="R934">
        <v>10</v>
      </c>
      <c r="S934">
        <v>4</v>
      </c>
      <c r="T934">
        <v>2</v>
      </c>
      <c r="U934">
        <v>3</v>
      </c>
      <c r="V934" s="15">
        <f t="shared" ca="1" si="29"/>
        <v>5</v>
      </c>
    </row>
    <row r="935" spans="1:22">
      <c r="A935" t="s">
        <v>1211</v>
      </c>
      <c r="B935" s="1">
        <v>41061.174212962964</v>
      </c>
      <c r="C935" s="2">
        <v>41000</v>
      </c>
      <c r="D935">
        <v>41000</v>
      </c>
      <c r="E935" t="s">
        <v>1856</v>
      </c>
      <c r="F935" s="5">
        <v>41000</v>
      </c>
      <c r="G935" s="5">
        <v>41000</v>
      </c>
      <c r="H935" s="5">
        <f ca="1">OFFSET(F935,0,Brains!$D$1,1,1)</f>
        <v>41000</v>
      </c>
      <c r="I935" t="s">
        <v>144</v>
      </c>
      <c r="J935" t="s">
        <v>1962</v>
      </c>
      <c r="K935" t="s">
        <v>1869</v>
      </c>
      <c r="L935" t="s">
        <v>1869</v>
      </c>
      <c r="M935" s="11" t="s">
        <v>3918</v>
      </c>
      <c r="N935" t="s">
        <v>1860</v>
      </c>
      <c r="O935" s="7" t="s">
        <v>3921</v>
      </c>
      <c r="P935" s="17" t="str">
        <f t="shared" ca="1" si="28"/>
        <v>30-49.9K</v>
      </c>
      <c r="Q935" s="17">
        <v>5</v>
      </c>
      <c r="R935">
        <v>10</v>
      </c>
      <c r="S935">
        <v>4</v>
      </c>
      <c r="T935">
        <v>2</v>
      </c>
      <c r="U935">
        <v>3</v>
      </c>
      <c r="V935" s="15">
        <f t="shared" ca="1" si="29"/>
        <v>3</v>
      </c>
    </row>
    <row r="936" spans="1:22">
      <c r="A936" t="s">
        <v>1093</v>
      </c>
      <c r="B936" s="1">
        <v>41060.054027777776</v>
      </c>
      <c r="C936" s="2">
        <v>1500000</v>
      </c>
      <c r="D936">
        <v>1500000</v>
      </c>
      <c r="E936" t="s">
        <v>1908</v>
      </c>
      <c r="F936" s="5">
        <v>26711.875031163851</v>
      </c>
      <c r="G936" s="5">
        <v>74693.75560203167</v>
      </c>
      <c r="H936" s="5">
        <f ca="1">OFFSET(F936,0,Brains!$D$1,1,1)</f>
        <v>74693.75560203167</v>
      </c>
      <c r="I936" t="s">
        <v>1094</v>
      </c>
      <c r="J936" t="s">
        <v>1962</v>
      </c>
      <c r="K936" t="s">
        <v>1859</v>
      </c>
      <c r="L936" t="s">
        <v>1859</v>
      </c>
      <c r="M936" s="11" t="s">
        <v>3918</v>
      </c>
      <c r="N936" t="s">
        <v>1860</v>
      </c>
      <c r="O936" s="7" t="s">
        <v>3921</v>
      </c>
      <c r="P936" s="17" t="str">
        <f t="shared" ca="1" si="28"/>
        <v>50-74.9K</v>
      </c>
      <c r="Q936" s="17">
        <v>5</v>
      </c>
      <c r="R936">
        <v>10</v>
      </c>
      <c r="S936">
        <v>4</v>
      </c>
      <c r="T936">
        <v>2</v>
      </c>
      <c r="U936">
        <v>3</v>
      </c>
      <c r="V936" s="15">
        <f t="shared" ca="1" si="29"/>
        <v>4</v>
      </c>
    </row>
    <row r="937" spans="1:22">
      <c r="A937" t="s">
        <v>1178</v>
      </c>
      <c r="B937" s="1">
        <v>41060.920173611114</v>
      </c>
      <c r="C937" s="2">
        <v>125000</v>
      </c>
      <c r="D937">
        <v>125000</v>
      </c>
      <c r="E937" t="s">
        <v>1856</v>
      </c>
      <c r="F937" s="5">
        <v>125000</v>
      </c>
      <c r="G937" s="5">
        <v>125000</v>
      </c>
      <c r="H937" s="5">
        <f ca="1">OFFSET(F937,0,Brains!$D$1,1,1)</f>
        <v>125000</v>
      </c>
      <c r="I937" t="s">
        <v>1962</v>
      </c>
      <c r="J937" t="s">
        <v>1962</v>
      </c>
      <c r="K937" t="s">
        <v>1869</v>
      </c>
      <c r="L937" t="s">
        <v>1869</v>
      </c>
      <c r="M937" t="s">
        <v>3941</v>
      </c>
      <c r="N937" t="s">
        <v>1866</v>
      </c>
      <c r="O937" s="7" t="s">
        <v>3921</v>
      </c>
      <c r="P937" s="17" t="str">
        <f t="shared" ca="1" si="28"/>
        <v>100-149.9K</v>
      </c>
      <c r="Q937" s="17">
        <v>8</v>
      </c>
      <c r="R937">
        <v>8</v>
      </c>
      <c r="S937">
        <v>5</v>
      </c>
      <c r="T937">
        <v>2</v>
      </c>
      <c r="U937">
        <v>3</v>
      </c>
      <c r="V937" s="15">
        <f t="shared" ca="1" si="29"/>
        <v>6</v>
      </c>
    </row>
    <row r="938" spans="1:22">
      <c r="A938" t="s">
        <v>2671</v>
      </c>
      <c r="B938" s="1">
        <v>41055.077789351853</v>
      </c>
      <c r="C938" s="2" t="s">
        <v>2672</v>
      </c>
      <c r="D938">
        <v>220700</v>
      </c>
      <c r="E938" t="s">
        <v>1856</v>
      </c>
      <c r="F938" s="5">
        <v>220700</v>
      </c>
      <c r="G938" s="5">
        <v>220700</v>
      </c>
      <c r="H938" s="5">
        <f ca="1">OFFSET(F938,0,Brains!$D$1,1,1)</f>
        <v>220700</v>
      </c>
      <c r="I938" t="s">
        <v>1962</v>
      </c>
      <c r="J938" t="s">
        <v>1962</v>
      </c>
      <c r="K938" t="s">
        <v>2081</v>
      </c>
      <c r="L938" t="s">
        <v>2081</v>
      </c>
      <c r="M938" s="7" t="s">
        <v>3941</v>
      </c>
      <c r="N938" t="s">
        <v>1866</v>
      </c>
      <c r="P938" s="15" t="str">
        <f t="shared" ca="1" si="28"/>
        <v>150-249.9K</v>
      </c>
      <c r="Q938" s="15">
        <v>8</v>
      </c>
      <c r="S938">
        <v>5</v>
      </c>
      <c r="U938">
        <v>3</v>
      </c>
      <c r="V938" s="15">
        <f t="shared" ca="1" si="29"/>
        <v>7</v>
      </c>
    </row>
    <row r="939" spans="1:22">
      <c r="A939" t="s">
        <v>2293</v>
      </c>
      <c r="B939" s="1">
        <v>41055.035196759258</v>
      </c>
      <c r="C939" s="2">
        <v>92000</v>
      </c>
      <c r="D939">
        <v>92000</v>
      </c>
      <c r="E939" t="s">
        <v>1979</v>
      </c>
      <c r="F939" s="5">
        <v>90469.260118790073</v>
      </c>
      <c r="G939" s="5">
        <v>73658.927141713357</v>
      </c>
      <c r="H939" s="5">
        <f ca="1">OFFSET(F939,0,Brains!$D$1,1,1)</f>
        <v>73658.927141713357</v>
      </c>
      <c r="I939" t="s">
        <v>2294</v>
      </c>
      <c r="J939" t="s">
        <v>1962</v>
      </c>
      <c r="K939" t="s">
        <v>1981</v>
      </c>
      <c r="L939" t="s">
        <v>1981</v>
      </c>
      <c r="M939" s="7" t="s">
        <v>3941</v>
      </c>
      <c r="N939" t="s">
        <v>1866</v>
      </c>
      <c r="P939" s="15" t="str">
        <f t="shared" ca="1" si="28"/>
        <v>50-74.9K</v>
      </c>
      <c r="Q939" s="15">
        <v>8</v>
      </c>
      <c r="S939">
        <v>5</v>
      </c>
      <c r="U939">
        <v>3</v>
      </c>
      <c r="V939" s="15">
        <f t="shared" ca="1" si="29"/>
        <v>4</v>
      </c>
    </row>
    <row r="940" spans="1:22">
      <c r="A940" t="s">
        <v>2425</v>
      </c>
      <c r="B940" s="1">
        <v>41055.045972222222</v>
      </c>
      <c r="C940" s="2">
        <v>4390</v>
      </c>
      <c r="D940">
        <v>52680</v>
      </c>
      <c r="E940" t="s">
        <v>1954</v>
      </c>
      <c r="F940" s="5">
        <v>83033.071372504521</v>
      </c>
      <c r="G940" s="5">
        <v>78160.237388724039</v>
      </c>
      <c r="H940" s="5">
        <f ca="1">OFFSET(F940,0,Brains!$D$1,1,1)</f>
        <v>78160.237388724039</v>
      </c>
      <c r="I940" t="s">
        <v>2426</v>
      </c>
      <c r="J940" t="s">
        <v>1962</v>
      </c>
      <c r="K940" t="s">
        <v>1956</v>
      </c>
      <c r="L940" t="s">
        <v>1956</v>
      </c>
      <c r="M940" s="7" t="s">
        <v>3941</v>
      </c>
      <c r="N940" t="s">
        <v>1866</v>
      </c>
      <c r="P940" s="15" t="str">
        <f t="shared" ca="1" si="28"/>
        <v>75-99.9K</v>
      </c>
      <c r="Q940" s="15">
        <v>8</v>
      </c>
      <c r="S940">
        <v>5</v>
      </c>
      <c r="U940">
        <v>3</v>
      </c>
      <c r="V940" s="15">
        <f t="shared" ca="1" si="29"/>
        <v>5</v>
      </c>
    </row>
    <row r="941" spans="1:22">
      <c r="A941" t="s">
        <v>2444</v>
      </c>
      <c r="B941" s="1">
        <v>41055.047465277778</v>
      </c>
      <c r="C941" s="2">
        <v>2300</v>
      </c>
      <c r="D941">
        <v>27600</v>
      </c>
      <c r="E941" t="s">
        <v>1856</v>
      </c>
      <c r="F941" s="5">
        <v>27600</v>
      </c>
      <c r="G941" s="5">
        <v>27600</v>
      </c>
      <c r="H941" s="5">
        <f ca="1">OFFSET(F941,0,Brains!$D$1,1,1)</f>
        <v>27600</v>
      </c>
      <c r="I941" t="s">
        <v>2445</v>
      </c>
      <c r="J941" t="s">
        <v>1962</v>
      </c>
      <c r="K941" t="s">
        <v>2344</v>
      </c>
      <c r="L941" t="s">
        <v>2344</v>
      </c>
      <c r="M941" s="7" t="s">
        <v>3941</v>
      </c>
      <c r="N941" t="s">
        <v>1866</v>
      </c>
      <c r="P941" s="15" t="str">
        <f t="shared" ca="1" si="28"/>
        <v>15-29.9K</v>
      </c>
      <c r="Q941" s="15">
        <v>8</v>
      </c>
      <c r="S941">
        <v>5</v>
      </c>
      <c r="U941">
        <v>3</v>
      </c>
      <c r="V941" s="15">
        <f t="shared" ca="1" si="29"/>
        <v>2</v>
      </c>
    </row>
    <row r="942" spans="1:22">
      <c r="A942" t="s">
        <v>2486</v>
      </c>
      <c r="B942" s="1">
        <v>41055.052986111114</v>
      </c>
      <c r="C942" s="2" t="s">
        <v>2487</v>
      </c>
      <c r="D942">
        <v>1500000</v>
      </c>
      <c r="E942" t="s">
        <v>1908</v>
      </c>
      <c r="F942" s="5">
        <v>26711.875031163851</v>
      </c>
      <c r="G942" s="5">
        <v>74693.75560203167</v>
      </c>
      <c r="H942" s="5">
        <f ca="1">OFFSET(F942,0,Brains!$D$1,1,1)</f>
        <v>74693.75560203167</v>
      </c>
      <c r="I942" t="s">
        <v>1962</v>
      </c>
      <c r="J942" t="s">
        <v>1962</v>
      </c>
      <c r="K942" t="s">
        <v>1859</v>
      </c>
      <c r="L942" t="s">
        <v>1859</v>
      </c>
      <c r="M942" s="7" t="s">
        <v>3941</v>
      </c>
      <c r="N942" t="s">
        <v>1866</v>
      </c>
      <c r="P942" s="15" t="str">
        <f t="shared" ca="1" si="28"/>
        <v>50-74.9K</v>
      </c>
      <c r="Q942" s="15">
        <v>8</v>
      </c>
      <c r="S942">
        <v>5</v>
      </c>
      <c r="U942">
        <v>3</v>
      </c>
      <c r="V942" s="15">
        <f t="shared" ca="1" si="29"/>
        <v>4</v>
      </c>
    </row>
    <row r="943" spans="1:22">
      <c r="A943" t="s">
        <v>1960</v>
      </c>
      <c r="B943" s="1">
        <v>41054.21125</v>
      </c>
      <c r="C943" s="2">
        <v>500000</v>
      </c>
      <c r="D943">
        <v>500000</v>
      </c>
      <c r="E943" t="s">
        <v>1908</v>
      </c>
      <c r="F943" s="5">
        <v>8903.9583437212841</v>
      </c>
      <c r="G943" s="5">
        <v>24897.918534010558</v>
      </c>
      <c r="H943" s="5">
        <f ca="1">OFFSET(F943,0,Brains!$D$1,1,1)</f>
        <v>24897.918534010558</v>
      </c>
      <c r="I943" t="s">
        <v>1961</v>
      </c>
      <c r="J943" t="s">
        <v>1962</v>
      </c>
      <c r="K943" t="s">
        <v>1859</v>
      </c>
      <c r="L943" t="s">
        <v>1859</v>
      </c>
      <c r="M943" s="7" t="s">
        <v>3941</v>
      </c>
      <c r="N943" t="s">
        <v>1866</v>
      </c>
      <c r="P943" s="15" t="str">
        <f t="shared" ca="1" si="28"/>
        <v>15-29.9K</v>
      </c>
      <c r="Q943" s="15">
        <v>8</v>
      </c>
      <c r="S943">
        <v>5</v>
      </c>
      <c r="U943">
        <v>3</v>
      </c>
      <c r="V943" s="15">
        <f t="shared" ca="1" si="29"/>
        <v>2</v>
      </c>
    </row>
    <row r="944" spans="1:22">
      <c r="A944" t="s">
        <v>2077</v>
      </c>
      <c r="B944" s="1">
        <v>41055.007141203707</v>
      </c>
      <c r="C944" s="2">
        <v>500000</v>
      </c>
      <c r="D944">
        <v>500000</v>
      </c>
      <c r="E944" t="s">
        <v>1908</v>
      </c>
      <c r="F944" s="5">
        <v>8903.9583437212841</v>
      </c>
      <c r="G944" s="5">
        <v>24897.918534010558</v>
      </c>
      <c r="H944" s="5">
        <f ca="1">OFFSET(F944,0,Brains!$D$1,1,1)</f>
        <v>24897.918534010558</v>
      </c>
      <c r="I944" t="s">
        <v>1961</v>
      </c>
      <c r="J944" t="s">
        <v>1962</v>
      </c>
      <c r="K944" t="s">
        <v>1859</v>
      </c>
      <c r="L944" t="s">
        <v>1859</v>
      </c>
      <c r="M944" s="7" t="s">
        <v>3941</v>
      </c>
      <c r="N944" t="s">
        <v>1866</v>
      </c>
      <c r="P944" s="15" t="str">
        <f t="shared" ca="1" si="28"/>
        <v>15-29.9K</v>
      </c>
      <c r="Q944" s="15">
        <v>8</v>
      </c>
      <c r="S944">
        <v>5</v>
      </c>
      <c r="U944">
        <v>3</v>
      </c>
      <c r="V944" s="15">
        <f t="shared" ca="1" si="29"/>
        <v>2</v>
      </c>
    </row>
    <row r="945" spans="1:22">
      <c r="A945" t="s">
        <v>2650</v>
      </c>
      <c r="B945" s="1">
        <v>41055.073888888888</v>
      </c>
      <c r="C945" s="2" t="s">
        <v>2651</v>
      </c>
      <c r="D945">
        <v>480000</v>
      </c>
      <c r="E945" t="s">
        <v>2652</v>
      </c>
      <c r="F945" s="5">
        <v>68954.520184280962</v>
      </c>
      <c r="G945" s="5">
        <v>50686.378035902846</v>
      </c>
      <c r="H945" s="5">
        <f ca="1">OFFSET(F945,0,Brains!$D$1,1,1)</f>
        <v>50686.378035902846</v>
      </c>
      <c r="I945" t="s">
        <v>2653</v>
      </c>
      <c r="J945" t="s">
        <v>1962</v>
      </c>
      <c r="K945" t="s">
        <v>2654</v>
      </c>
      <c r="L945" t="s">
        <v>2654</v>
      </c>
      <c r="M945" s="11" t="s">
        <v>3916</v>
      </c>
      <c r="N945" t="s">
        <v>1884</v>
      </c>
      <c r="P945" s="15" t="str">
        <f t="shared" ca="1" si="28"/>
        <v>50-74.9K</v>
      </c>
      <c r="Q945" s="15">
        <v>1.5</v>
      </c>
      <c r="S945">
        <v>2</v>
      </c>
      <c r="U945">
        <v>3</v>
      </c>
      <c r="V945" s="15">
        <f t="shared" ca="1" si="29"/>
        <v>4</v>
      </c>
    </row>
    <row r="946" spans="1:22">
      <c r="A946" t="s">
        <v>1991</v>
      </c>
      <c r="B946" s="1">
        <v>41054.241574074076</v>
      </c>
      <c r="C946" s="2">
        <v>1000</v>
      </c>
      <c r="D946">
        <v>12000</v>
      </c>
      <c r="E946" t="s">
        <v>1856</v>
      </c>
      <c r="F946" s="5">
        <v>12000</v>
      </c>
      <c r="G946" s="5">
        <v>12000</v>
      </c>
      <c r="H946" s="5">
        <f ca="1">OFFSET(F946,0,Brains!$D$1,1,1)</f>
        <v>12000</v>
      </c>
      <c r="I946" t="s">
        <v>1992</v>
      </c>
      <c r="J946" t="s">
        <v>1962</v>
      </c>
      <c r="K946" t="s">
        <v>1869</v>
      </c>
      <c r="L946" t="s">
        <v>1869</v>
      </c>
      <c r="M946" s="11" t="s">
        <v>3916</v>
      </c>
      <c r="N946" t="s">
        <v>1884</v>
      </c>
      <c r="P946" s="15" t="str">
        <f t="shared" ca="1" si="28"/>
        <v>0-14.9K</v>
      </c>
      <c r="Q946" s="15">
        <v>1.5</v>
      </c>
      <c r="S946">
        <v>2</v>
      </c>
      <c r="U946">
        <v>3</v>
      </c>
      <c r="V946" s="15">
        <f t="shared" ca="1" si="29"/>
        <v>1</v>
      </c>
    </row>
    <row r="947" spans="1:22">
      <c r="A947" t="s">
        <v>2176</v>
      </c>
      <c r="B947" s="1">
        <v>41055.029560185183</v>
      </c>
      <c r="C947" s="2">
        <v>1000</v>
      </c>
      <c r="D947">
        <v>12000</v>
      </c>
      <c r="E947" t="s">
        <v>1856</v>
      </c>
      <c r="F947" s="5">
        <v>12000</v>
      </c>
      <c r="G947" s="5">
        <v>12000</v>
      </c>
      <c r="H947" s="5">
        <f ca="1">OFFSET(F947,0,Brains!$D$1,1,1)</f>
        <v>12000</v>
      </c>
      <c r="I947" t="s">
        <v>2177</v>
      </c>
      <c r="J947" t="s">
        <v>1962</v>
      </c>
      <c r="K947" t="s">
        <v>1872</v>
      </c>
      <c r="L947" t="s">
        <v>1872</v>
      </c>
      <c r="M947" s="11" t="s">
        <v>3916</v>
      </c>
      <c r="N947" t="s">
        <v>1884</v>
      </c>
      <c r="P947" s="15" t="str">
        <f t="shared" ca="1" si="28"/>
        <v>0-14.9K</v>
      </c>
      <c r="Q947" s="15">
        <v>1.5</v>
      </c>
      <c r="S947">
        <v>2</v>
      </c>
      <c r="U947">
        <v>3</v>
      </c>
      <c r="V947" s="15">
        <f t="shared" ca="1" si="29"/>
        <v>1</v>
      </c>
    </row>
    <row r="948" spans="1:22">
      <c r="A948" t="s">
        <v>2771</v>
      </c>
      <c r="B948" s="1">
        <v>41055.096666666665</v>
      </c>
      <c r="C948" s="2" t="s">
        <v>2772</v>
      </c>
      <c r="D948">
        <v>200000</v>
      </c>
      <c r="E948" t="s">
        <v>1908</v>
      </c>
      <c r="F948" s="5">
        <v>3561.5833374885137</v>
      </c>
      <c r="G948" s="5">
        <v>9959.167413604222</v>
      </c>
      <c r="H948" s="5">
        <f ca="1">OFFSET(F948,0,Brains!$D$1,1,1)</f>
        <v>9959.167413604222</v>
      </c>
      <c r="I948" t="s">
        <v>1962</v>
      </c>
      <c r="J948" t="s">
        <v>1962</v>
      </c>
      <c r="K948" t="s">
        <v>1859</v>
      </c>
      <c r="L948" t="s">
        <v>1859</v>
      </c>
      <c r="M948" s="11" t="s">
        <v>3916</v>
      </c>
      <c r="N948" t="s">
        <v>1884</v>
      </c>
      <c r="P948" s="15" t="str">
        <f t="shared" ca="1" si="28"/>
        <v>0-14.9K</v>
      </c>
      <c r="Q948" s="15">
        <v>1.5</v>
      </c>
      <c r="S948">
        <v>2</v>
      </c>
      <c r="U948">
        <v>3</v>
      </c>
      <c r="V948" s="15">
        <f t="shared" ca="1" si="29"/>
        <v>1</v>
      </c>
    </row>
    <row r="949" spans="1:22">
      <c r="A949" t="s">
        <v>2095</v>
      </c>
      <c r="B949" s="1">
        <v>41055.027708333335</v>
      </c>
      <c r="C949" s="2" t="s">
        <v>2096</v>
      </c>
      <c r="D949">
        <v>144000</v>
      </c>
      <c r="E949" t="s">
        <v>1908</v>
      </c>
      <c r="F949" s="5">
        <v>2564.3400029917298</v>
      </c>
      <c r="G949" s="5">
        <v>7170.6005377950405</v>
      </c>
      <c r="H949" s="5">
        <f ca="1">OFFSET(F949,0,Brains!$D$1,1,1)</f>
        <v>7170.6005377950405</v>
      </c>
      <c r="I949" t="s">
        <v>2097</v>
      </c>
      <c r="J949" t="s">
        <v>1962</v>
      </c>
      <c r="K949" t="s">
        <v>1859</v>
      </c>
      <c r="L949" t="s">
        <v>1859</v>
      </c>
      <c r="M949" s="11" t="s">
        <v>3916</v>
      </c>
      <c r="N949" t="s">
        <v>1884</v>
      </c>
      <c r="P949" s="15" t="str">
        <f t="shared" ca="1" si="28"/>
        <v>0-14.9K</v>
      </c>
      <c r="Q949" s="15">
        <v>1.5</v>
      </c>
      <c r="S949">
        <v>2</v>
      </c>
      <c r="U949">
        <v>3</v>
      </c>
      <c r="V949" s="15">
        <f t="shared" ca="1" si="29"/>
        <v>1</v>
      </c>
    </row>
    <row r="950" spans="1:22">
      <c r="A950" t="s">
        <v>2632</v>
      </c>
      <c r="B950" s="1">
        <v>41055.070752314816</v>
      </c>
      <c r="C950" s="2">
        <v>160000</v>
      </c>
      <c r="D950">
        <v>160000</v>
      </c>
      <c r="E950" t="s">
        <v>1979</v>
      </c>
      <c r="F950" s="5">
        <v>157337.8436848523</v>
      </c>
      <c r="G950" s="5">
        <v>128102.48198558846</v>
      </c>
      <c r="H950" s="5">
        <f ca="1">OFFSET(F950,0,Brains!$D$1,1,1)</f>
        <v>128102.48198558846</v>
      </c>
      <c r="I950" t="s">
        <v>1962</v>
      </c>
      <c r="J950" t="s">
        <v>1962</v>
      </c>
      <c r="K950" t="s">
        <v>1981</v>
      </c>
      <c r="L950" t="s">
        <v>1981</v>
      </c>
      <c r="M950" s="11" t="s">
        <v>3917</v>
      </c>
      <c r="N950" t="s">
        <v>1873</v>
      </c>
      <c r="P950" s="15" t="str">
        <f t="shared" ca="1" si="28"/>
        <v>100-149.9K</v>
      </c>
      <c r="Q950" s="15">
        <v>2.5</v>
      </c>
      <c r="S950">
        <v>3</v>
      </c>
      <c r="U950">
        <v>3</v>
      </c>
      <c r="V950" s="15">
        <f t="shared" ca="1" si="29"/>
        <v>6</v>
      </c>
    </row>
    <row r="951" spans="1:22">
      <c r="A951" t="s">
        <v>2766</v>
      </c>
      <c r="B951" s="1">
        <v>41055.095578703702</v>
      </c>
      <c r="C951" s="2" t="s">
        <v>2767</v>
      </c>
      <c r="D951">
        <v>115000</v>
      </c>
      <c r="E951" t="s">
        <v>1856</v>
      </c>
      <c r="F951" s="5">
        <v>115000</v>
      </c>
      <c r="G951" s="5">
        <v>115000</v>
      </c>
      <c r="H951" s="5">
        <f ca="1">OFFSET(F951,0,Brains!$D$1,1,1)</f>
        <v>115000</v>
      </c>
      <c r="I951" t="s">
        <v>1962</v>
      </c>
      <c r="J951" t="s">
        <v>1962</v>
      </c>
      <c r="K951" t="s">
        <v>1869</v>
      </c>
      <c r="L951" t="s">
        <v>1869</v>
      </c>
      <c r="M951" s="11" t="s">
        <v>3917</v>
      </c>
      <c r="N951" t="s">
        <v>1873</v>
      </c>
      <c r="P951" s="15" t="str">
        <f t="shared" ca="1" si="28"/>
        <v>100-149.9K</v>
      </c>
      <c r="Q951" s="15">
        <v>2.5</v>
      </c>
      <c r="S951">
        <v>3</v>
      </c>
      <c r="U951">
        <v>3</v>
      </c>
      <c r="V951" s="15">
        <f t="shared" ca="1" si="29"/>
        <v>6</v>
      </c>
    </row>
    <row r="952" spans="1:22">
      <c r="A952" t="s">
        <v>2412</v>
      </c>
      <c r="B952" s="1">
        <v>41055.044594907406</v>
      </c>
      <c r="C952" s="2" t="s">
        <v>2413</v>
      </c>
      <c r="D952">
        <v>96000</v>
      </c>
      <c r="E952" t="s">
        <v>1856</v>
      </c>
      <c r="F952" s="5">
        <v>96000</v>
      </c>
      <c r="G952" s="5">
        <v>96000</v>
      </c>
      <c r="H952" s="5">
        <f ca="1">OFFSET(F952,0,Brains!$D$1,1,1)</f>
        <v>96000</v>
      </c>
      <c r="I952" t="s">
        <v>2414</v>
      </c>
      <c r="J952" t="s">
        <v>1962</v>
      </c>
      <c r="K952" t="s">
        <v>1959</v>
      </c>
      <c r="L952" t="s">
        <v>1959</v>
      </c>
      <c r="M952" s="11" t="s">
        <v>3917</v>
      </c>
      <c r="N952" t="s">
        <v>1873</v>
      </c>
      <c r="P952" s="15" t="str">
        <f t="shared" ca="1" si="28"/>
        <v>75-99.9K</v>
      </c>
      <c r="Q952" s="15">
        <v>2.5</v>
      </c>
      <c r="S952">
        <v>3</v>
      </c>
      <c r="U952">
        <v>3</v>
      </c>
      <c r="V952" s="15">
        <f t="shared" ca="1" si="29"/>
        <v>5</v>
      </c>
    </row>
    <row r="953" spans="1:22">
      <c r="A953" t="s">
        <v>2915</v>
      </c>
      <c r="B953" s="1">
        <v>41055.146319444444</v>
      </c>
      <c r="C953" s="2" t="s">
        <v>2916</v>
      </c>
      <c r="D953">
        <v>59000</v>
      </c>
      <c r="E953" t="s">
        <v>1954</v>
      </c>
      <c r="F953" s="5">
        <v>92994.518051969761</v>
      </c>
      <c r="G953" s="5">
        <v>87537.09198813056</v>
      </c>
      <c r="H953" s="5">
        <f ca="1">OFFSET(F953,0,Brains!$D$1,1,1)</f>
        <v>87537.09198813056</v>
      </c>
      <c r="I953" t="s">
        <v>2917</v>
      </c>
      <c r="J953" t="s">
        <v>1962</v>
      </c>
      <c r="K953" t="s">
        <v>1956</v>
      </c>
      <c r="L953" t="s">
        <v>1956</v>
      </c>
      <c r="M953" s="11" t="s">
        <v>3917</v>
      </c>
      <c r="N953" t="s">
        <v>1873</v>
      </c>
      <c r="P953" s="15" t="str">
        <f t="shared" ca="1" si="28"/>
        <v>75-99.9K</v>
      </c>
      <c r="Q953" s="15">
        <v>2.5</v>
      </c>
      <c r="S953">
        <v>3</v>
      </c>
      <c r="U953">
        <v>3</v>
      </c>
      <c r="V953" s="15">
        <f t="shared" ca="1" si="29"/>
        <v>5</v>
      </c>
    </row>
    <row r="954" spans="1:22">
      <c r="A954" t="s">
        <v>1972</v>
      </c>
      <c r="B954" s="1">
        <v>41054.221388888887</v>
      </c>
      <c r="C954" s="2">
        <v>70000</v>
      </c>
      <c r="D954">
        <v>70000</v>
      </c>
      <c r="E954" t="s">
        <v>1973</v>
      </c>
      <c r="F954" s="5">
        <v>71393.675948184507</v>
      </c>
      <c r="G954" s="5">
        <v>44529.262086513998</v>
      </c>
      <c r="H954" s="5">
        <f ca="1">OFFSET(F954,0,Brains!$D$1,1,1)</f>
        <v>44529.262086513998</v>
      </c>
      <c r="I954" t="s">
        <v>1974</v>
      </c>
      <c r="J954" t="s">
        <v>1962</v>
      </c>
      <c r="K954" t="s">
        <v>1975</v>
      </c>
      <c r="L954" t="s">
        <v>1975</v>
      </c>
      <c r="M954" s="11" t="s">
        <v>3917</v>
      </c>
      <c r="N954" t="s">
        <v>1873</v>
      </c>
      <c r="P954" s="15" t="str">
        <f t="shared" ca="1" si="28"/>
        <v>30-49.9K</v>
      </c>
      <c r="Q954" s="15">
        <v>2.5</v>
      </c>
      <c r="S954">
        <v>3</v>
      </c>
      <c r="U954">
        <v>3</v>
      </c>
      <c r="V954" s="15">
        <f t="shared" ca="1" si="29"/>
        <v>3</v>
      </c>
    </row>
    <row r="955" spans="1:22">
      <c r="A955" t="s">
        <v>1967</v>
      </c>
      <c r="B955" s="1">
        <v>41054.216400462959</v>
      </c>
      <c r="C955" s="2">
        <v>30000</v>
      </c>
      <c r="D955">
        <v>30000</v>
      </c>
      <c r="E955" t="s">
        <v>1856</v>
      </c>
      <c r="F955" s="5">
        <v>30000</v>
      </c>
      <c r="G955" s="5">
        <v>30000</v>
      </c>
      <c r="H955" s="5">
        <f ca="1">OFFSET(F955,0,Brains!$D$1,1,1)</f>
        <v>30000</v>
      </c>
      <c r="I955" t="s">
        <v>1968</v>
      </c>
      <c r="J955" t="s">
        <v>1962</v>
      </c>
      <c r="K955" t="s">
        <v>1869</v>
      </c>
      <c r="L955" t="s">
        <v>1869</v>
      </c>
      <c r="M955" s="11" t="s">
        <v>3917</v>
      </c>
      <c r="N955" t="s">
        <v>1873</v>
      </c>
      <c r="P955" s="15" t="str">
        <f t="shared" ca="1" si="28"/>
        <v>30-49.9K</v>
      </c>
      <c r="Q955" s="15">
        <v>2.5</v>
      </c>
      <c r="S955">
        <v>3</v>
      </c>
      <c r="U955">
        <v>3</v>
      </c>
      <c r="V955" s="15">
        <f t="shared" ca="1" si="29"/>
        <v>3</v>
      </c>
    </row>
    <row r="956" spans="1:22">
      <c r="A956" t="s">
        <v>2924</v>
      </c>
      <c r="B956" s="1">
        <v>41055.148657407408</v>
      </c>
      <c r="C956" s="2" t="s">
        <v>2925</v>
      </c>
      <c r="D956">
        <v>20000</v>
      </c>
      <c r="E956" t="s">
        <v>1856</v>
      </c>
      <c r="F956" s="5">
        <v>20000</v>
      </c>
      <c r="G956" s="5">
        <v>20000</v>
      </c>
      <c r="H956" s="5">
        <f ca="1">OFFSET(F956,0,Brains!$D$1,1,1)</f>
        <v>20000</v>
      </c>
      <c r="I956" t="s">
        <v>1962</v>
      </c>
      <c r="J956" t="s">
        <v>1962</v>
      </c>
      <c r="K956" t="s">
        <v>1859</v>
      </c>
      <c r="L956" t="s">
        <v>1859</v>
      </c>
      <c r="M956" s="11" t="s">
        <v>3917</v>
      </c>
      <c r="N956" t="s">
        <v>1873</v>
      </c>
      <c r="P956" s="15" t="str">
        <f t="shared" ca="1" si="28"/>
        <v>15-29.9K</v>
      </c>
      <c r="Q956" s="15">
        <v>2.5</v>
      </c>
      <c r="S956">
        <v>3</v>
      </c>
      <c r="U956">
        <v>3</v>
      </c>
      <c r="V956" s="15">
        <f t="shared" ca="1" si="29"/>
        <v>2</v>
      </c>
    </row>
    <row r="957" spans="1:22">
      <c r="A957" t="s">
        <v>3003</v>
      </c>
      <c r="B957" s="1">
        <v>41055.211678240739</v>
      </c>
      <c r="C957" s="2">
        <v>95000</v>
      </c>
      <c r="D957">
        <v>95000</v>
      </c>
      <c r="E957" t="s">
        <v>1856</v>
      </c>
      <c r="F957" s="5">
        <v>95000</v>
      </c>
      <c r="G957" s="5">
        <v>95000</v>
      </c>
      <c r="H957" s="5">
        <f ca="1">OFFSET(F957,0,Brains!$D$1,1,1)</f>
        <v>95000</v>
      </c>
      <c r="I957" t="s">
        <v>3004</v>
      </c>
      <c r="J957" t="s">
        <v>1962</v>
      </c>
      <c r="K957" t="s">
        <v>1869</v>
      </c>
      <c r="L957" t="s">
        <v>1869</v>
      </c>
      <c r="M957" s="11" t="s">
        <v>3918</v>
      </c>
      <c r="N957" t="s">
        <v>1860</v>
      </c>
      <c r="P957" s="15" t="str">
        <f t="shared" ca="1" si="28"/>
        <v>75-99.9K</v>
      </c>
      <c r="Q957" s="15">
        <v>5</v>
      </c>
      <c r="S957">
        <v>4</v>
      </c>
      <c r="U957">
        <v>3</v>
      </c>
      <c r="V957" s="15">
        <f t="shared" ca="1" si="29"/>
        <v>5</v>
      </c>
    </row>
    <row r="958" spans="1:22">
      <c r="A958" t="s">
        <v>2838</v>
      </c>
      <c r="B958" s="1">
        <v>41055.120694444442</v>
      </c>
      <c r="C958" s="2" t="s">
        <v>2435</v>
      </c>
      <c r="D958">
        <v>60000</v>
      </c>
      <c r="E958" t="s">
        <v>1954</v>
      </c>
      <c r="F958" s="5">
        <v>94570.696324037053</v>
      </c>
      <c r="G958" s="5">
        <v>89020.771513353116</v>
      </c>
      <c r="H958" s="5">
        <f ca="1">OFFSET(F958,0,Brains!$D$1,1,1)</f>
        <v>89020.771513353116</v>
      </c>
      <c r="I958" t="s">
        <v>2426</v>
      </c>
      <c r="J958" t="s">
        <v>1962</v>
      </c>
      <c r="K958" t="s">
        <v>1956</v>
      </c>
      <c r="L958" t="s">
        <v>1956</v>
      </c>
      <c r="M958" s="11" t="s">
        <v>3918</v>
      </c>
      <c r="N958" t="s">
        <v>1860</v>
      </c>
      <c r="P958" s="15" t="str">
        <f t="shared" ca="1" si="28"/>
        <v>75-99.9K</v>
      </c>
      <c r="Q958" s="15">
        <v>5</v>
      </c>
      <c r="S958">
        <v>4</v>
      </c>
      <c r="U958">
        <v>3</v>
      </c>
      <c r="V958" s="15">
        <f t="shared" ca="1" si="29"/>
        <v>5</v>
      </c>
    </row>
    <row r="959" spans="1:22">
      <c r="A959" t="s">
        <v>2084</v>
      </c>
      <c r="B959" s="1">
        <v>41055.015844907408</v>
      </c>
      <c r="C959" s="2" t="s">
        <v>2085</v>
      </c>
      <c r="D959">
        <v>81000</v>
      </c>
      <c r="E959" t="s">
        <v>1856</v>
      </c>
      <c r="F959" s="5">
        <v>81000</v>
      </c>
      <c r="G959" s="5">
        <v>81000</v>
      </c>
      <c r="H959" s="5">
        <f ca="1">OFFSET(F959,0,Brains!$D$1,1,1)</f>
        <v>81000</v>
      </c>
      <c r="I959" t="s">
        <v>2086</v>
      </c>
      <c r="J959" t="s">
        <v>1962</v>
      </c>
      <c r="K959" t="s">
        <v>1956</v>
      </c>
      <c r="L959" t="s">
        <v>1956</v>
      </c>
      <c r="M959" s="11" t="s">
        <v>3918</v>
      </c>
      <c r="N959" t="s">
        <v>1860</v>
      </c>
      <c r="P959" s="15" t="str">
        <f t="shared" ca="1" si="28"/>
        <v>75-99.9K</v>
      </c>
      <c r="Q959" s="15">
        <v>5</v>
      </c>
      <c r="S959">
        <v>4</v>
      </c>
      <c r="U959">
        <v>3</v>
      </c>
      <c r="V959" s="15">
        <f t="shared" ca="1" si="29"/>
        <v>5</v>
      </c>
    </row>
    <row r="960" spans="1:22">
      <c r="A960" t="s">
        <v>2256</v>
      </c>
      <c r="B960" s="1">
        <v>41055.033414351848</v>
      </c>
      <c r="C960" s="2">
        <v>80000</v>
      </c>
      <c r="D960">
        <v>80000</v>
      </c>
      <c r="E960" t="s">
        <v>1856</v>
      </c>
      <c r="F960" s="5">
        <v>80000</v>
      </c>
      <c r="G960" s="5">
        <v>80000</v>
      </c>
      <c r="H960" s="5">
        <f ca="1">OFFSET(F960,0,Brains!$D$1,1,1)</f>
        <v>80000</v>
      </c>
      <c r="I960" t="s">
        <v>2257</v>
      </c>
      <c r="J960" t="s">
        <v>1962</v>
      </c>
      <c r="K960" t="s">
        <v>1869</v>
      </c>
      <c r="L960" t="s">
        <v>1869</v>
      </c>
      <c r="M960" s="11" t="s">
        <v>3918</v>
      </c>
      <c r="N960" t="s">
        <v>1860</v>
      </c>
      <c r="P960" s="15" t="str">
        <f t="shared" ca="1" si="28"/>
        <v>75-99.9K</v>
      </c>
      <c r="Q960" s="15">
        <v>5</v>
      </c>
      <c r="S960">
        <v>4</v>
      </c>
      <c r="U960">
        <v>3</v>
      </c>
      <c r="V960" s="15">
        <f t="shared" ca="1" si="29"/>
        <v>5</v>
      </c>
    </row>
    <row r="961" spans="1:22">
      <c r="A961" t="s">
        <v>2110</v>
      </c>
      <c r="B961" s="1">
        <v>41055.028252314813</v>
      </c>
      <c r="C961" s="2">
        <v>74000</v>
      </c>
      <c r="D961">
        <v>74000</v>
      </c>
      <c r="E961" t="s">
        <v>1856</v>
      </c>
      <c r="F961" s="5">
        <v>74000</v>
      </c>
      <c r="G961" s="5">
        <v>74000</v>
      </c>
      <c r="H961" s="5">
        <f ca="1">OFFSET(F961,0,Brains!$D$1,1,1)</f>
        <v>74000</v>
      </c>
      <c r="I961" t="s">
        <v>1961</v>
      </c>
      <c r="J961" t="s">
        <v>1962</v>
      </c>
      <c r="K961" t="s">
        <v>1869</v>
      </c>
      <c r="L961" t="s">
        <v>1869</v>
      </c>
      <c r="M961" s="11" t="s">
        <v>3918</v>
      </c>
      <c r="N961" t="s">
        <v>1860</v>
      </c>
      <c r="P961" s="15" t="str">
        <f t="shared" ca="1" si="28"/>
        <v>50-74.9K</v>
      </c>
      <c r="Q961" s="15">
        <v>5</v>
      </c>
      <c r="S961">
        <v>4</v>
      </c>
      <c r="U961">
        <v>3</v>
      </c>
      <c r="V961" s="15">
        <f t="shared" ca="1" si="29"/>
        <v>4</v>
      </c>
    </row>
    <row r="962" spans="1:22">
      <c r="A962" t="s">
        <v>2215</v>
      </c>
      <c r="B962" s="1">
        <v>41055.030810185184</v>
      </c>
      <c r="C962" s="2">
        <v>69000</v>
      </c>
      <c r="D962">
        <v>69000</v>
      </c>
      <c r="E962" t="s">
        <v>1856</v>
      </c>
      <c r="F962" s="5">
        <v>69000</v>
      </c>
      <c r="G962" s="5">
        <v>69000</v>
      </c>
      <c r="H962" s="5">
        <f ca="1">OFFSET(F962,0,Brains!$D$1,1,1)</f>
        <v>69000</v>
      </c>
      <c r="I962" t="s">
        <v>2216</v>
      </c>
      <c r="J962" t="s">
        <v>1962</v>
      </c>
      <c r="K962" t="s">
        <v>1869</v>
      </c>
      <c r="L962" t="s">
        <v>1869</v>
      </c>
      <c r="M962" s="11" t="s">
        <v>3918</v>
      </c>
      <c r="N962" t="s">
        <v>1860</v>
      </c>
      <c r="P962" s="15" t="str">
        <f t="shared" ref="P962:P1025" ca="1" si="30">IF(H962&lt;15000,"0-14.9K",IF(H962&lt;30000,"15-29.9K",IF(H962&lt;50000,"30-49.9K",IF(H962&lt;75000,"50-74.9K",IF(H962&lt;100000,"75-99.9K",IF(H962&lt;150000,"100-149.9K",IF(H962&lt;250000,"150-249.9K","250K+")))))))</f>
        <v>50-74.9K</v>
      </c>
      <c r="Q962" s="15">
        <v>5</v>
      </c>
      <c r="S962">
        <v>4</v>
      </c>
      <c r="U962">
        <v>3</v>
      </c>
      <c r="V962" s="15">
        <f t="shared" ref="V962:V1025" ca="1" si="31">IF(H962&lt;15000,1,IF(H962&lt;30000,2,IF(H962&lt;50000,3,IF(H962&lt;75000,4,IF(H962&lt;100000,5,IF(H962&lt;150000,6,IF(H962&lt;250000,7,8)))))))</f>
        <v>4</v>
      </c>
    </row>
    <row r="963" spans="1:22">
      <c r="A963" t="s">
        <v>2027</v>
      </c>
      <c r="B963" s="1">
        <v>41054.304780092592</v>
      </c>
      <c r="C963" s="2">
        <v>43000</v>
      </c>
      <c r="D963">
        <v>43000</v>
      </c>
      <c r="E963" t="s">
        <v>1880</v>
      </c>
      <c r="F963" s="5">
        <v>54627.175876639136</v>
      </c>
      <c r="G963" s="5">
        <v>54016.571781742903</v>
      </c>
      <c r="H963" s="5">
        <f ca="1">OFFSET(F963,0,Brains!$D$1,1,1)</f>
        <v>54016.571781742903</v>
      </c>
      <c r="I963" t="s">
        <v>2028</v>
      </c>
      <c r="J963" t="s">
        <v>1962</v>
      </c>
      <c r="K963" t="s">
        <v>2029</v>
      </c>
      <c r="L963" t="s">
        <v>2015</v>
      </c>
      <c r="M963" s="11" t="s">
        <v>3918</v>
      </c>
      <c r="N963" t="s">
        <v>1860</v>
      </c>
      <c r="P963" s="15" t="str">
        <f t="shared" ca="1" si="30"/>
        <v>50-74.9K</v>
      </c>
      <c r="Q963" s="15">
        <v>5</v>
      </c>
      <c r="S963">
        <v>4</v>
      </c>
      <c r="U963">
        <v>3</v>
      </c>
      <c r="V963" s="15">
        <f t="shared" ca="1" si="31"/>
        <v>4</v>
      </c>
    </row>
    <row r="964" spans="1:22">
      <c r="A964" t="s">
        <v>3050</v>
      </c>
      <c r="B964" s="1">
        <v>41055.241805555554</v>
      </c>
      <c r="C964" s="2" t="s">
        <v>3051</v>
      </c>
      <c r="D964">
        <v>20000</v>
      </c>
      <c r="E964" t="s">
        <v>1954</v>
      </c>
      <c r="F964" s="5">
        <v>31523.565441345683</v>
      </c>
      <c r="G964" s="5">
        <v>29673.590504451036</v>
      </c>
      <c r="H964" s="5">
        <f ca="1">OFFSET(F964,0,Brains!$D$1,1,1)</f>
        <v>29673.590504451036</v>
      </c>
      <c r="I964" t="s">
        <v>3052</v>
      </c>
      <c r="J964" t="s">
        <v>1962</v>
      </c>
      <c r="K964" t="s">
        <v>1956</v>
      </c>
      <c r="L964" t="s">
        <v>1956</v>
      </c>
      <c r="M964" s="11" t="s">
        <v>3918</v>
      </c>
      <c r="N964" t="s">
        <v>1860</v>
      </c>
      <c r="P964" s="15" t="str">
        <f t="shared" ca="1" si="30"/>
        <v>15-29.9K</v>
      </c>
      <c r="Q964" s="15">
        <v>5</v>
      </c>
      <c r="S964">
        <v>4</v>
      </c>
      <c r="U964">
        <v>3</v>
      </c>
      <c r="V964" s="15">
        <f t="shared" ca="1" si="31"/>
        <v>2</v>
      </c>
    </row>
    <row r="965" spans="1:22">
      <c r="A965" t="s">
        <v>2621</v>
      </c>
      <c r="B965" s="1">
        <v>41055.069502314815</v>
      </c>
      <c r="C965" s="2">
        <v>950</v>
      </c>
      <c r="D965">
        <v>11400</v>
      </c>
      <c r="E965" t="s">
        <v>1856</v>
      </c>
      <c r="F965" s="5">
        <v>11400</v>
      </c>
      <c r="G965" s="5">
        <v>11400</v>
      </c>
      <c r="H965" s="5">
        <f ca="1">OFFSET(F965,0,Brains!$D$1,1,1)</f>
        <v>11400</v>
      </c>
      <c r="I965" t="s">
        <v>2622</v>
      </c>
      <c r="J965" t="s">
        <v>1962</v>
      </c>
      <c r="K965" t="s">
        <v>2081</v>
      </c>
      <c r="L965" t="s">
        <v>2081</v>
      </c>
      <c r="M965" s="11" t="s">
        <v>3918</v>
      </c>
      <c r="N965" t="s">
        <v>1860</v>
      </c>
      <c r="P965" s="15" t="str">
        <f t="shared" ca="1" si="30"/>
        <v>0-14.9K</v>
      </c>
      <c r="Q965" s="15">
        <v>5</v>
      </c>
      <c r="S965">
        <v>4</v>
      </c>
      <c r="U965">
        <v>3</v>
      </c>
      <c r="V965" s="15">
        <f t="shared" ca="1" si="31"/>
        <v>1</v>
      </c>
    </row>
    <row r="966" spans="1:22">
      <c r="A966" t="s">
        <v>3027</v>
      </c>
      <c r="B966" s="1">
        <v>41055.227511574078</v>
      </c>
      <c r="C966" s="2" t="s">
        <v>3028</v>
      </c>
      <c r="D966">
        <v>600000</v>
      </c>
      <c r="E966" t="s">
        <v>1895</v>
      </c>
      <c r="F966" s="5">
        <v>6368.453230079479</v>
      </c>
      <c r="G966" s="5">
        <v>14676.026710368613</v>
      </c>
      <c r="H966" s="5">
        <f ca="1">OFFSET(F966,0,Brains!$D$1,1,1)</f>
        <v>14676.026710368613</v>
      </c>
      <c r="I966" t="s">
        <v>3029</v>
      </c>
      <c r="J966" t="s">
        <v>1962</v>
      </c>
      <c r="K966" t="s">
        <v>1872</v>
      </c>
      <c r="L966" t="s">
        <v>1872</v>
      </c>
      <c r="M966" s="11" t="s">
        <v>3918</v>
      </c>
      <c r="N966" t="s">
        <v>1860</v>
      </c>
      <c r="P966" s="15" t="str">
        <f t="shared" ca="1" si="30"/>
        <v>0-14.9K</v>
      </c>
      <c r="Q966" s="15">
        <v>5</v>
      </c>
      <c r="S966">
        <v>4</v>
      </c>
      <c r="U966">
        <v>3</v>
      </c>
      <c r="V966" s="15">
        <f t="shared" ca="1" si="31"/>
        <v>1</v>
      </c>
    </row>
    <row r="967" spans="1:22">
      <c r="A967" t="s">
        <v>2781</v>
      </c>
      <c r="B967" s="1">
        <v>41055.098807870374</v>
      </c>
      <c r="C967" s="2" t="s">
        <v>2782</v>
      </c>
      <c r="D967">
        <v>250000</v>
      </c>
      <c r="E967" t="s">
        <v>1856</v>
      </c>
      <c r="F967" s="5">
        <v>250000</v>
      </c>
      <c r="G967" s="5">
        <v>250000</v>
      </c>
      <c r="H967" s="5">
        <f ca="1">OFFSET(F967,0,Brains!$D$1,1,1)</f>
        <v>250000</v>
      </c>
      <c r="I967" t="s">
        <v>1974</v>
      </c>
      <c r="J967" t="s">
        <v>1962</v>
      </c>
      <c r="K967" t="s">
        <v>1869</v>
      </c>
      <c r="L967" t="s">
        <v>1869</v>
      </c>
      <c r="M967" t="s">
        <v>3941</v>
      </c>
      <c r="N967" t="s">
        <v>1866</v>
      </c>
      <c r="P967" s="15" t="str">
        <f t="shared" ca="1" si="30"/>
        <v>250K+</v>
      </c>
      <c r="Q967" s="15">
        <v>8</v>
      </c>
      <c r="S967">
        <v>5</v>
      </c>
      <c r="U967">
        <v>3</v>
      </c>
      <c r="V967" s="15">
        <f t="shared" ca="1" si="31"/>
        <v>8</v>
      </c>
    </row>
    <row r="968" spans="1:22">
      <c r="A968" t="s">
        <v>2974</v>
      </c>
      <c r="B968" s="1">
        <v>41055.184837962966</v>
      </c>
      <c r="C968" s="2" t="s">
        <v>2975</v>
      </c>
      <c r="D968">
        <v>150000</v>
      </c>
      <c r="E968" t="s">
        <v>1856</v>
      </c>
      <c r="F968" s="5">
        <v>150000</v>
      </c>
      <c r="G968" s="5">
        <v>150000</v>
      </c>
      <c r="H968" s="5">
        <f ca="1">OFFSET(F968,0,Brains!$D$1,1,1)</f>
        <v>150000</v>
      </c>
      <c r="I968" t="s">
        <v>1962</v>
      </c>
      <c r="J968" t="s">
        <v>1962</v>
      </c>
      <c r="K968" t="s">
        <v>1869</v>
      </c>
      <c r="L968" t="s">
        <v>1869</v>
      </c>
      <c r="M968" t="s">
        <v>3941</v>
      </c>
      <c r="N968" t="s">
        <v>1866</v>
      </c>
      <c r="P968" s="15" t="str">
        <f t="shared" ca="1" si="30"/>
        <v>150-249.9K</v>
      </c>
      <c r="Q968" s="15">
        <v>8</v>
      </c>
      <c r="S968">
        <v>5</v>
      </c>
      <c r="U968">
        <v>3</v>
      </c>
      <c r="V968" s="15">
        <f t="shared" ca="1" si="31"/>
        <v>7</v>
      </c>
    </row>
    <row r="969" spans="1:22">
      <c r="A969" t="s">
        <v>2055</v>
      </c>
      <c r="B969" s="1">
        <v>41054.967002314814</v>
      </c>
      <c r="C969" s="2">
        <v>15000</v>
      </c>
      <c r="D969">
        <v>15000</v>
      </c>
      <c r="E969" t="s">
        <v>1856</v>
      </c>
      <c r="F969" s="5">
        <v>15000</v>
      </c>
      <c r="G969" s="5">
        <v>15000</v>
      </c>
      <c r="H969" s="5">
        <f ca="1">OFFSET(F969,0,Brains!$D$1,1,1)</f>
        <v>15000</v>
      </c>
      <c r="I969" t="s">
        <v>2056</v>
      </c>
      <c r="J969" t="s">
        <v>1962</v>
      </c>
      <c r="K969" t="s">
        <v>1869</v>
      </c>
      <c r="L969" t="s">
        <v>1869</v>
      </c>
      <c r="M969" t="s">
        <v>3941</v>
      </c>
      <c r="N969" t="s">
        <v>1866</v>
      </c>
      <c r="P969" s="15" t="str">
        <f t="shared" ca="1" si="30"/>
        <v>15-29.9K</v>
      </c>
      <c r="Q969" s="15">
        <v>8</v>
      </c>
      <c r="S969">
        <v>5</v>
      </c>
      <c r="U969">
        <v>3</v>
      </c>
      <c r="V969" s="15">
        <f t="shared" ca="1" si="31"/>
        <v>2</v>
      </c>
    </row>
    <row r="970" spans="1:22">
      <c r="A970" t="s">
        <v>3481</v>
      </c>
      <c r="B970" s="1">
        <v>41055.714861111112</v>
      </c>
      <c r="C970" s="2" t="s">
        <v>3482</v>
      </c>
      <c r="D970">
        <v>14960</v>
      </c>
      <c r="E970" t="s">
        <v>1856</v>
      </c>
      <c r="F970" s="5">
        <v>14960</v>
      </c>
      <c r="G970" s="5">
        <v>14960</v>
      </c>
      <c r="H970" s="5">
        <f ca="1">OFFSET(F970,0,Brains!$D$1,1,1)</f>
        <v>14960</v>
      </c>
      <c r="I970" t="s">
        <v>3483</v>
      </c>
      <c r="J970" t="s">
        <v>1864</v>
      </c>
      <c r="K970" t="s">
        <v>2064</v>
      </c>
      <c r="L970" t="s">
        <v>2064</v>
      </c>
      <c r="M970" s="7" t="s">
        <v>3941</v>
      </c>
      <c r="N970" t="s">
        <v>1866</v>
      </c>
      <c r="O970" s="7" t="s">
        <v>3920</v>
      </c>
      <c r="P970" s="17" t="str">
        <f t="shared" ca="1" si="30"/>
        <v>0-14.9K</v>
      </c>
      <c r="Q970" s="17">
        <v>8</v>
      </c>
      <c r="R970">
        <v>2</v>
      </c>
      <c r="S970">
        <v>5</v>
      </c>
      <c r="T970">
        <v>1</v>
      </c>
      <c r="U970">
        <v>4</v>
      </c>
      <c r="V970" s="15">
        <f t="shared" ca="1" si="31"/>
        <v>1</v>
      </c>
    </row>
    <row r="971" spans="1:22">
      <c r="A971" t="s">
        <v>3501</v>
      </c>
      <c r="B971" s="1">
        <v>41055.74255787037</v>
      </c>
      <c r="C971" s="2" t="s">
        <v>2820</v>
      </c>
      <c r="D971">
        <v>300000</v>
      </c>
      <c r="E971" t="s">
        <v>1908</v>
      </c>
      <c r="F971" s="5">
        <v>5342.3750062327708</v>
      </c>
      <c r="G971" s="5">
        <v>14938.751120406334</v>
      </c>
      <c r="H971" s="5">
        <f ca="1">OFFSET(F971,0,Brains!$D$1,1,1)</f>
        <v>14938.751120406334</v>
      </c>
      <c r="I971" t="s">
        <v>3502</v>
      </c>
      <c r="J971" t="s">
        <v>1864</v>
      </c>
      <c r="K971" t="s">
        <v>1859</v>
      </c>
      <c r="L971" t="s">
        <v>1859</v>
      </c>
      <c r="M971" s="7" t="s">
        <v>3941</v>
      </c>
      <c r="N971" t="s">
        <v>1866</v>
      </c>
      <c r="O971" s="7" t="s">
        <v>3920</v>
      </c>
      <c r="P971" s="17" t="str">
        <f t="shared" ca="1" si="30"/>
        <v>0-14.9K</v>
      </c>
      <c r="Q971" s="17">
        <v>8</v>
      </c>
      <c r="R971">
        <v>4</v>
      </c>
      <c r="S971">
        <v>5</v>
      </c>
      <c r="T971">
        <v>1</v>
      </c>
      <c r="U971">
        <v>4</v>
      </c>
      <c r="V971" s="15">
        <f t="shared" ca="1" si="31"/>
        <v>1</v>
      </c>
    </row>
    <row r="972" spans="1:22">
      <c r="A972" t="s">
        <v>1174</v>
      </c>
      <c r="B972" s="1">
        <v>41060.908067129632</v>
      </c>
      <c r="C972" s="2">
        <v>110000</v>
      </c>
      <c r="D972">
        <v>110000</v>
      </c>
      <c r="E972" t="s">
        <v>1856</v>
      </c>
      <c r="F972" s="5">
        <v>110000</v>
      </c>
      <c r="G972" s="5">
        <v>110000</v>
      </c>
      <c r="H972" s="5">
        <f ca="1">OFFSET(F972,0,Brains!$D$1,1,1)</f>
        <v>110000</v>
      </c>
      <c r="I972" t="s">
        <v>2315</v>
      </c>
      <c r="J972" t="s">
        <v>1864</v>
      </c>
      <c r="K972" t="s">
        <v>2909</v>
      </c>
      <c r="L972" t="s">
        <v>2909</v>
      </c>
      <c r="M972" s="7" t="s">
        <v>3941</v>
      </c>
      <c r="N972" t="s">
        <v>1866</v>
      </c>
      <c r="O972" s="7" t="s">
        <v>3920</v>
      </c>
      <c r="P972" s="17" t="str">
        <f t="shared" ca="1" si="30"/>
        <v>100-149.9K</v>
      </c>
      <c r="Q972" s="17">
        <v>8</v>
      </c>
      <c r="R972">
        <v>5</v>
      </c>
      <c r="S972">
        <v>5</v>
      </c>
      <c r="T972">
        <v>1</v>
      </c>
      <c r="U972">
        <v>4</v>
      </c>
      <c r="V972" s="15">
        <f t="shared" ca="1" si="31"/>
        <v>6</v>
      </c>
    </row>
    <row r="973" spans="1:22">
      <c r="A973" t="s">
        <v>945</v>
      </c>
      <c r="B973" s="1">
        <v>41059.139085648145</v>
      </c>
      <c r="C973" s="2" t="s">
        <v>946</v>
      </c>
      <c r="D973">
        <v>24000</v>
      </c>
      <c r="E973" t="s">
        <v>1856</v>
      </c>
      <c r="F973" s="5">
        <v>24000</v>
      </c>
      <c r="G973" s="5">
        <v>24000</v>
      </c>
      <c r="H973" s="5">
        <f ca="1">OFFSET(F973,0,Brains!$D$1,1,1)</f>
        <v>24000</v>
      </c>
      <c r="I973" t="s">
        <v>947</v>
      </c>
      <c r="J973" t="s">
        <v>1864</v>
      </c>
      <c r="K973" t="s">
        <v>1869</v>
      </c>
      <c r="L973" t="s">
        <v>1869</v>
      </c>
      <c r="M973" s="11" t="s">
        <v>3916</v>
      </c>
      <c r="N973" t="s">
        <v>1884</v>
      </c>
      <c r="O973" s="7" t="s">
        <v>3920</v>
      </c>
      <c r="P973" s="17" t="str">
        <f t="shared" ca="1" si="30"/>
        <v>15-29.9K</v>
      </c>
      <c r="Q973" s="17">
        <v>1.5</v>
      </c>
      <c r="R973">
        <v>2</v>
      </c>
      <c r="S973">
        <v>2</v>
      </c>
      <c r="T973">
        <v>1</v>
      </c>
      <c r="U973">
        <v>4</v>
      </c>
      <c r="V973" s="15">
        <f t="shared" ca="1" si="31"/>
        <v>2</v>
      </c>
    </row>
    <row r="974" spans="1:22">
      <c r="A974" t="s">
        <v>9</v>
      </c>
      <c r="B974" s="1">
        <v>41057.31150462963</v>
      </c>
      <c r="C974" s="2">
        <v>50000</v>
      </c>
      <c r="D974">
        <v>50000</v>
      </c>
      <c r="E974" t="s">
        <v>1973</v>
      </c>
      <c r="F974" s="5">
        <v>50995.482820131787</v>
      </c>
      <c r="G974" s="5">
        <v>31806.615776081428</v>
      </c>
      <c r="H974" s="5">
        <f ca="1">OFFSET(F974,0,Brains!$D$1,1,1)</f>
        <v>31806.615776081428</v>
      </c>
      <c r="I974" t="s">
        <v>3143</v>
      </c>
      <c r="J974" t="s">
        <v>1864</v>
      </c>
      <c r="K974" t="s">
        <v>1975</v>
      </c>
      <c r="L974" t="s">
        <v>1975</v>
      </c>
      <c r="M974" s="11" t="s">
        <v>3916</v>
      </c>
      <c r="N974" t="s">
        <v>1884</v>
      </c>
      <c r="O974" s="7" t="s">
        <v>3920</v>
      </c>
      <c r="P974" s="17" t="str">
        <f t="shared" ca="1" si="30"/>
        <v>30-49.9K</v>
      </c>
      <c r="Q974" s="17">
        <v>1.5</v>
      </c>
      <c r="R974">
        <v>5</v>
      </c>
      <c r="S974">
        <v>2</v>
      </c>
      <c r="T974">
        <v>1</v>
      </c>
      <c r="U974">
        <v>4</v>
      </c>
      <c r="V974" s="15">
        <f t="shared" ca="1" si="31"/>
        <v>3</v>
      </c>
    </row>
    <row r="975" spans="1:22">
      <c r="A975" t="s">
        <v>3434</v>
      </c>
      <c r="B975" s="1">
        <v>41055.667986111112</v>
      </c>
      <c r="C975" s="2">
        <v>15000</v>
      </c>
      <c r="D975">
        <v>15000</v>
      </c>
      <c r="E975" t="s">
        <v>1856</v>
      </c>
      <c r="F975" s="5">
        <v>15000</v>
      </c>
      <c r="G975" s="5">
        <v>15000</v>
      </c>
      <c r="H975" s="5">
        <f ca="1">OFFSET(F975,0,Brains!$D$1,1,1)</f>
        <v>15000</v>
      </c>
      <c r="I975" t="s">
        <v>3435</v>
      </c>
      <c r="J975" t="s">
        <v>1864</v>
      </c>
      <c r="K975" t="s">
        <v>1859</v>
      </c>
      <c r="L975" t="s">
        <v>1859</v>
      </c>
      <c r="M975" s="11" t="s">
        <v>3917</v>
      </c>
      <c r="N975" t="s">
        <v>1873</v>
      </c>
      <c r="O975" s="7" t="s">
        <v>3920</v>
      </c>
      <c r="P975" s="17" t="str">
        <f t="shared" ca="1" si="30"/>
        <v>15-29.9K</v>
      </c>
      <c r="Q975" s="17">
        <v>2.5</v>
      </c>
      <c r="R975">
        <v>2</v>
      </c>
      <c r="S975">
        <v>3</v>
      </c>
      <c r="T975">
        <v>1</v>
      </c>
      <c r="U975">
        <v>4</v>
      </c>
      <c r="V975" s="15">
        <f t="shared" ca="1" si="31"/>
        <v>2</v>
      </c>
    </row>
    <row r="976" spans="1:22">
      <c r="A976" t="s">
        <v>1200</v>
      </c>
      <c r="B976" s="1">
        <v>41061.061828703707</v>
      </c>
      <c r="C976" s="2">
        <v>46325</v>
      </c>
      <c r="D976">
        <v>46325</v>
      </c>
      <c r="E976" t="s">
        <v>1856</v>
      </c>
      <c r="F976" s="5">
        <v>46325</v>
      </c>
      <c r="G976" s="5">
        <v>46325</v>
      </c>
      <c r="H976" s="5">
        <f ca="1">OFFSET(F976,0,Brains!$D$1,1,1)</f>
        <v>46325</v>
      </c>
      <c r="I976" t="s">
        <v>1201</v>
      </c>
      <c r="J976" t="s">
        <v>1864</v>
      </c>
      <c r="K976" t="s">
        <v>1869</v>
      </c>
      <c r="L976" t="s">
        <v>1869</v>
      </c>
      <c r="M976" s="11" t="s">
        <v>3918</v>
      </c>
      <c r="N976" t="s">
        <v>1860</v>
      </c>
      <c r="O976" s="7" t="s">
        <v>3920</v>
      </c>
      <c r="P976" s="17" t="str">
        <f t="shared" ca="1" si="30"/>
        <v>30-49.9K</v>
      </c>
      <c r="Q976" s="17">
        <v>5</v>
      </c>
      <c r="R976">
        <v>1</v>
      </c>
      <c r="S976">
        <v>4</v>
      </c>
      <c r="T976">
        <v>1</v>
      </c>
      <c r="U976">
        <v>4</v>
      </c>
      <c r="V976" s="15">
        <f t="shared" ca="1" si="31"/>
        <v>3</v>
      </c>
    </row>
    <row r="977" spans="1:22">
      <c r="A977" t="s">
        <v>1021</v>
      </c>
      <c r="B977" s="1">
        <v>41059.718368055554</v>
      </c>
      <c r="C977" s="2" t="s">
        <v>1022</v>
      </c>
      <c r="D977">
        <v>78000</v>
      </c>
      <c r="E977" t="s">
        <v>2912</v>
      </c>
      <c r="F977" s="5">
        <v>9509.8988293070688</v>
      </c>
      <c r="G977" s="5">
        <v>13751.763046544429</v>
      </c>
      <c r="H977" s="5">
        <f ca="1">OFFSET(F977,0,Brains!$D$1,1,1)</f>
        <v>13751.763046544429</v>
      </c>
      <c r="I977" t="s">
        <v>1023</v>
      </c>
      <c r="J977" t="s">
        <v>1864</v>
      </c>
      <c r="K977" t="s">
        <v>1922</v>
      </c>
      <c r="L977" t="s">
        <v>1922</v>
      </c>
      <c r="M977" s="11" t="s">
        <v>3918</v>
      </c>
      <c r="N977" t="s">
        <v>1860</v>
      </c>
      <c r="O977" s="7" t="s">
        <v>3920</v>
      </c>
      <c r="P977" s="17" t="str">
        <f t="shared" ca="1" si="30"/>
        <v>0-14.9K</v>
      </c>
      <c r="Q977" s="17">
        <v>5</v>
      </c>
      <c r="R977">
        <v>2</v>
      </c>
      <c r="S977">
        <v>4</v>
      </c>
      <c r="T977">
        <v>1</v>
      </c>
      <c r="U977">
        <v>4</v>
      </c>
      <c r="V977" s="15">
        <f t="shared" ca="1" si="31"/>
        <v>1</v>
      </c>
    </row>
    <row r="978" spans="1:22">
      <c r="A978" t="s">
        <v>823</v>
      </c>
      <c r="B978" s="1">
        <v>41058.835497685184</v>
      </c>
      <c r="C978" s="2">
        <v>33000</v>
      </c>
      <c r="D978">
        <v>33000</v>
      </c>
      <c r="E978" t="s">
        <v>1856</v>
      </c>
      <c r="F978" s="5">
        <v>33000</v>
      </c>
      <c r="G978" s="5">
        <v>33000</v>
      </c>
      <c r="H978" s="5">
        <f ca="1">OFFSET(F978,0,Brains!$D$1,1,1)</f>
        <v>33000</v>
      </c>
      <c r="I978" t="s">
        <v>824</v>
      </c>
      <c r="J978" t="s">
        <v>1864</v>
      </c>
      <c r="K978" t="s">
        <v>1869</v>
      </c>
      <c r="L978" t="s">
        <v>1869</v>
      </c>
      <c r="M978" s="11" t="s">
        <v>3918</v>
      </c>
      <c r="N978" t="s">
        <v>1860</v>
      </c>
      <c r="O978" s="7" t="s">
        <v>3920</v>
      </c>
      <c r="P978" s="17" t="str">
        <f t="shared" ca="1" si="30"/>
        <v>30-49.9K</v>
      </c>
      <c r="Q978" s="17">
        <v>5</v>
      </c>
      <c r="R978">
        <v>3</v>
      </c>
      <c r="S978">
        <v>4</v>
      </c>
      <c r="T978">
        <v>1</v>
      </c>
      <c r="U978">
        <v>4</v>
      </c>
      <c r="V978" s="15">
        <f t="shared" ca="1" si="31"/>
        <v>3</v>
      </c>
    </row>
    <row r="979" spans="1:22">
      <c r="A979" t="s">
        <v>160</v>
      </c>
      <c r="B979" s="1">
        <v>41057.59207175926</v>
      </c>
      <c r="C979" s="2" t="s">
        <v>3611</v>
      </c>
      <c r="D979">
        <v>12000</v>
      </c>
      <c r="E979" t="s">
        <v>1856</v>
      </c>
      <c r="F979" s="5">
        <v>12000</v>
      </c>
      <c r="G979" s="5">
        <v>12000</v>
      </c>
      <c r="H979" s="5">
        <f ca="1">OFFSET(F979,0,Brains!$D$1,1,1)</f>
        <v>12000</v>
      </c>
      <c r="I979" t="s">
        <v>161</v>
      </c>
      <c r="J979" t="s">
        <v>1864</v>
      </c>
      <c r="K979" t="s">
        <v>3852</v>
      </c>
      <c r="L979" t="s">
        <v>3852</v>
      </c>
      <c r="M979" s="11" t="s">
        <v>3918</v>
      </c>
      <c r="N979" t="s">
        <v>1860</v>
      </c>
      <c r="O979" s="7" t="s">
        <v>3920</v>
      </c>
      <c r="P979" s="17" t="str">
        <f t="shared" ca="1" si="30"/>
        <v>0-14.9K</v>
      </c>
      <c r="Q979" s="17">
        <v>5</v>
      </c>
      <c r="R979">
        <v>3</v>
      </c>
      <c r="S979">
        <v>4</v>
      </c>
      <c r="T979">
        <v>1</v>
      </c>
      <c r="U979">
        <v>4</v>
      </c>
      <c r="V979" s="15">
        <f t="shared" ca="1" si="31"/>
        <v>1</v>
      </c>
    </row>
    <row r="980" spans="1:22">
      <c r="A980" t="s">
        <v>3817</v>
      </c>
      <c r="B980" s="1">
        <v>41056.863344907404</v>
      </c>
      <c r="C980" s="2" t="s">
        <v>3309</v>
      </c>
      <c r="D980">
        <v>144000</v>
      </c>
      <c r="E980" t="s">
        <v>1908</v>
      </c>
      <c r="F980" s="5">
        <v>2564.3400029917298</v>
      </c>
      <c r="G980" s="5">
        <v>7170.6005377950405</v>
      </c>
      <c r="H980" s="5">
        <f ca="1">OFFSET(F980,0,Brains!$D$1,1,1)</f>
        <v>7170.6005377950405</v>
      </c>
      <c r="I980" t="s">
        <v>3818</v>
      </c>
      <c r="J980" t="s">
        <v>1864</v>
      </c>
      <c r="K980" t="s">
        <v>1859</v>
      </c>
      <c r="L980" t="s">
        <v>1859</v>
      </c>
      <c r="M980" s="11" t="s">
        <v>3918</v>
      </c>
      <c r="N980" t="s">
        <v>1860</v>
      </c>
      <c r="O980" s="7" t="s">
        <v>3920</v>
      </c>
      <c r="P980" s="17" t="str">
        <f t="shared" ca="1" si="30"/>
        <v>0-14.9K</v>
      </c>
      <c r="Q980" s="17">
        <v>5</v>
      </c>
      <c r="R980">
        <v>4</v>
      </c>
      <c r="S980">
        <v>4</v>
      </c>
      <c r="T980">
        <v>1</v>
      </c>
      <c r="U980">
        <v>4</v>
      </c>
      <c r="V980" s="15">
        <f t="shared" ca="1" si="31"/>
        <v>1</v>
      </c>
    </row>
    <row r="981" spans="1:22">
      <c r="A981" t="s">
        <v>3632</v>
      </c>
      <c r="B981" s="1">
        <v>41055.970243055555</v>
      </c>
      <c r="C981" s="2" t="s">
        <v>3633</v>
      </c>
      <c r="D981">
        <v>15600</v>
      </c>
      <c r="E981" t="s">
        <v>1880</v>
      </c>
      <c r="F981" s="5">
        <v>19818.231248269083</v>
      </c>
      <c r="G981" s="5">
        <v>19596.70976267882</v>
      </c>
      <c r="H981" s="5">
        <f ca="1">OFFSET(F981,0,Brains!$D$1,1,1)</f>
        <v>19596.70976267882</v>
      </c>
      <c r="I981" t="s">
        <v>3634</v>
      </c>
      <c r="J981" t="s">
        <v>1864</v>
      </c>
      <c r="K981" t="s">
        <v>1892</v>
      </c>
      <c r="L981" t="s">
        <v>1892</v>
      </c>
      <c r="M981" s="11" t="s">
        <v>3918</v>
      </c>
      <c r="N981" t="s">
        <v>1860</v>
      </c>
      <c r="O981" s="7" t="s">
        <v>3920</v>
      </c>
      <c r="P981" s="17" t="str">
        <f t="shared" ca="1" si="30"/>
        <v>15-29.9K</v>
      </c>
      <c r="Q981" s="17">
        <v>5</v>
      </c>
      <c r="R981">
        <v>5</v>
      </c>
      <c r="S981">
        <v>4</v>
      </c>
      <c r="T981">
        <v>1</v>
      </c>
      <c r="U981">
        <v>4</v>
      </c>
      <c r="V981" s="15">
        <f t="shared" ca="1" si="31"/>
        <v>2</v>
      </c>
    </row>
    <row r="982" spans="1:22">
      <c r="A982" t="s">
        <v>3834</v>
      </c>
      <c r="B982" s="1">
        <v>41056.94122685185</v>
      </c>
      <c r="C982" s="2">
        <v>42000</v>
      </c>
      <c r="D982">
        <v>42000</v>
      </c>
      <c r="E982" t="s">
        <v>1856</v>
      </c>
      <c r="F982" s="5">
        <v>42000</v>
      </c>
      <c r="G982" s="5">
        <v>42000</v>
      </c>
      <c r="H982" s="5">
        <f ca="1">OFFSET(F982,0,Brains!$D$1,1,1)</f>
        <v>42000</v>
      </c>
      <c r="I982" t="s">
        <v>3835</v>
      </c>
      <c r="J982" t="s">
        <v>1864</v>
      </c>
      <c r="K982" t="s">
        <v>2064</v>
      </c>
      <c r="L982" t="s">
        <v>2064</v>
      </c>
      <c r="M982" s="7" t="s">
        <v>3941</v>
      </c>
      <c r="N982" t="s">
        <v>1866</v>
      </c>
      <c r="O982" s="7" t="s">
        <v>3922</v>
      </c>
      <c r="P982" s="17" t="str">
        <f t="shared" ca="1" si="30"/>
        <v>30-49.9K</v>
      </c>
      <c r="Q982" s="17">
        <v>8</v>
      </c>
      <c r="R982">
        <v>15</v>
      </c>
      <c r="S982">
        <v>5</v>
      </c>
      <c r="T982">
        <v>3</v>
      </c>
      <c r="U982">
        <v>4</v>
      </c>
      <c r="V982" s="15">
        <f t="shared" ca="1" si="31"/>
        <v>3</v>
      </c>
    </row>
    <row r="983" spans="1:22">
      <c r="A983" t="s">
        <v>1273</v>
      </c>
      <c r="B983" s="1">
        <v>41062.071805555555</v>
      </c>
      <c r="C983" s="2">
        <v>2300</v>
      </c>
      <c r="D983">
        <v>27600</v>
      </c>
      <c r="E983" t="s">
        <v>1880</v>
      </c>
      <c r="F983" s="5">
        <v>35063.024516168378</v>
      </c>
      <c r="G983" s="5">
        <v>34671.101887816374</v>
      </c>
      <c r="H983" s="5">
        <f ca="1">OFFSET(F983,0,Brains!$D$1,1,1)</f>
        <v>34671.101887816374</v>
      </c>
      <c r="I983" t="s">
        <v>2528</v>
      </c>
      <c r="J983" t="s">
        <v>1864</v>
      </c>
      <c r="K983" t="s">
        <v>1905</v>
      </c>
      <c r="L983" t="s">
        <v>1905</v>
      </c>
      <c r="M983" s="7" t="s">
        <v>3941</v>
      </c>
      <c r="N983" t="s">
        <v>1866</v>
      </c>
      <c r="O983" s="7" t="s">
        <v>3922</v>
      </c>
      <c r="P983" s="17" t="str">
        <f t="shared" ca="1" si="30"/>
        <v>30-49.9K</v>
      </c>
      <c r="Q983" s="17">
        <v>8</v>
      </c>
      <c r="R983">
        <v>15</v>
      </c>
      <c r="S983">
        <v>5</v>
      </c>
      <c r="T983">
        <v>3</v>
      </c>
      <c r="U983">
        <v>4</v>
      </c>
      <c r="V983" s="15">
        <f t="shared" ca="1" si="31"/>
        <v>3</v>
      </c>
    </row>
    <row r="984" spans="1:22">
      <c r="A984" t="s">
        <v>1621</v>
      </c>
      <c r="B984" s="1">
        <v>41072.147534722222</v>
      </c>
      <c r="C984" s="2">
        <v>65000</v>
      </c>
      <c r="D984">
        <v>65000</v>
      </c>
      <c r="E984" t="s">
        <v>1856</v>
      </c>
      <c r="F984" s="5">
        <v>65000</v>
      </c>
      <c r="G984" s="5">
        <v>65000</v>
      </c>
      <c r="H984" s="5">
        <f ca="1">OFFSET(F984,0,Brains!$D$1,1,1)</f>
        <v>65000</v>
      </c>
      <c r="I984" t="s">
        <v>2365</v>
      </c>
      <c r="J984" t="s">
        <v>1864</v>
      </c>
      <c r="K984" t="s">
        <v>1869</v>
      </c>
      <c r="L984" t="s">
        <v>1869</v>
      </c>
      <c r="M984" s="11" t="s">
        <v>3917</v>
      </c>
      <c r="N984" t="s">
        <v>1873</v>
      </c>
      <c r="O984" s="7" t="s">
        <v>3922</v>
      </c>
      <c r="P984" s="17" t="str">
        <f t="shared" ca="1" si="30"/>
        <v>50-74.9K</v>
      </c>
      <c r="Q984" s="17">
        <v>2.5</v>
      </c>
      <c r="R984">
        <v>13</v>
      </c>
      <c r="S984">
        <v>3</v>
      </c>
      <c r="T984">
        <v>3</v>
      </c>
      <c r="U984">
        <v>4</v>
      </c>
      <c r="V984" s="15">
        <f t="shared" ca="1" si="31"/>
        <v>4</v>
      </c>
    </row>
    <row r="985" spans="1:22">
      <c r="A985" t="s">
        <v>1640</v>
      </c>
      <c r="B985" s="1">
        <v>41072.866354166668</v>
      </c>
      <c r="C985" s="2" t="s">
        <v>1641</v>
      </c>
      <c r="D985">
        <v>145000</v>
      </c>
      <c r="E985" t="s">
        <v>1973</v>
      </c>
      <c r="F985" s="5">
        <v>147886.90017838217</v>
      </c>
      <c r="G985" s="5">
        <v>92239.185750636141</v>
      </c>
      <c r="H985" s="5">
        <f ca="1">OFFSET(F985,0,Brains!$D$1,1,1)</f>
        <v>92239.185750636141</v>
      </c>
      <c r="I985" t="s">
        <v>3601</v>
      </c>
      <c r="J985" t="s">
        <v>1864</v>
      </c>
      <c r="K985" t="s">
        <v>1975</v>
      </c>
      <c r="L985" t="s">
        <v>1975</v>
      </c>
      <c r="M985" s="11" t="s">
        <v>3917</v>
      </c>
      <c r="N985" t="s">
        <v>1873</v>
      </c>
      <c r="O985" s="7" t="s">
        <v>3922</v>
      </c>
      <c r="P985" s="17" t="str">
        <f t="shared" ca="1" si="30"/>
        <v>75-99.9K</v>
      </c>
      <c r="Q985" s="17">
        <v>2.5</v>
      </c>
      <c r="R985">
        <v>15</v>
      </c>
      <c r="S985">
        <v>3</v>
      </c>
      <c r="T985">
        <v>3</v>
      </c>
      <c r="U985">
        <v>4</v>
      </c>
      <c r="V985" s="15">
        <f t="shared" ca="1" si="31"/>
        <v>5</v>
      </c>
    </row>
    <row r="986" spans="1:22">
      <c r="A986" t="s">
        <v>1365</v>
      </c>
      <c r="B986" s="1">
        <v>41064.601215277777</v>
      </c>
      <c r="C986" s="2" t="s">
        <v>1366</v>
      </c>
      <c r="D986">
        <v>240000</v>
      </c>
      <c r="E986" t="s">
        <v>1908</v>
      </c>
      <c r="F986" s="5">
        <v>4273.9000049862161</v>
      </c>
      <c r="G986" s="5">
        <v>11951.000896325068</v>
      </c>
      <c r="H986" s="5">
        <f ca="1">OFFSET(F986,0,Brains!$D$1,1,1)</f>
        <v>11951.000896325068</v>
      </c>
      <c r="I986" t="s">
        <v>1367</v>
      </c>
      <c r="J986" t="s">
        <v>1864</v>
      </c>
      <c r="K986" t="s">
        <v>1859</v>
      </c>
      <c r="L986" t="s">
        <v>1859</v>
      </c>
      <c r="M986" s="11" t="s">
        <v>3917</v>
      </c>
      <c r="N986" t="s">
        <v>1873</v>
      </c>
      <c r="O986" s="7" t="s">
        <v>3922</v>
      </c>
      <c r="P986" s="17" t="str">
        <f t="shared" ca="1" si="30"/>
        <v>0-14.9K</v>
      </c>
      <c r="Q986" s="17">
        <v>2.5</v>
      </c>
      <c r="R986">
        <v>15</v>
      </c>
      <c r="S986">
        <v>3</v>
      </c>
      <c r="T986">
        <v>3</v>
      </c>
      <c r="U986">
        <v>4</v>
      </c>
      <c r="V986" s="15">
        <f t="shared" ca="1" si="31"/>
        <v>1</v>
      </c>
    </row>
    <row r="987" spans="1:22">
      <c r="A987" t="s">
        <v>3652</v>
      </c>
      <c r="B987" s="1">
        <v>41056.013240740744</v>
      </c>
      <c r="C987" s="2">
        <v>100000</v>
      </c>
      <c r="D987">
        <v>100000</v>
      </c>
      <c r="E987" t="s">
        <v>1954</v>
      </c>
      <c r="F987" s="5">
        <v>157617.8272067284</v>
      </c>
      <c r="G987" s="5">
        <v>148367.95252225519</v>
      </c>
      <c r="H987" s="5">
        <f ca="1">OFFSET(F987,0,Brains!$D$1,1,1)</f>
        <v>148367.95252225519</v>
      </c>
      <c r="I987" t="s">
        <v>2147</v>
      </c>
      <c r="J987" t="s">
        <v>1864</v>
      </c>
      <c r="K987" t="s">
        <v>1956</v>
      </c>
      <c r="L987" t="s">
        <v>1956</v>
      </c>
      <c r="M987" s="11" t="s">
        <v>3917</v>
      </c>
      <c r="N987" t="s">
        <v>1873</v>
      </c>
      <c r="O987" s="7" t="s">
        <v>3922</v>
      </c>
      <c r="P987" s="17" t="str">
        <f t="shared" ca="1" si="30"/>
        <v>100-149.9K</v>
      </c>
      <c r="Q987" s="17">
        <v>2.5</v>
      </c>
      <c r="R987">
        <v>20</v>
      </c>
      <c r="S987">
        <v>3</v>
      </c>
      <c r="T987">
        <v>3</v>
      </c>
      <c r="U987">
        <v>4</v>
      </c>
      <c r="V987" s="15">
        <f t="shared" ca="1" si="31"/>
        <v>6</v>
      </c>
    </row>
    <row r="988" spans="1:22">
      <c r="A988" t="s">
        <v>1727</v>
      </c>
      <c r="B988" s="1">
        <v>41075.868622685186</v>
      </c>
      <c r="C988" s="2" t="s">
        <v>1728</v>
      </c>
      <c r="D988">
        <v>90000</v>
      </c>
      <c r="E988" t="s">
        <v>1880</v>
      </c>
      <c r="F988" s="5">
        <v>114335.9495092447</v>
      </c>
      <c r="G988" s="5">
        <v>113057.94093853167</v>
      </c>
      <c r="H988" s="5">
        <f ca="1">OFFSET(F988,0,Brains!$D$1,1,1)</f>
        <v>113057.94093853167</v>
      </c>
      <c r="I988" t="s">
        <v>1864</v>
      </c>
      <c r="J988" t="s">
        <v>1864</v>
      </c>
      <c r="K988" t="s">
        <v>1729</v>
      </c>
      <c r="L988" t="s">
        <v>864</v>
      </c>
      <c r="M988" s="11" t="s">
        <v>3917</v>
      </c>
      <c r="N988" t="s">
        <v>1873</v>
      </c>
      <c r="O988" s="7" t="s">
        <v>3922</v>
      </c>
      <c r="P988" s="17" t="str">
        <f t="shared" ca="1" si="30"/>
        <v>100-149.9K</v>
      </c>
      <c r="Q988" s="17">
        <v>2.5</v>
      </c>
      <c r="R988">
        <v>20</v>
      </c>
      <c r="S988">
        <v>3</v>
      </c>
      <c r="T988">
        <v>3</v>
      </c>
      <c r="U988">
        <v>4</v>
      </c>
      <c r="V988" s="15">
        <f t="shared" ca="1" si="31"/>
        <v>6</v>
      </c>
    </row>
    <row r="989" spans="1:22">
      <c r="A989" t="s">
        <v>395</v>
      </c>
      <c r="B989" s="1">
        <v>41057.941921296297</v>
      </c>
      <c r="C989" s="2">
        <v>75000</v>
      </c>
      <c r="D989">
        <v>75000</v>
      </c>
      <c r="E989" t="s">
        <v>1856</v>
      </c>
      <c r="F989" s="5">
        <v>75000</v>
      </c>
      <c r="G989" s="5">
        <v>75000</v>
      </c>
      <c r="H989" s="5">
        <f ca="1">OFFSET(F989,0,Brains!$D$1,1,1)</f>
        <v>75000</v>
      </c>
      <c r="I989" t="s">
        <v>1864</v>
      </c>
      <c r="J989" t="s">
        <v>1864</v>
      </c>
      <c r="K989" t="s">
        <v>1869</v>
      </c>
      <c r="L989" t="s">
        <v>1869</v>
      </c>
      <c r="M989" s="11" t="s">
        <v>3917</v>
      </c>
      <c r="N989" t="s">
        <v>1873</v>
      </c>
      <c r="O989" s="7" t="s">
        <v>3922</v>
      </c>
      <c r="P989" s="17" t="str">
        <f t="shared" ca="1" si="30"/>
        <v>75-99.9K</v>
      </c>
      <c r="Q989" s="17">
        <v>2.5</v>
      </c>
      <c r="R989">
        <v>20</v>
      </c>
      <c r="S989">
        <v>3</v>
      </c>
      <c r="T989">
        <v>3</v>
      </c>
      <c r="U989">
        <v>4</v>
      </c>
      <c r="V989" s="15">
        <f t="shared" ca="1" si="31"/>
        <v>5</v>
      </c>
    </row>
    <row r="990" spans="1:22">
      <c r="A990" t="s">
        <v>538</v>
      </c>
      <c r="B990" s="1">
        <v>41058.101712962962</v>
      </c>
      <c r="C990" s="2" t="s">
        <v>1998</v>
      </c>
      <c r="D990">
        <v>100000</v>
      </c>
      <c r="E990" t="s">
        <v>1856</v>
      </c>
      <c r="F990" s="5">
        <v>100000</v>
      </c>
      <c r="G990" s="5">
        <v>100000</v>
      </c>
      <c r="H990" s="5">
        <f ca="1">OFFSET(F990,0,Brains!$D$1,1,1)</f>
        <v>100000</v>
      </c>
      <c r="I990" t="s">
        <v>1864</v>
      </c>
      <c r="J990" t="s">
        <v>1864</v>
      </c>
      <c r="K990" t="s">
        <v>2909</v>
      </c>
      <c r="L990" t="s">
        <v>2909</v>
      </c>
      <c r="M990" s="11" t="s">
        <v>3918</v>
      </c>
      <c r="N990" t="s">
        <v>1860</v>
      </c>
      <c r="O990" s="7" t="s">
        <v>3922</v>
      </c>
      <c r="P990" s="17" t="str">
        <f t="shared" ca="1" si="30"/>
        <v>100-149.9K</v>
      </c>
      <c r="Q990" s="17">
        <v>5</v>
      </c>
      <c r="R990">
        <v>12</v>
      </c>
      <c r="S990">
        <v>4</v>
      </c>
      <c r="T990">
        <v>3</v>
      </c>
      <c r="U990">
        <v>4</v>
      </c>
      <c r="V990" s="15">
        <f t="shared" ca="1" si="31"/>
        <v>6</v>
      </c>
    </row>
    <row r="991" spans="1:22">
      <c r="A991" t="s">
        <v>3599</v>
      </c>
      <c r="B991" s="1">
        <v>41055.946655092594</v>
      </c>
      <c r="C991" s="2" t="s">
        <v>3600</v>
      </c>
      <c r="D991">
        <v>55000</v>
      </c>
      <c r="E991" t="s">
        <v>1954</v>
      </c>
      <c r="F991" s="5">
        <v>86689.804963700633</v>
      </c>
      <c r="G991" s="5">
        <v>81602.373887240348</v>
      </c>
      <c r="H991" s="5">
        <f ca="1">OFFSET(F991,0,Brains!$D$1,1,1)</f>
        <v>81602.373887240348</v>
      </c>
      <c r="I991" t="s">
        <v>3601</v>
      </c>
      <c r="J991" t="s">
        <v>1864</v>
      </c>
      <c r="K991" t="s">
        <v>1956</v>
      </c>
      <c r="L991" t="s">
        <v>1956</v>
      </c>
      <c r="M991" s="11" t="s">
        <v>3918</v>
      </c>
      <c r="N991" t="s">
        <v>1860</v>
      </c>
      <c r="O991" s="7" t="s">
        <v>3922</v>
      </c>
      <c r="P991" s="17" t="str">
        <f t="shared" ca="1" si="30"/>
        <v>75-99.9K</v>
      </c>
      <c r="Q991" s="17">
        <v>5</v>
      </c>
      <c r="R991">
        <v>12</v>
      </c>
      <c r="S991">
        <v>4</v>
      </c>
      <c r="T991">
        <v>3</v>
      </c>
      <c r="U991">
        <v>4</v>
      </c>
      <c r="V991" s="15">
        <f t="shared" ca="1" si="31"/>
        <v>5</v>
      </c>
    </row>
    <row r="992" spans="1:22">
      <c r="A992" t="s">
        <v>810</v>
      </c>
      <c r="B992" s="1">
        <v>41058.814664351848</v>
      </c>
      <c r="C992" s="2">
        <v>45000</v>
      </c>
      <c r="D992">
        <v>45000</v>
      </c>
      <c r="E992" t="s">
        <v>1880</v>
      </c>
      <c r="F992" s="5">
        <v>57167.974754622352</v>
      </c>
      <c r="G992" s="5">
        <v>56528.970469265834</v>
      </c>
      <c r="H992" s="5">
        <f ca="1">OFFSET(F992,0,Brains!$D$1,1,1)</f>
        <v>56528.970469265834</v>
      </c>
      <c r="I992" t="s">
        <v>811</v>
      </c>
      <c r="J992" t="s">
        <v>1864</v>
      </c>
      <c r="K992" t="s">
        <v>1883</v>
      </c>
      <c r="L992" t="s">
        <v>1883</v>
      </c>
      <c r="M992" s="11" t="s">
        <v>3918</v>
      </c>
      <c r="N992" t="s">
        <v>1860</v>
      </c>
      <c r="O992" s="7" t="s">
        <v>3922</v>
      </c>
      <c r="P992" s="17" t="str">
        <f t="shared" ca="1" si="30"/>
        <v>50-74.9K</v>
      </c>
      <c r="Q992" s="17">
        <v>5</v>
      </c>
      <c r="R992">
        <v>12</v>
      </c>
      <c r="S992">
        <v>4</v>
      </c>
      <c r="T992">
        <v>3</v>
      </c>
      <c r="U992">
        <v>4</v>
      </c>
      <c r="V992" s="15">
        <f t="shared" ca="1" si="31"/>
        <v>4</v>
      </c>
    </row>
    <row r="993" spans="1:22">
      <c r="A993" t="s">
        <v>3778</v>
      </c>
      <c r="B993" s="1">
        <v>41056.642824074072</v>
      </c>
      <c r="C993" s="2">
        <v>1300</v>
      </c>
      <c r="D993">
        <v>15600</v>
      </c>
      <c r="E993" t="s">
        <v>1856</v>
      </c>
      <c r="F993" s="5">
        <v>15600</v>
      </c>
      <c r="G993" s="5">
        <v>15600</v>
      </c>
      <c r="H993" s="5">
        <f ca="1">OFFSET(F993,0,Brains!$D$1,1,1)</f>
        <v>15600</v>
      </c>
      <c r="I993" t="s">
        <v>3779</v>
      </c>
      <c r="J993" t="s">
        <v>1864</v>
      </c>
      <c r="K993" t="s">
        <v>3780</v>
      </c>
      <c r="L993" t="s">
        <v>133</v>
      </c>
      <c r="M993" s="11" t="s">
        <v>3918</v>
      </c>
      <c r="N993" t="s">
        <v>1860</v>
      </c>
      <c r="O993" s="7" t="s">
        <v>3922</v>
      </c>
      <c r="P993" s="17" t="str">
        <f t="shared" ca="1" si="30"/>
        <v>15-29.9K</v>
      </c>
      <c r="Q993" s="17">
        <v>5</v>
      </c>
      <c r="R993">
        <v>13</v>
      </c>
      <c r="S993">
        <v>4</v>
      </c>
      <c r="T993">
        <v>3</v>
      </c>
      <c r="U993">
        <v>4</v>
      </c>
      <c r="V993" s="15">
        <f t="shared" ca="1" si="31"/>
        <v>2</v>
      </c>
    </row>
    <row r="994" spans="1:22">
      <c r="A994" t="s">
        <v>862</v>
      </c>
      <c r="B994" s="1">
        <v>41058.919548611113</v>
      </c>
      <c r="C994" s="2">
        <v>180000</v>
      </c>
      <c r="D994">
        <v>180000</v>
      </c>
      <c r="E994" t="s">
        <v>1880</v>
      </c>
      <c r="F994" s="5">
        <v>228671.89901848941</v>
      </c>
      <c r="G994" s="5">
        <v>226115.88187706334</v>
      </c>
      <c r="H994" s="5">
        <f ca="1">OFFSET(F994,0,Brains!$D$1,1,1)</f>
        <v>226115.88187706334</v>
      </c>
      <c r="I994" t="s">
        <v>863</v>
      </c>
      <c r="J994" t="s">
        <v>1864</v>
      </c>
      <c r="K994" t="s">
        <v>864</v>
      </c>
      <c r="L994" t="s">
        <v>864</v>
      </c>
      <c r="M994" s="11" t="s">
        <v>3918</v>
      </c>
      <c r="N994" t="s">
        <v>1860</v>
      </c>
      <c r="O994" s="7" t="s">
        <v>3922</v>
      </c>
      <c r="P994" s="17" t="str">
        <f t="shared" ca="1" si="30"/>
        <v>150-249.9K</v>
      </c>
      <c r="Q994" s="17">
        <v>5</v>
      </c>
      <c r="R994">
        <v>15</v>
      </c>
      <c r="S994">
        <v>4</v>
      </c>
      <c r="T994">
        <v>3</v>
      </c>
      <c r="U994">
        <v>4</v>
      </c>
      <c r="V994" s="15">
        <f t="shared" ca="1" si="31"/>
        <v>7</v>
      </c>
    </row>
    <row r="995" spans="1:22">
      <c r="A995" t="s">
        <v>399</v>
      </c>
      <c r="B995" s="1">
        <v>41057.943854166668</v>
      </c>
      <c r="C995" s="2" t="s">
        <v>400</v>
      </c>
      <c r="D995">
        <v>80000</v>
      </c>
      <c r="E995" t="s">
        <v>1954</v>
      </c>
      <c r="F995" s="5">
        <v>126094.26176538273</v>
      </c>
      <c r="G995" s="5">
        <v>118694.36201780415</v>
      </c>
      <c r="H995" s="5">
        <f ca="1">OFFSET(F995,0,Brains!$D$1,1,1)</f>
        <v>118694.36201780415</v>
      </c>
      <c r="I995" t="s">
        <v>2147</v>
      </c>
      <c r="J995" t="s">
        <v>1864</v>
      </c>
      <c r="K995" t="s">
        <v>1956</v>
      </c>
      <c r="L995" t="s">
        <v>1956</v>
      </c>
      <c r="M995" s="11" t="s">
        <v>3918</v>
      </c>
      <c r="N995" t="s">
        <v>1860</v>
      </c>
      <c r="O995" s="7" t="s">
        <v>3922</v>
      </c>
      <c r="P995" s="17" t="str">
        <f t="shared" ca="1" si="30"/>
        <v>100-149.9K</v>
      </c>
      <c r="Q995" s="17">
        <v>5</v>
      </c>
      <c r="R995">
        <v>15</v>
      </c>
      <c r="S995">
        <v>4</v>
      </c>
      <c r="T995">
        <v>3</v>
      </c>
      <c r="U995">
        <v>4</v>
      </c>
      <c r="V995" s="15">
        <f t="shared" ca="1" si="31"/>
        <v>6</v>
      </c>
    </row>
    <row r="996" spans="1:22">
      <c r="A996" t="s">
        <v>3174</v>
      </c>
      <c r="B996" s="1">
        <v>41055.452141203707</v>
      </c>
      <c r="C996" s="2">
        <v>80000</v>
      </c>
      <c r="D996">
        <v>80000</v>
      </c>
      <c r="E996" t="s">
        <v>1856</v>
      </c>
      <c r="F996" s="5">
        <v>80000</v>
      </c>
      <c r="G996" s="5">
        <v>80000</v>
      </c>
      <c r="H996" s="5">
        <f ca="1">OFFSET(F996,0,Brains!$D$1,1,1)</f>
        <v>80000</v>
      </c>
      <c r="I996" t="s">
        <v>3175</v>
      </c>
      <c r="J996" t="s">
        <v>1864</v>
      </c>
      <c r="K996" t="s">
        <v>1869</v>
      </c>
      <c r="L996" t="s">
        <v>1869</v>
      </c>
      <c r="M996" s="11" t="s">
        <v>3918</v>
      </c>
      <c r="N996" t="s">
        <v>1860</v>
      </c>
      <c r="O996" s="7" t="s">
        <v>3922</v>
      </c>
      <c r="P996" s="17" t="str">
        <f t="shared" ca="1" si="30"/>
        <v>75-99.9K</v>
      </c>
      <c r="Q996" s="17">
        <v>5</v>
      </c>
      <c r="R996">
        <v>15</v>
      </c>
      <c r="S996">
        <v>4</v>
      </c>
      <c r="T996">
        <v>3</v>
      </c>
      <c r="U996">
        <v>4</v>
      </c>
      <c r="V996" s="15">
        <f t="shared" ca="1" si="31"/>
        <v>5</v>
      </c>
    </row>
    <row r="997" spans="1:22">
      <c r="A997" t="s">
        <v>818</v>
      </c>
      <c r="B997" s="1">
        <v>41058.826678240737</v>
      </c>
      <c r="C997" s="2">
        <v>62000</v>
      </c>
      <c r="D997">
        <v>62000</v>
      </c>
      <c r="E997" t="s">
        <v>1880</v>
      </c>
      <c r="F997" s="5">
        <v>78764.765217479682</v>
      </c>
      <c r="G997" s="5">
        <v>77884.359313210705</v>
      </c>
      <c r="H997" s="5">
        <f ca="1">OFFSET(F997,0,Brains!$D$1,1,1)</f>
        <v>77884.359313210705</v>
      </c>
      <c r="I997" t="s">
        <v>1864</v>
      </c>
      <c r="J997" t="s">
        <v>1864</v>
      </c>
      <c r="K997" t="s">
        <v>2998</v>
      </c>
      <c r="L997" t="s">
        <v>2998</v>
      </c>
      <c r="M997" s="11" t="s">
        <v>3918</v>
      </c>
      <c r="N997" t="s">
        <v>1860</v>
      </c>
      <c r="O997" s="7" t="s">
        <v>3922</v>
      </c>
      <c r="P997" s="17" t="str">
        <f t="shared" ca="1" si="30"/>
        <v>75-99.9K</v>
      </c>
      <c r="Q997" s="17">
        <v>5</v>
      </c>
      <c r="R997">
        <v>15</v>
      </c>
      <c r="S997">
        <v>4</v>
      </c>
      <c r="T997">
        <v>3</v>
      </c>
      <c r="U997">
        <v>4</v>
      </c>
      <c r="V997" s="15">
        <f t="shared" ca="1" si="31"/>
        <v>5</v>
      </c>
    </row>
    <row r="998" spans="1:22">
      <c r="A998" t="s">
        <v>1325</v>
      </c>
      <c r="B998" s="1">
        <v>41063.30332175926</v>
      </c>
      <c r="C998" s="2" t="s">
        <v>1326</v>
      </c>
      <c r="D998">
        <v>485000</v>
      </c>
      <c r="E998" t="s">
        <v>494</v>
      </c>
      <c r="F998" s="5">
        <v>82888.5550559455</v>
      </c>
      <c r="G998" s="5">
        <v>55836.979046741879</v>
      </c>
      <c r="H998" s="5">
        <f ca="1">OFFSET(F998,0,Brains!$D$1,1,1)</f>
        <v>55836.979046741879</v>
      </c>
      <c r="I998" t="s">
        <v>1864</v>
      </c>
      <c r="J998" t="s">
        <v>1864</v>
      </c>
      <c r="K998" t="s">
        <v>3478</v>
      </c>
      <c r="L998" t="s">
        <v>3478</v>
      </c>
      <c r="M998" s="11" t="s">
        <v>3918</v>
      </c>
      <c r="N998" t="s">
        <v>1860</v>
      </c>
      <c r="O998" s="7" t="s">
        <v>3922</v>
      </c>
      <c r="P998" s="17" t="str">
        <f t="shared" ca="1" si="30"/>
        <v>50-74.9K</v>
      </c>
      <c r="Q998" s="17">
        <v>5</v>
      </c>
      <c r="R998">
        <v>18</v>
      </c>
      <c r="S998">
        <v>4</v>
      </c>
      <c r="T998">
        <v>3</v>
      </c>
      <c r="U998">
        <v>4</v>
      </c>
      <c r="V998" s="15">
        <f t="shared" ca="1" si="31"/>
        <v>4</v>
      </c>
    </row>
    <row r="999" spans="1:22">
      <c r="A999" t="s">
        <v>611</v>
      </c>
      <c r="B999" s="1">
        <v>41058.401550925926</v>
      </c>
      <c r="C999" s="2">
        <v>69000</v>
      </c>
      <c r="D999">
        <v>69000</v>
      </c>
      <c r="E999" t="s">
        <v>1856</v>
      </c>
      <c r="F999" s="5">
        <v>69000</v>
      </c>
      <c r="G999" s="5">
        <v>69000</v>
      </c>
      <c r="H999" s="5">
        <f ca="1">OFFSET(F999,0,Brains!$D$1,1,1)</f>
        <v>69000</v>
      </c>
      <c r="I999" t="s">
        <v>612</v>
      </c>
      <c r="J999" t="s">
        <v>1864</v>
      </c>
      <c r="K999" t="s">
        <v>1869</v>
      </c>
      <c r="L999" t="s">
        <v>1869</v>
      </c>
      <c r="M999" s="11" t="s">
        <v>3918</v>
      </c>
      <c r="N999" t="s">
        <v>1860</v>
      </c>
      <c r="O999" s="7" t="s">
        <v>3922</v>
      </c>
      <c r="P999" s="17" t="str">
        <f t="shared" ca="1" si="30"/>
        <v>50-74.9K</v>
      </c>
      <c r="Q999" s="17">
        <v>5</v>
      </c>
      <c r="R999">
        <v>20</v>
      </c>
      <c r="S999">
        <v>4</v>
      </c>
      <c r="T999">
        <v>3</v>
      </c>
      <c r="U999">
        <v>4</v>
      </c>
      <c r="V999" s="15">
        <f t="shared" ca="1" si="31"/>
        <v>4</v>
      </c>
    </row>
    <row r="1000" spans="1:22">
      <c r="A1000" t="s">
        <v>3062</v>
      </c>
      <c r="B1000" s="1">
        <v>41055.251354166663</v>
      </c>
      <c r="C1000" s="2">
        <v>1300</v>
      </c>
      <c r="D1000">
        <v>15600</v>
      </c>
      <c r="E1000" t="s">
        <v>1856</v>
      </c>
      <c r="F1000" s="5">
        <v>15600</v>
      </c>
      <c r="G1000" s="5">
        <v>15600</v>
      </c>
      <c r="H1000" s="5">
        <f ca="1">OFFSET(F1000,0,Brains!$D$1,1,1)</f>
        <v>15600</v>
      </c>
      <c r="I1000" t="s">
        <v>3063</v>
      </c>
      <c r="J1000" t="s">
        <v>1864</v>
      </c>
      <c r="K1000" t="s">
        <v>3064</v>
      </c>
      <c r="L1000" t="s">
        <v>2081</v>
      </c>
      <c r="M1000" s="11" t="s">
        <v>3918</v>
      </c>
      <c r="N1000" t="s">
        <v>1860</v>
      </c>
      <c r="O1000" s="7" t="s">
        <v>3922</v>
      </c>
      <c r="P1000" s="17" t="str">
        <f t="shared" ca="1" si="30"/>
        <v>15-29.9K</v>
      </c>
      <c r="Q1000" s="17">
        <v>5</v>
      </c>
      <c r="R1000">
        <v>20</v>
      </c>
      <c r="S1000">
        <v>4</v>
      </c>
      <c r="T1000">
        <v>3</v>
      </c>
      <c r="U1000">
        <v>4</v>
      </c>
      <c r="V1000" s="15">
        <f t="shared" ca="1" si="31"/>
        <v>2</v>
      </c>
    </row>
    <row r="1001" spans="1:22">
      <c r="A1001" t="s">
        <v>3166</v>
      </c>
      <c r="B1001" s="1">
        <v>41055.438969907409</v>
      </c>
      <c r="C1001" s="2" t="s">
        <v>3167</v>
      </c>
      <c r="D1001">
        <v>13800</v>
      </c>
      <c r="E1001" t="s">
        <v>1856</v>
      </c>
      <c r="F1001" s="5">
        <v>13800</v>
      </c>
      <c r="G1001" s="5">
        <v>13800</v>
      </c>
      <c r="H1001" s="5">
        <f ca="1">OFFSET(F1001,0,Brains!$D$1,1,1)</f>
        <v>13800</v>
      </c>
      <c r="I1001" t="s">
        <v>3168</v>
      </c>
      <c r="J1001" t="s">
        <v>1864</v>
      </c>
      <c r="K1001" t="s">
        <v>3169</v>
      </c>
      <c r="L1001" t="s">
        <v>3169</v>
      </c>
      <c r="M1001" s="11" t="s">
        <v>3918</v>
      </c>
      <c r="N1001" t="s">
        <v>1860</v>
      </c>
      <c r="O1001" s="7" t="s">
        <v>3922</v>
      </c>
      <c r="P1001" s="17" t="str">
        <f t="shared" ca="1" si="30"/>
        <v>0-14.9K</v>
      </c>
      <c r="Q1001" s="17">
        <v>5</v>
      </c>
      <c r="R1001">
        <v>20</v>
      </c>
      <c r="S1001">
        <v>4</v>
      </c>
      <c r="T1001">
        <v>3</v>
      </c>
      <c r="U1001">
        <v>4</v>
      </c>
      <c r="V1001" s="15">
        <f t="shared" ca="1" si="31"/>
        <v>1</v>
      </c>
    </row>
    <row r="1002" spans="1:22">
      <c r="A1002" t="s">
        <v>1655</v>
      </c>
      <c r="B1002" s="1">
        <v>41073.141030092593</v>
      </c>
      <c r="C1002" s="2" t="s">
        <v>1656</v>
      </c>
      <c r="D1002">
        <v>214000</v>
      </c>
      <c r="E1002" t="s">
        <v>1856</v>
      </c>
      <c r="F1002" s="5">
        <v>214000</v>
      </c>
      <c r="G1002" s="5">
        <v>214000</v>
      </c>
      <c r="H1002" s="5">
        <f ca="1">OFFSET(F1002,0,Brains!$D$1,1,1)</f>
        <v>214000</v>
      </c>
      <c r="I1002" t="s">
        <v>1657</v>
      </c>
      <c r="J1002" t="s">
        <v>1864</v>
      </c>
      <c r="K1002" t="s">
        <v>1869</v>
      </c>
      <c r="L1002" t="s">
        <v>1869</v>
      </c>
      <c r="M1002" t="s">
        <v>3941</v>
      </c>
      <c r="N1002" t="s">
        <v>1866</v>
      </c>
      <c r="O1002" s="7" t="s">
        <v>3922</v>
      </c>
      <c r="P1002" s="17" t="str">
        <f t="shared" ca="1" si="30"/>
        <v>150-249.9K</v>
      </c>
      <c r="Q1002" s="17">
        <v>8</v>
      </c>
      <c r="R1002">
        <v>20</v>
      </c>
      <c r="S1002">
        <v>5</v>
      </c>
      <c r="T1002">
        <v>3</v>
      </c>
      <c r="U1002">
        <v>4</v>
      </c>
      <c r="V1002" s="15">
        <f t="shared" ca="1" si="31"/>
        <v>7</v>
      </c>
    </row>
    <row r="1003" spans="1:22">
      <c r="A1003" t="s">
        <v>1699</v>
      </c>
      <c r="B1003" s="1">
        <v>41075.036550925928</v>
      </c>
      <c r="C1003" s="2">
        <v>2000</v>
      </c>
      <c r="D1003">
        <v>24000</v>
      </c>
      <c r="E1003" t="s">
        <v>1856</v>
      </c>
      <c r="F1003" s="5">
        <v>24000</v>
      </c>
      <c r="G1003" s="5">
        <v>24000</v>
      </c>
      <c r="H1003" s="5">
        <f ca="1">OFFSET(F1003,0,Brains!$D$1,1,1)</f>
        <v>24000</v>
      </c>
      <c r="I1003" t="s">
        <v>2534</v>
      </c>
      <c r="J1003" t="s">
        <v>1864</v>
      </c>
      <c r="K1003" t="s">
        <v>1949</v>
      </c>
      <c r="L1003" t="s">
        <v>1949</v>
      </c>
      <c r="M1003" s="7" t="s">
        <v>3941</v>
      </c>
      <c r="N1003" t="s">
        <v>1866</v>
      </c>
      <c r="O1003" s="7" t="s">
        <v>3923</v>
      </c>
      <c r="P1003" s="17" t="str">
        <f t="shared" ca="1" si="30"/>
        <v>15-29.9K</v>
      </c>
      <c r="Q1003" s="17">
        <v>8</v>
      </c>
      <c r="R1003">
        <v>23</v>
      </c>
      <c r="S1003">
        <v>5</v>
      </c>
      <c r="T1003">
        <v>4</v>
      </c>
      <c r="U1003">
        <v>4</v>
      </c>
      <c r="V1003" s="15">
        <f t="shared" ca="1" si="31"/>
        <v>2</v>
      </c>
    </row>
    <row r="1004" spans="1:22">
      <c r="A1004" t="s">
        <v>834</v>
      </c>
      <c r="B1004" s="1">
        <v>41058.892395833333</v>
      </c>
      <c r="C1004" s="2">
        <v>103000</v>
      </c>
      <c r="D1004">
        <v>103000</v>
      </c>
      <c r="E1004" t="s">
        <v>1856</v>
      </c>
      <c r="F1004" s="5">
        <v>103000</v>
      </c>
      <c r="G1004" s="5">
        <v>103000</v>
      </c>
      <c r="H1004" s="5">
        <f ca="1">OFFSET(F1004,0,Brains!$D$1,1,1)</f>
        <v>103000</v>
      </c>
      <c r="I1004" t="s">
        <v>1864</v>
      </c>
      <c r="J1004" t="s">
        <v>1864</v>
      </c>
      <c r="K1004" t="s">
        <v>1869</v>
      </c>
      <c r="L1004" t="s">
        <v>1869</v>
      </c>
      <c r="M1004" s="11" t="s">
        <v>3918</v>
      </c>
      <c r="N1004" t="s">
        <v>1860</v>
      </c>
      <c r="O1004" s="7" t="s">
        <v>3923</v>
      </c>
      <c r="P1004" s="17" t="str">
        <f t="shared" ca="1" si="30"/>
        <v>100-149.9K</v>
      </c>
      <c r="Q1004" s="17">
        <v>5</v>
      </c>
      <c r="R1004">
        <v>22</v>
      </c>
      <c r="S1004">
        <v>4</v>
      </c>
      <c r="T1004">
        <v>4</v>
      </c>
      <c r="U1004">
        <v>4</v>
      </c>
      <c r="V1004" s="15">
        <f t="shared" ca="1" si="31"/>
        <v>6</v>
      </c>
    </row>
    <row r="1005" spans="1:22">
      <c r="A1005" t="s">
        <v>3822</v>
      </c>
      <c r="B1005" s="1">
        <v>41056.890057870369</v>
      </c>
      <c r="C1005" s="2">
        <v>150000</v>
      </c>
      <c r="D1005">
        <v>150000</v>
      </c>
      <c r="E1005" t="s">
        <v>1856</v>
      </c>
      <c r="F1005" s="5">
        <v>150000</v>
      </c>
      <c r="G1005" s="5">
        <v>150000</v>
      </c>
      <c r="H1005" s="5">
        <f ca="1">OFFSET(F1005,0,Brains!$D$1,1,1)</f>
        <v>150000</v>
      </c>
      <c r="I1005" t="s">
        <v>1864</v>
      </c>
      <c r="J1005" t="s">
        <v>1864</v>
      </c>
      <c r="K1005" t="s">
        <v>1869</v>
      </c>
      <c r="L1005" t="s">
        <v>1869</v>
      </c>
      <c r="M1005" s="11" t="s">
        <v>3918</v>
      </c>
      <c r="N1005" t="s">
        <v>1860</v>
      </c>
      <c r="O1005" s="7" t="s">
        <v>3923</v>
      </c>
      <c r="P1005" s="17" t="str">
        <f t="shared" ca="1" si="30"/>
        <v>150-249.9K</v>
      </c>
      <c r="Q1005" s="17">
        <v>5</v>
      </c>
      <c r="R1005">
        <v>25</v>
      </c>
      <c r="S1005">
        <v>4</v>
      </c>
      <c r="T1005">
        <v>4</v>
      </c>
      <c r="U1005">
        <v>4</v>
      </c>
      <c r="V1005" s="15">
        <f t="shared" ca="1" si="31"/>
        <v>7</v>
      </c>
    </row>
    <row r="1006" spans="1:22">
      <c r="A1006" t="s">
        <v>572</v>
      </c>
      <c r="B1006" s="1">
        <v>41058.241365740738</v>
      </c>
      <c r="C1006" s="2" t="s">
        <v>573</v>
      </c>
      <c r="D1006">
        <v>43000</v>
      </c>
      <c r="E1006" t="s">
        <v>1954</v>
      </c>
      <c r="F1006" s="5">
        <v>67775.665698893223</v>
      </c>
      <c r="G1006" s="5">
        <v>63798.219584569728</v>
      </c>
      <c r="H1006" s="5">
        <f ca="1">OFFSET(F1006,0,Brains!$D$1,1,1)</f>
        <v>63798.219584569728</v>
      </c>
      <c r="I1006" t="s">
        <v>2147</v>
      </c>
      <c r="J1006" t="s">
        <v>1864</v>
      </c>
      <c r="K1006" t="s">
        <v>1956</v>
      </c>
      <c r="L1006" t="s">
        <v>1956</v>
      </c>
      <c r="M1006" s="11" t="s">
        <v>3918</v>
      </c>
      <c r="N1006" t="s">
        <v>1860</v>
      </c>
      <c r="O1006" s="7" t="s">
        <v>3923</v>
      </c>
      <c r="P1006" s="17" t="str">
        <f t="shared" ca="1" si="30"/>
        <v>50-74.9K</v>
      </c>
      <c r="Q1006" s="17">
        <v>5</v>
      </c>
      <c r="R1006">
        <v>25</v>
      </c>
      <c r="S1006">
        <v>4</v>
      </c>
      <c r="T1006">
        <v>4</v>
      </c>
      <c r="U1006">
        <v>4</v>
      </c>
      <c r="V1006" s="15">
        <f t="shared" ca="1" si="31"/>
        <v>4</v>
      </c>
    </row>
    <row r="1007" spans="1:22">
      <c r="A1007" t="s">
        <v>682</v>
      </c>
      <c r="B1007" s="1">
        <v>41058.590601851851</v>
      </c>
      <c r="C1007" s="2" t="s">
        <v>683</v>
      </c>
      <c r="D1007">
        <v>49000</v>
      </c>
      <c r="E1007" t="s">
        <v>1973</v>
      </c>
      <c r="F1007" s="5">
        <v>49975.573163729154</v>
      </c>
      <c r="G1007" s="5">
        <v>31170.483460559797</v>
      </c>
      <c r="H1007" s="5">
        <f ca="1">OFFSET(F1007,0,Brains!$D$1,1,1)</f>
        <v>31170.483460559797</v>
      </c>
      <c r="I1007" t="s">
        <v>684</v>
      </c>
      <c r="J1007" t="s">
        <v>1864</v>
      </c>
      <c r="K1007" t="s">
        <v>1975</v>
      </c>
      <c r="L1007" t="s">
        <v>1975</v>
      </c>
      <c r="M1007" s="11" t="s">
        <v>3918</v>
      </c>
      <c r="N1007" t="s">
        <v>1860</v>
      </c>
      <c r="O1007" s="7" t="s">
        <v>3923</v>
      </c>
      <c r="P1007" s="17" t="str">
        <f t="shared" ca="1" si="30"/>
        <v>30-49.9K</v>
      </c>
      <c r="Q1007" s="17">
        <v>5</v>
      </c>
      <c r="R1007">
        <v>30</v>
      </c>
      <c r="S1007">
        <v>4</v>
      </c>
      <c r="T1007">
        <v>4</v>
      </c>
      <c r="U1007">
        <v>4</v>
      </c>
      <c r="V1007" s="15">
        <f t="shared" ca="1" si="31"/>
        <v>3</v>
      </c>
    </row>
    <row r="1008" spans="1:22">
      <c r="A1008" t="s">
        <v>1066</v>
      </c>
      <c r="B1008" s="1">
        <v>41059.938576388886</v>
      </c>
      <c r="C1008" s="2" t="s">
        <v>1067</v>
      </c>
      <c r="D1008">
        <v>33500</v>
      </c>
      <c r="E1008" t="s">
        <v>1880</v>
      </c>
      <c r="F1008" s="5">
        <v>42558.381206218859</v>
      </c>
      <c r="G1008" s="5">
        <v>42082.678016009006</v>
      </c>
      <c r="H1008" s="5">
        <f ca="1">OFFSET(F1008,0,Brains!$D$1,1,1)</f>
        <v>42082.678016009006</v>
      </c>
      <c r="I1008" t="s">
        <v>1068</v>
      </c>
      <c r="J1008" t="s">
        <v>1864</v>
      </c>
      <c r="K1008" t="s">
        <v>1883</v>
      </c>
      <c r="L1008" t="s">
        <v>1883</v>
      </c>
      <c r="M1008" s="7" t="s">
        <v>3941</v>
      </c>
      <c r="N1008" t="s">
        <v>1866</v>
      </c>
      <c r="O1008" s="7" t="s">
        <v>3921</v>
      </c>
      <c r="P1008" s="17" t="str">
        <f t="shared" ca="1" si="30"/>
        <v>30-49.9K</v>
      </c>
      <c r="Q1008" s="17">
        <v>8</v>
      </c>
      <c r="R1008">
        <v>8</v>
      </c>
      <c r="S1008">
        <v>5</v>
      </c>
      <c r="T1008">
        <v>2</v>
      </c>
      <c r="U1008">
        <v>4</v>
      </c>
      <c r="V1008" s="15">
        <f t="shared" ca="1" si="31"/>
        <v>3</v>
      </c>
    </row>
    <row r="1009" spans="1:22">
      <c r="A1009" t="s">
        <v>638</v>
      </c>
      <c r="B1009" s="1">
        <v>41058.49082175926</v>
      </c>
      <c r="C1009" s="2" t="s">
        <v>639</v>
      </c>
      <c r="D1009">
        <v>900000</v>
      </c>
      <c r="E1009" t="s">
        <v>1908</v>
      </c>
      <c r="F1009" s="5">
        <v>16027.125018698311</v>
      </c>
      <c r="G1009" s="5">
        <v>44816.253361219002</v>
      </c>
      <c r="H1009" s="5">
        <f ca="1">OFFSET(F1009,0,Brains!$D$1,1,1)</f>
        <v>44816.253361219002</v>
      </c>
      <c r="I1009" t="s">
        <v>640</v>
      </c>
      <c r="J1009" t="s">
        <v>1864</v>
      </c>
      <c r="K1009" t="s">
        <v>1859</v>
      </c>
      <c r="L1009" t="s">
        <v>1859</v>
      </c>
      <c r="M1009" s="7" t="s">
        <v>3941</v>
      </c>
      <c r="N1009" t="s">
        <v>1866</v>
      </c>
      <c r="O1009" s="7" t="s">
        <v>3921</v>
      </c>
      <c r="P1009" s="17" t="str">
        <f t="shared" ca="1" si="30"/>
        <v>30-49.9K</v>
      </c>
      <c r="Q1009" s="17">
        <v>8</v>
      </c>
      <c r="R1009">
        <v>8</v>
      </c>
      <c r="S1009">
        <v>5</v>
      </c>
      <c r="T1009">
        <v>2</v>
      </c>
      <c r="U1009">
        <v>4</v>
      </c>
      <c r="V1009" s="15">
        <f t="shared" ca="1" si="31"/>
        <v>3</v>
      </c>
    </row>
    <row r="1010" spans="1:22">
      <c r="A1010" t="s">
        <v>1219</v>
      </c>
      <c r="B1010" s="1">
        <v>41061.247453703705</v>
      </c>
      <c r="C1010" s="2" t="s">
        <v>1220</v>
      </c>
      <c r="D1010">
        <v>120000</v>
      </c>
      <c r="E1010" t="s">
        <v>1221</v>
      </c>
      <c r="F1010" s="5">
        <v>13745.704467353951</v>
      </c>
      <c r="G1010" s="5">
        <v>24096.385542168671</v>
      </c>
      <c r="H1010" s="5">
        <f ca="1">OFFSET(F1010,0,Brains!$D$1,1,1)</f>
        <v>24096.385542168671</v>
      </c>
      <c r="I1010" t="s">
        <v>1222</v>
      </c>
      <c r="J1010" t="s">
        <v>1864</v>
      </c>
      <c r="K1010" t="s">
        <v>1223</v>
      </c>
      <c r="L1010" t="s">
        <v>1223</v>
      </c>
      <c r="M1010" s="7" t="s">
        <v>3941</v>
      </c>
      <c r="N1010" t="s">
        <v>1866</v>
      </c>
      <c r="O1010" s="7" t="s">
        <v>3921</v>
      </c>
      <c r="P1010" s="17" t="str">
        <f t="shared" ca="1" si="30"/>
        <v>15-29.9K</v>
      </c>
      <c r="Q1010" s="17">
        <v>8</v>
      </c>
      <c r="R1010">
        <v>8</v>
      </c>
      <c r="S1010">
        <v>5</v>
      </c>
      <c r="T1010">
        <v>2</v>
      </c>
      <c r="U1010">
        <v>4</v>
      </c>
      <c r="V1010" s="15">
        <f t="shared" ca="1" si="31"/>
        <v>2</v>
      </c>
    </row>
    <row r="1011" spans="1:22">
      <c r="A1011" t="s">
        <v>147</v>
      </c>
      <c r="B1011" s="1">
        <v>41057.570972222224</v>
      </c>
      <c r="C1011" s="2">
        <v>725</v>
      </c>
      <c r="D1011">
        <v>8700</v>
      </c>
      <c r="E1011" t="s">
        <v>1856</v>
      </c>
      <c r="F1011" s="5">
        <v>8700</v>
      </c>
      <c r="G1011" s="5">
        <v>8700</v>
      </c>
      <c r="H1011" s="5">
        <f ca="1">OFFSET(F1011,0,Brains!$D$1,1,1)</f>
        <v>8700</v>
      </c>
      <c r="I1011" t="s">
        <v>148</v>
      </c>
      <c r="J1011" t="s">
        <v>1864</v>
      </c>
      <c r="K1011" t="s">
        <v>1859</v>
      </c>
      <c r="L1011" t="s">
        <v>1859</v>
      </c>
      <c r="M1011" s="11" t="s">
        <v>3917</v>
      </c>
      <c r="N1011" t="s">
        <v>1873</v>
      </c>
      <c r="O1011" s="7" t="s">
        <v>3921</v>
      </c>
      <c r="P1011" s="17" t="str">
        <f t="shared" ca="1" si="30"/>
        <v>0-14.9K</v>
      </c>
      <c r="Q1011" s="17">
        <v>2.5</v>
      </c>
      <c r="R1011">
        <v>7</v>
      </c>
      <c r="S1011">
        <v>3</v>
      </c>
      <c r="T1011">
        <v>2</v>
      </c>
      <c r="U1011">
        <v>4</v>
      </c>
      <c r="V1011" s="15">
        <f t="shared" ca="1" si="31"/>
        <v>1</v>
      </c>
    </row>
    <row r="1012" spans="1:22">
      <c r="A1012" t="s">
        <v>932</v>
      </c>
      <c r="B1012" s="1">
        <v>41059.095856481479</v>
      </c>
      <c r="C1012" s="2" t="s">
        <v>933</v>
      </c>
      <c r="D1012">
        <v>92000</v>
      </c>
      <c r="E1012" t="s">
        <v>1856</v>
      </c>
      <c r="F1012" s="5">
        <v>92000</v>
      </c>
      <c r="G1012" s="5">
        <v>92000</v>
      </c>
      <c r="H1012" s="5">
        <f ca="1">OFFSET(F1012,0,Brains!$D$1,1,1)</f>
        <v>92000</v>
      </c>
      <c r="I1012" t="s">
        <v>1864</v>
      </c>
      <c r="J1012" t="s">
        <v>1864</v>
      </c>
      <c r="K1012" t="s">
        <v>1869</v>
      </c>
      <c r="L1012" t="s">
        <v>1869</v>
      </c>
      <c r="M1012" s="11" t="s">
        <v>3917</v>
      </c>
      <c r="N1012" t="s">
        <v>1873</v>
      </c>
      <c r="O1012" s="7" t="s">
        <v>3921</v>
      </c>
      <c r="P1012" s="17" t="str">
        <f t="shared" ca="1" si="30"/>
        <v>75-99.9K</v>
      </c>
      <c r="Q1012" s="17">
        <v>2.5</v>
      </c>
      <c r="R1012">
        <v>9</v>
      </c>
      <c r="S1012">
        <v>3</v>
      </c>
      <c r="T1012">
        <v>2</v>
      </c>
      <c r="U1012">
        <v>4</v>
      </c>
      <c r="V1012" s="15">
        <f t="shared" ca="1" si="31"/>
        <v>5</v>
      </c>
    </row>
    <row r="1013" spans="1:22">
      <c r="A1013" t="s">
        <v>3798</v>
      </c>
      <c r="B1013" s="1">
        <v>41056.715694444443</v>
      </c>
      <c r="C1013" s="2">
        <v>36000</v>
      </c>
      <c r="D1013">
        <v>36000</v>
      </c>
      <c r="E1013" t="s">
        <v>1856</v>
      </c>
      <c r="F1013" s="5">
        <v>36000</v>
      </c>
      <c r="G1013" s="5">
        <v>36000</v>
      </c>
      <c r="H1013" s="5">
        <f ca="1">OFFSET(F1013,0,Brains!$D$1,1,1)</f>
        <v>36000</v>
      </c>
      <c r="I1013" t="s">
        <v>3799</v>
      </c>
      <c r="J1013" t="s">
        <v>1864</v>
      </c>
      <c r="K1013" t="s">
        <v>3800</v>
      </c>
      <c r="L1013" t="s">
        <v>3800</v>
      </c>
      <c r="M1013" s="11" t="s">
        <v>3917</v>
      </c>
      <c r="N1013" t="s">
        <v>1873</v>
      </c>
      <c r="O1013" s="7" t="s">
        <v>3921</v>
      </c>
      <c r="P1013" s="17" t="str">
        <f t="shared" ca="1" si="30"/>
        <v>30-49.9K</v>
      </c>
      <c r="Q1013" s="17">
        <v>2.5</v>
      </c>
      <c r="R1013">
        <v>9</v>
      </c>
      <c r="S1013">
        <v>3</v>
      </c>
      <c r="T1013">
        <v>2</v>
      </c>
      <c r="U1013">
        <v>4</v>
      </c>
      <c r="V1013" s="15">
        <f t="shared" ca="1" si="31"/>
        <v>3</v>
      </c>
    </row>
    <row r="1014" spans="1:22">
      <c r="A1014" t="s">
        <v>3070</v>
      </c>
      <c r="B1014" s="1">
        <v>41055.264328703706</v>
      </c>
      <c r="C1014" s="2">
        <v>140000</v>
      </c>
      <c r="D1014">
        <v>140000</v>
      </c>
      <c r="E1014" t="s">
        <v>1856</v>
      </c>
      <c r="F1014" s="5">
        <v>140000</v>
      </c>
      <c r="G1014" s="5">
        <v>140000</v>
      </c>
      <c r="H1014" s="5">
        <f ca="1">OFFSET(F1014,0,Brains!$D$1,1,1)</f>
        <v>140000</v>
      </c>
      <c r="I1014" t="s">
        <v>2528</v>
      </c>
      <c r="J1014" t="s">
        <v>1864</v>
      </c>
      <c r="K1014" t="s">
        <v>1869</v>
      </c>
      <c r="L1014" t="s">
        <v>1869</v>
      </c>
      <c r="M1014" s="11" t="s">
        <v>3917</v>
      </c>
      <c r="N1014" t="s">
        <v>1873</v>
      </c>
      <c r="O1014" s="7" t="s">
        <v>3921</v>
      </c>
      <c r="P1014" s="17" t="str">
        <f t="shared" ca="1" si="30"/>
        <v>100-149.9K</v>
      </c>
      <c r="Q1014" s="17">
        <v>2.5</v>
      </c>
      <c r="R1014">
        <v>10</v>
      </c>
      <c r="S1014">
        <v>3</v>
      </c>
      <c r="T1014">
        <v>2</v>
      </c>
      <c r="U1014">
        <v>4</v>
      </c>
      <c r="V1014" s="15">
        <f t="shared" ca="1" si="31"/>
        <v>6</v>
      </c>
    </row>
    <row r="1015" spans="1:22">
      <c r="A1015" t="s">
        <v>433</v>
      </c>
      <c r="B1015" s="1">
        <v>41057.957233796296</v>
      </c>
      <c r="C1015" s="2">
        <v>48000</v>
      </c>
      <c r="D1015">
        <v>48000</v>
      </c>
      <c r="E1015" t="s">
        <v>1856</v>
      </c>
      <c r="F1015" s="5">
        <v>48000</v>
      </c>
      <c r="G1015" s="5">
        <v>48000</v>
      </c>
      <c r="H1015" s="5">
        <f ca="1">OFFSET(F1015,0,Brains!$D$1,1,1)</f>
        <v>48000</v>
      </c>
      <c r="I1015" t="s">
        <v>434</v>
      </c>
      <c r="J1015" t="s">
        <v>1864</v>
      </c>
      <c r="K1015" t="s">
        <v>3726</v>
      </c>
      <c r="L1015" t="s">
        <v>3726</v>
      </c>
      <c r="M1015" s="11" t="s">
        <v>3917</v>
      </c>
      <c r="N1015" t="s">
        <v>1873</v>
      </c>
      <c r="O1015" s="7" t="s">
        <v>3921</v>
      </c>
      <c r="P1015" s="17" t="str">
        <f t="shared" ca="1" si="30"/>
        <v>30-49.9K</v>
      </c>
      <c r="Q1015" s="17">
        <v>2.5</v>
      </c>
      <c r="R1015">
        <v>10</v>
      </c>
      <c r="S1015">
        <v>3</v>
      </c>
      <c r="T1015">
        <v>2</v>
      </c>
      <c r="U1015">
        <v>4</v>
      </c>
      <c r="V1015" s="15">
        <f t="shared" ca="1" si="31"/>
        <v>3</v>
      </c>
    </row>
    <row r="1016" spans="1:22">
      <c r="A1016" t="s">
        <v>3616</v>
      </c>
      <c r="B1016" s="1">
        <v>41055.960659722223</v>
      </c>
      <c r="C1016" s="2" t="s">
        <v>3617</v>
      </c>
      <c r="D1016">
        <v>30000</v>
      </c>
      <c r="E1016" t="s">
        <v>1856</v>
      </c>
      <c r="F1016" s="5">
        <v>30000</v>
      </c>
      <c r="G1016" s="5">
        <v>30000</v>
      </c>
      <c r="H1016" s="5">
        <f ca="1">OFFSET(F1016,0,Brains!$D$1,1,1)</f>
        <v>30000</v>
      </c>
      <c r="I1016" t="s">
        <v>3618</v>
      </c>
      <c r="J1016" t="s">
        <v>1864</v>
      </c>
      <c r="K1016" t="s">
        <v>3619</v>
      </c>
      <c r="L1016" t="s">
        <v>3192</v>
      </c>
      <c r="M1016" s="11" t="s">
        <v>3918</v>
      </c>
      <c r="N1016" t="s">
        <v>1860</v>
      </c>
      <c r="O1016" s="7" t="s">
        <v>3921</v>
      </c>
      <c r="P1016" s="17" t="str">
        <f t="shared" ca="1" si="30"/>
        <v>30-49.9K</v>
      </c>
      <c r="Q1016" s="17">
        <v>5</v>
      </c>
      <c r="R1016">
        <v>7</v>
      </c>
      <c r="S1016">
        <v>4</v>
      </c>
      <c r="T1016">
        <v>2</v>
      </c>
      <c r="U1016">
        <v>4</v>
      </c>
      <c r="V1016" s="15">
        <f t="shared" ca="1" si="31"/>
        <v>3</v>
      </c>
    </row>
    <row r="1017" spans="1:22">
      <c r="A1017" t="s">
        <v>1510</v>
      </c>
      <c r="B1017" s="1">
        <v>41067.866712962961</v>
      </c>
      <c r="C1017" s="2" t="s">
        <v>1511</v>
      </c>
      <c r="D1017">
        <v>73000</v>
      </c>
      <c r="E1017" t="s">
        <v>1954</v>
      </c>
      <c r="F1017" s="5">
        <v>115061.01386091174</v>
      </c>
      <c r="G1017" s="5">
        <v>108308.60534124629</v>
      </c>
      <c r="H1017" s="5">
        <f ca="1">OFFSET(F1017,0,Brains!$D$1,1,1)</f>
        <v>108308.60534124629</v>
      </c>
      <c r="I1017" t="s">
        <v>2147</v>
      </c>
      <c r="J1017" t="s">
        <v>1864</v>
      </c>
      <c r="K1017" t="s">
        <v>1956</v>
      </c>
      <c r="L1017" t="s">
        <v>1956</v>
      </c>
      <c r="M1017" s="11" t="s">
        <v>3918</v>
      </c>
      <c r="N1017" t="s">
        <v>1860</v>
      </c>
      <c r="O1017" s="7" t="s">
        <v>3921</v>
      </c>
      <c r="P1017" s="17" t="str">
        <f t="shared" ca="1" si="30"/>
        <v>100-149.9K</v>
      </c>
      <c r="Q1017" s="17">
        <v>5</v>
      </c>
      <c r="R1017">
        <v>8</v>
      </c>
      <c r="S1017">
        <v>4</v>
      </c>
      <c r="T1017">
        <v>2</v>
      </c>
      <c r="U1017">
        <v>4</v>
      </c>
      <c r="V1017" s="15">
        <f t="shared" ca="1" si="31"/>
        <v>6</v>
      </c>
    </row>
    <row r="1018" spans="1:22">
      <c r="A1018" t="s">
        <v>1790</v>
      </c>
      <c r="B1018" s="1">
        <v>41079.204930555556</v>
      </c>
      <c r="C1018" s="2">
        <v>28000</v>
      </c>
      <c r="D1018">
        <v>28000</v>
      </c>
      <c r="E1018" t="s">
        <v>1880</v>
      </c>
      <c r="F1018" s="5">
        <v>35571.184291765021</v>
      </c>
      <c r="G1018" s="5">
        <v>35173.581625320963</v>
      </c>
      <c r="H1018" s="5">
        <f ca="1">OFFSET(F1018,0,Brains!$D$1,1,1)</f>
        <v>35173.581625320963</v>
      </c>
      <c r="I1018" t="s">
        <v>2528</v>
      </c>
      <c r="J1018" t="s">
        <v>1864</v>
      </c>
      <c r="K1018" t="s">
        <v>2957</v>
      </c>
      <c r="L1018" t="s">
        <v>2957</v>
      </c>
      <c r="M1018" s="11" t="s">
        <v>3918</v>
      </c>
      <c r="N1018" t="s">
        <v>1860</v>
      </c>
      <c r="O1018" s="7" t="s">
        <v>3921</v>
      </c>
      <c r="P1018" s="17" t="str">
        <f t="shared" ca="1" si="30"/>
        <v>30-49.9K</v>
      </c>
      <c r="Q1018" s="17">
        <v>5</v>
      </c>
      <c r="R1018">
        <v>8</v>
      </c>
      <c r="S1018">
        <v>4</v>
      </c>
      <c r="T1018">
        <v>2</v>
      </c>
      <c r="U1018">
        <v>4</v>
      </c>
      <c r="V1018" s="15">
        <f t="shared" ca="1" si="31"/>
        <v>3</v>
      </c>
    </row>
    <row r="1019" spans="1:22">
      <c r="A1019" t="s">
        <v>222</v>
      </c>
      <c r="B1019" s="1">
        <v>41057.650960648149</v>
      </c>
      <c r="C1019" s="2">
        <v>1200000</v>
      </c>
      <c r="D1019">
        <v>1200000</v>
      </c>
      <c r="E1019" t="s">
        <v>1908</v>
      </c>
      <c r="F1019" s="5">
        <v>21369.500024931083</v>
      </c>
      <c r="G1019" s="5">
        <v>59755.004481625336</v>
      </c>
      <c r="H1019" s="5">
        <f ca="1">OFFSET(F1019,0,Brains!$D$1,1,1)</f>
        <v>59755.004481625336</v>
      </c>
      <c r="I1019" t="s">
        <v>223</v>
      </c>
      <c r="J1019" t="s">
        <v>1864</v>
      </c>
      <c r="K1019" t="s">
        <v>1859</v>
      </c>
      <c r="L1019" t="s">
        <v>1859</v>
      </c>
      <c r="M1019" s="11" t="s">
        <v>3918</v>
      </c>
      <c r="N1019" t="s">
        <v>1860</v>
      </c>
      <c r="O1019" s="7" t="s">
        <v>3921</v>
      </c>
      <c r="P1019" s="17" t="str">
        <f t="shared" ca="1" si="30"/>
        <v>50-74.9K</v>
      </c>
      <c r="Q1019" s="17">
        <v>5</v>
      </c>
      <c r="R1019">
        <v>8</v>
      </c>
      <c r="S1019">
        <v>4</v>
      </c>
      <c r="T1019">
        <v>2</v>
      </c>
      <c r="U1019">
        <v>4</v>
      </c>
      <c r="V1019" s="15">
        <f t="shared" ca="1" si="31"/>
        <v>4</v>
      </c>
    </row>
    <row r="1020" spans="1:22">
      <c r="A1020" t="s">
        <v>1055</v>
      </c>
      <c r="B1020" s="1">
        <v>41059.87027777778</v>
      </c>
      <c r="C1020" s="2" t="s">
        <v>1056</v>
      </c>
      <c r="D1020">
        <v>7200</v>
      </c>
      <c r="E1020" t="s">
        <v>1856</v>
      </c>
      <c r="F1020" s="5">
        <v>7200</v>
      </c>
      <c r="G1020" s="5">
        <v>7200</v>
      </c>
      <c r="H1020" s="5">
        <f ca="1">OFFSET(F1020,0,Brains!$D$1,1,1)</f>
        <v>7200</v>
      </c>
      <c r="I1020" t="s">
        <v>1057</v>
      </c>
      <c r="J1020" t="s">
        <v>1864</v>
      </c>
      <c r="K1020" t="s">
        <v>2152</v>
      </c>
      <c r="L1020" t="s">
        <v>2152</v>
      </c>
      <c r="M1020" s="11" t="s">
        <v>3918</v>
      </c>
      <c r="N1020" t="s">
        <v>1860</v>
      </c>
      <c r="O1020" s="7" t="s">
        <v>3921</v>
      </c>
      <c r="P1020" s="17" t="str">
        <f t="shared" ca="1" si="30"/>
        <v>0-14.9K</v>
      </c>
      <c r="Q1020" s="17">
        <v>5</v>
      </c>
      <c r="R1020">
        <v>8</v>
      </c>
      <c r="S1020">
        <v>4</v>
      </c>
      <c r="T1020">
        <v>2</v>
      </c>
      <c r="U1020">
        <v>4</v>
      </c>
      <c r="V1020" s="15">
        <f t="shared" ca="1" si="31"/>
        <v>1</v>
      </c>
    </row>
    <row r="1021" spans="1:22">
      <c r="A1021" t="s">
        <v>1689</v>
      </c>
      <c r="B1021" s="1">
        <v>41074.303252314814</v>
      </c>
      <c r="C1021" s="2">
        <v>80000</v>
      </c>
      <c r="D1021">
        <v>80000</v>
      </c>
      <c r="E1021" t="s">
        <v>1856</v>
      </c>
      <c r="F1021" s="5">
        <v>80000</v>
      </c>
      <c r="G1021" s="5">
        <v>80000</v>
      </c>
      <c r="H1021" s="5">
        <f ca="1">OFFSET(F1021,0,Brains!$D$1,1,1)</f>
        <v>80000</v>
      </c>
      <c r="I1021" t="s">
        <v>1690</v>
      </c>
      <c r="J1021" t="s">
        <v>1864</v>
      </c>
      <c r="K1021" t="s">
        <v>1869</v>
      </c>
      <c r="L1021" t="s">
        <v>1869</v>
      </c>
      <c r="M1021" s="11" t="s">
        <v>3918</v>
      </c>
      <c r="N1021" t="s">
        <v>1860</v>
      </c>
      <c r="O1021" s="7" t="s">
        <v>3921</v>
      </c>
      <c r="P1021" s="17" t="str">
        <f t="shared" ca="1" si="30"/>
        <v>75-99.9K</v>
      </c>
      <c r="Q1021" s="17">
        <v>5</v>
      </c>
      <c r="R1021">
        <v>9</v>
      </c>
      <c r="S1021">
        <v>4</v>
      </c>
      <c r="T1021">
        <v>2</v>
      </c>
      <c r="U1021">
        <v>4</v>
      </c>
      <c r="V1021" s="15">
        <f t="shared" ca="1" si="31"/>
        <v>5</v>
      </c>
    </row>
    <row r="1022" spans="1:22">
      <c r="A1022" t="s">
        <v>107</v>
      </c>
      <c r="B1022" s="1">
        <v>41057.518541666665</v>
      </c>
      <c r="C1022" s="2">
        <v>65000</v>
      </c>
      <c r="D1022">
        <v>65000</v>
      </c>
      <c r="E1022" t="s">
        <v>1856</v>
      </c>
      <c r="F1022" s="5">
        <v>65000</v>
      </c>
      <c r="G1022" s="5">
        <v>65000</v>
      </c>
      <c r="H1022" s="5">
        <f ca="1">OFFSET(F1022,0,Brains!$D$1,1,1)</f>
        <v>65000</v>
      </c>
      <c r="I1022" t="s">
        <v>1864</v>
      </c>
      <c r="J1022" t="s">
        <v>1864</v>
      </c>
      <c r="K1022" t="s">
        <v>1869</v>
      </c>
      <c r="L1022" t="s">
        <v>1869</v>
      </c>
      <c r="M1022" s="11" t="s">
        <v>3918</v>
      </c>
      <c r="N1022" t="s">
        <v>1860</v>
      </c>
      <c r="O1022" s="7" t="s">
        <v>3921</v>
      </c>
      <c r="P1022" s="17" t="str">
        <f t="shared" ca="1" si="30"/>
        <v>50-74.9K</v>
      </c>
      <c r="Q1022" s="17">
        <v>5</v>
      </c>
      <c r="R1022">
        <v>9</v>
      </c>
      <c r="S1022">
        <v>4</v>
      </c>
      <c r="T1022">
        <v>2</v>
      </c>
      <c r="U1022">
        <v>4</v>
      </c>
      <c r="V1022" s="15">
        <f t="shared" ca="1" si="31"/>
        <v>4</v>
      </c>
    </row>
    <row r="1023" spans="1:22">
      <c r="A1023" t="s">
        <v>1271</v>
      </c>
      <c r="B1023" s="1">
        <v>41062.061851851853</v>
      </c>
      <c r="C1023" s="2" t="s">
        <v>1272</v>
      </c>
      <c r="D1023">
        <v>50000</v>
      </c>
      <c r="E1023" t="s">
        <v>1880</v>
      </c>
      <c r="F1023" s="5">
        <v>63519.971949580387</v>
      </c>
      <c r="G1023" s="5">
        <v>62809.967188073148</v>
      </c>
      <c r="H1023" s="5">
        <f ca="1">OFFSET(F1023,0,Brains!$D$1,1,1)</f>
        <v>62809.967188073148</v>
      </c>
      <c r="I1023" t="s">
        <v>1864</v>
      </c>
      <c r="J1023" t="s">
        <v>1864</v>
      </c>
      <c r="K1023" t="s">
        <v>2998</v>
      </c>
      <c r="L1023" t="s">
        <v>2998</v>
      </c>
      <c r="M1023" s="11" t="s">
        <v>3918</v>
      </c>
      <c r="N1023" t="s">
        <v>1860</v>
      </c>
      <c r="O1023" s="7" t="s">
        <v>3921</v>
      </c>
      <c r="P1023" s="17" t="str">
        <f t="shared" ca="1" si="30"/>
        <v>50-74.9K</v>
      </c>
      <c r="Q1023" s="17">
        <v>5</v>
      </c>
      <c r="R1023">
        <v>10</v>
      </c>
      <c r="S1023">
        <v>4</v>
      </c>
      <c r="T1023">
        <v>2</v>
      </c>
      <c r="U1023">
        <v>4</v>
      </c>
      <c r="V1023" s="15">
        <f t="shared" ca="1" si="31"/>
        <v>4</v>
      </c>
    </row>
    <row r="1024" spans="1:22">
      <c r="A1024" t="s">
        <v>720</v>
      </c>
      <c r="B1024" s="1">
        <v>41058.657141203701</v>
      </c>
      <c r="C1024" s="2" t="s">
        <v>721</v>
      </c>
      <c r="D1024">
        <v>24000</v>
      </c>
      <c r="E1024" t="s">
        <v>1880</v>
      </c>
      <c r="F1024" s="5">
        <v>30489.586535798586</v>
      </c>
      <c r="G1024" s="5">
        <v>30148.784250275108</v>
      </c>
      <c r="H1024" s="5">
        <f ca="1">OFFSET(F1024,0,Brains!$D$1,1,1)</f>
        <v>30148.784250275108</v>
      </c>
      <c r="I1024" t="s">
        <v>1864</v>
      </c>
      <c r="J1024" t="s">
        <v>1864</v>
      </c>
      <c r="K1024" t="s">
        <v>471</v>
      </c>
      <c r="L1024" t="s">
        <v>471</v>
      </c>
      <c r="M1024" s="11" t="s">
        <v>3918</v>
      </c>
      <c r="N1024" t="s">
        <v>1860</v>
      </c>
      <c r="O1024" s="7" t="s">
        <v>3921</v>
      </c>
      <c r="P1024" s="17" t="str">
        <f t="shared" ca="1" si="30"/>
        <v>30-49.9K</v>
      </c>
      <c r="Q1024" s="17">
        <v>5</v>
      </c>
      <c r="R1024">
        <v>10</v>
      </c>
      <c r="S1024">
        <v>4</v>
      </c>
      <c r="T1024">
        <v>2</v>
      </c>
      <c r="U1024">
        <v>4</v>
      </c>
      <c r="V1024" s="15">
        <f t="shared" ca="1" si="31"/>
        <v>3</v>
      </c>
    </row>
    <row r="1025" spans="1:22">
      <c r="A1025" t="s">
        <v>2252</v>
      </c>
      <c r="B1025" s="1">
        <v>41055.03329861111</v>
      </c>
      <c r="C1025" s="2">
        <v>145000</v>
      </c>
      <c r="D1025">
        <v>145000</v>
      </c>
      <c r="E1025" t="s">
        <v>1856</v>
      </c>
      <c r="F1025" s="5">
        <v>145000</v>
      </c>
      <c r="G1025" s="5">
        <v>145000</v>
      </c>
      <c r="H1025" s="5">
        <f ca="1">OFFSET(F1025,0,Brains!$D$1,1,1)</f>
        <v>145000</v>
      </c>
      <c r="I1025" t="s">
        <v>2253</v>
      </c>
      <c r="J1025" t="s">
        <v>1864</v>
      </c>
      <c r="K1025" t="s">
        <v>1918</v>
      </c>
      <c r="L1025" t="s">
        <v>1918</v>
      </c>
      <c r="M1025" s="7" t="s">
        <v>3941</v>
      </c>
      <c r="N1025" t="s">
        <v>1866</v>
      </c>
      <c r="P1025" s="15" t="str">
        <f t="shared" ca="1" si="30"/>
        <v>100-149.9K</v>
      </c>
      <c r="Q1025" s="15">
        <v>8</v>
      </c>
      <c r="S1025">
        <v>5</v>
      </c>
      <c r="U1025">
        <v>4</v>
      </c>
      <c r="V1025" s="15">
        <f t="shared" ca="1" si="31"/>
        <v>6</v>
      </c>
    </row>
    <row r="1026" spans="1:22">
      <c r="A1026" t="s">
        <v>2526</v>
      </c>
      <c r="B1026" s="1">
        <v>41055.057500000003</v>
      </c>
      <c r="C1026" s="2" t="s">
        <v>2527</v>
      </c>
      <c r="D1026">
        <v>65000</v>
      </c>
      <c r="E1026" t="s">
        <v>1880</v>
      </c>
      <c r="F1026" s="5">
        <v>82575.963534454509</v>
      </c>
      <c r="G1026" s="5">
        <v>81652.957344495095</v>
      </c>
      <c r="H1026" s="5">
        <f ca="1">OFFSET(F1026,0,Brains!$D$1,1,1)</f>
        <v>81652.957344495095</v>
      </c>
      <c r="I1026" t="s">
        <v>2528</v>
      </c>
      <c r="J1026" t="s">
        <v>1864</v>
      </c>
      <c r="K1026" t="s">
        <v>2529</v>
      </c>
      <c r="L1026" t="s">
        <v>1883</v>
      </c>
      <c r="M1026" s="7" t="s">
        <v>3941</v>
      </c>
      <c r="N1026" t="s">
        <v>1866</v>
      </c>
      <c r="P1026" s="15" t="str">
        <f t="shared" ref="P1026:P1089" ca="1" si="32">IF(H1026&lt;15000,"0-14.9K",IF(H1026&lt;30000,"15-29.9K",IF(H1026&lt;50000,"30-49.9K",IF(H1026&lt;75000,"50-74.9K",IF(H1026&lt;100000,"75-99.9K",IF(H1026&lt;150000,"100-149.9K",IF(H1026&lt;250000,"150-249.9K","250K+")))))))</f>
        <v>75-99.9K</v>
      </c>
      <c r="Q1026" s="15">
        <v>8</v>
      </c>
      <c r="S1026">
        <v>5</v>
      </c>
      <c r="U1026">
        <v>4</v>
      </c>
      <c r="V1026" s="15">
        <f t="shared" ref="V1026:V1089" ca="1" si="33">IF(H1026&lt;15000,1,IF(H1026&lt;30000,2,IF(H1026&lt;50000,3,IF(H1026&lt;75000,4,IF(H1026&lt;100000,5,IF(H1026&lt;150000,6,IF(H1026&lt;250000,7,8)))))))</f>
        <v>5</v>
      </c>
    </row>
    <row r="1027" spans="1:22">
      <c r="A1027" t="s">
        <v>1861</v>
      </c>
      <c r="B1027" s="1">
        <v>41054.13417824074</v>
      </c>
      <c r="C1027" s="2" t="s">
        <v>1862</v>
      </c>
      <c r="D1027">
        <v>15000</v>
      </c>
      <c r="E1027" t="s">
        <v>1856</v>
      </c>
      <c r="F1027" s="5">
        <v>15000</v>
      </c>
      <c r="G1027" s="5">
        <v>15000</v>
      </c>
      <c r="H1027" s="5">
        <f ca="1">OFFSET(F1027,0,Brains!$D$1,1,1)</f>
        <v>15000</v>
      </c>
      <c r="I1027" t="s">
        <v>1863</v>
      </c>
      <c r="J1027" t="s">
        <v>1864</v>
      </c>
      <c r="K1027" t="s">
        <v>1865</v>
      </c>
      <c r="L1027" t="s">
        <v>3585</v>
      </c>
      <c r="M1027" s="7" t="s">
        <v>3941</v>
      </c>
      <c r="N1027" t="s">
        <v>1866</v>
      </c>
      <c r="P1027" s="15" t="str">
        <f t="shared" ca="1" si="32"/>
        <v>15-29.9K</v>
      </c>
      <c r="Q1027" s="15">
        <v>8</v>
      </c>
      <c r="S1027">
        <v>5</v>
      </c>
      <c r="U1027">
        <v>4</v>
      </c>
      <c r="V1027" s="15">
        <f t="shared" ca="1" si="33"/>
        <v>2</v>
      </c>
    </row>
    <row r="1028" spans="1:22">
      <c r="A1028" t="s">
        <v>2829</v>
      </c>
      <c r="B1028" s="1">
        <v>41055.117037037038</v>
      </c>
      <c r="C1028" s="2">
        <v>110000</v>
      </c>
      <c r="D1028">
        <v>110000</v>
      </c>
      <c r="E1028" t="s">
        <v>1979</v>
      </c>
      <c r="F1028" s="5">
        <v>108169.76753333595</v>
      </c>
      <c r="G1028" s="5">
        <v>88070.456365092061</v>
      </c>
      <c r="H1028" s="5">
        <f ca="1">OFFSET(F1028,0,Brains!$D$1,1,1)</f>
        <v>88070.456365092061</v>
      </c>
      <c r="I1028" t="s">
        <v>2830</v>
      </c>
      <c r="J1028" t="s">
        <v>1864</v>
      </c>
      <c r="K1028" t="s">
        <v>2831</v>
      </c>
      <c r="L1028" t="s">
        <v>1981</v>
      </c>
      <c r="M1028" s="11" t="s">
        <v>3917</v>
      </c>
      <c r="N1028" t="s">
        <v>1873</v>
      </c>
      <c r="P1028" s="15" t="str">
        <f t="shared" ca="1" si="32"/>
        <v>75-99.9K</v>
      </c>
      <c r="Q1028" s="15">
        <v>2.5</v>
      </c>
      <c r="S1028">
        <v>3</v>
      </c>
      <c r="U1028">
        <v>4</v>
      </c>
      <c r="V1028" s="15">
        <f t="shared" ca="1" si="33"/>
        <v>5</v>
      </c>
    </row>
    <row r="1029" spans="1:22">
      <c r="A1029" t="s">
        <v>2800</v>
      </c>
      <c r="B1029" s="1">
        <v>41055.106365740743</v>
      </c>
      <c r="C1029" s="2" t="s">
        <v>2801</v>
      </c>
      <c r="D1029">
        <v>65000</v>
      </c>
      <c r="E1029" t="s">
        <v>1954</v>
      </c>
      <c r="F1029" s="5">
        <v>102451.58768437347</v>
      </c>
      <c r="G1029" s="5">
        <v>96439.16913946587</v>
      </c>
      <c r="H1029" s="5">
        <f ca="1">OFFSET(F1029,0,Brains!$D$1,1,1)</f>
        <v>96439.16913946587</v>
      </c>
      <c r="I1029" t="s">
        <v>2147</v>
      </c>
      <c r="J1029" t="s">
        <v>1864</v>
      </c>
      <c r="K1029" t="s">
        <v>1956</v>
      </c>
      <c r="L1029" t="s">
        <v>1956</v>
      </c>
      <c r="M1029" s="11" t="s">
        <v>3917</v>
      </c>
      <c r="N1029" t="s">
        <v>1873</v>
      </c>
      <c r="P1029" s="15" t="str">
        <f t="shared" ca="1" si="32"/>
        <v>75-99.9K</v>
      </c>
      <c r="Q1029" s="15">
        <v>2.5</v>
      </c>
      <c r="S1029">
        <v>3</v>
      </c>
      <c r="U1029">
        <v>4</v>
      </c>
      <c r="V1029" s="15">
        <f t="shared" ca="1" si="33"/>
        <v>5</v>
      </c>
    </row>
    <row r="1030" spans="1:22">
      <c r="A1030" t="s">
        <v>1870</v>
      </c>
      <c r="B1030" s="1">
        <v>41054.141458333332</v>
      </c>
      <c r="C1030" s="2">
        <v>48000</v>
      </c>
      <c r="D1030">
        <v>48000</v>
      </c>
      <c r="E1030" t="s">
        <v>1856</v>
      </c>
      <c r="F1030" s="5">
        <v>48000</v>
      </c>
      <c r="G1030" s="5">
        <v>48000</v>
      </c>
      <c r="H1030" s="5">
        <f ca="1">OFFSET(F1030,0,Brains!$D$1,1,1)</f>
        <v>48000</v>
      </c>
      <c r="I1030" t="s">
        <v>1871</v>
      </c>
      <c r="J1030" t="s">
        <v>1864</v>
      </c>
      <c r="K1030" t="s">
        <v>1872</v>
      </c>
      <c r="L1030" t="s">
        <v>1872</v>
      </c>
      <c r="M1030" s="11" t="s">
        <v>3917</v>
      </c>
      <c r="N1030" t="s">
        <v>1873</v>
      </c>
      <c r="P1030" s="15" t="str">
        <f t="shared" ca="1" si="32"/>
        <v>30-49.9K</v>
      </c>
      <c r="Q1030" s="15">
        <v>2.5</v>
      </c>
      <c r="S1030">
        <v>3</v>
      </c>
      <c r="U1030">
        <v>4</v>
      </c>
      <c r="V1030" s="15">
        <f t="shared" ca="1" si="33"/>
        <v>3</v>
      </c>
    </row>
    <row r="1031" spans="1:22">
      <c r="A1031" t="s">
        <v>2313</v>
      </c>
      <c r="B1031" s="1">
        <v>41055.036539351851</v>
      </c>
      <c r="C1031" s="2" t="s">
        <v>2314</v>
      </c>
      <c r="D1031">
        <v>99000</v>
      </c>
      <c r="E1031" t="s">
        <v>1856</v>
      </c>
      <c r="F1031" s="5">
        <v>99000</v>
      </c>
      <c r="G1031" s="5">
        <v>99000</v>
      </c>
      <c r="H1031" s="5">
        <f ca="1">OFFSET(F1031,0,Brains!$D$1,1,1)</f>
        <v>99000</v>
      </c>
      <c r="I1031" t="s">
        <v>2315</v>
      </c>
      <c r="J1031" t="s">
        <v>1864</v>
      </c>
      <c r="K1031" t="s">
        <v>1869</v>
      </c>
      <c r="L1031" t="s">
        <v>1869</v>
      </c>
      <c r="M1031" s="11" t="s">
        <v>3918</v>
      </c>
      <c r="N1031" t="s">
        <v>1860</v>
      </c>
      <c r="P1031" s="15" t="str">
        <f t="shared" ca="1" si="32"/>
        <v>75-99.9K</v>
      </c>
      <c r="Q1031" s="15">
        <v>5</v>
      </c>
      <c r="S1031">
        <v>4</v>
      </c>
      <c r="U1031">
        <v>4</v>
      </c>
      <c r="V1031" s="15">
        <f t="shared" ca="1" si="33"/>
        <v>5</v>
      </c>
    </row>
    <row r="1032" spans="1:22">
      <c r="A1032" t="s">
        <v>2146</v>
      </c>
      <c r="B1032" s="1">
        <v>41055.028877314813</v>
      </c>
      <c r="C1032" s="2">
        <v>85000</v>
      </c>
      <c r="D1032">
        <v>85000</v>
      </c>
      <c r="E1032" t="s">
        <v>1856</v>
      </c>
      <c r="F1032" s="5">
        <v>85000</v>
      </c>
      <c r="G1032" s="5">
        <v>85000</v>
      </c>
      <c r="H1032" s="5">
        <f ca="1">OFFSET(F1032,0,Brains!$D$1,1,1)</f>
        <v>85000</v>
      </c>
      <c r="I1032" t="s">
        <v>2147</v>
      </c>
      <c r="J1032" t="s">
        <v>1864</v>
      </c>
      <c r="K1032" t="s">
        <v>2143</v>
      </c>
      <c r="L1032" t="s">
        <v>2143</v>
      </c>
      <c r="M1032" s="11" t="s">
        <v>3918</v>
      </c>
      <c r="N1032" t="s">
        <v>1860</v>
      </c>
      <c r="P1032" s="15" t="str">
        <f t="shared" ca="1" si="32"/>
        <v>75-99.9K</v>
      </c>
      <c r="Q1032" s="15">
        <v>5</v>
      </c>
      <c r="S1032">
        <v>4</v>
      </c>
      <c r="U1032">
        <v>4</v>
      </c>
      <c r="V1032" s="15">
        <f t="shared" ca="1" si="33"/>
        <v>5</v>
      </c>
    </row>
    <row r="1033" spans="1:22">
      <c r="A1033" t="s">
        <v>2364</v>
      </c>
      <c r="B1033" s="1">
        <v>41055.040092592593</v>
      </c>
      <c r="C1033" s="2">
        <v>72500</v>
      </c>
      <c r="D1033">
        <v>72500</v>
      </c>
      <c r="E1033" t="s">
        <v>1856</v>
      </c>
      <c r="F1033" s="5">
        <v>72500</v>
      </c>
      <c r="G1033" s="5">
        <v>72500</v>
      </c>
      <c r="H1033" s="5">
        <f ca="1">OFFSET(F1033,0,Brains!$D$1,1,1)</f>
        <v>72500</v>
      </c>
      <c r="I1033" t="s">
        <v>2365</v>
      </c>
      <c r="J1033" t="s">
        <v>1864</v>
      </c>
      <c r="K1033" t="s">
        <v>1869</v>
      </c>
      <c r="L1033" t="s">
        <v>1869</v>
      </c>
      <c r="M1033" s="11" t="s">
        <v>3918</v>
      </c>
      <c r="N1033" t="s">
        <v>1860</v>
      </c>
      <c r="P1033" s="15" t="str">
        <f t="shared" ca="1" si="32"/>
        <v>50-74.9K</v>
      </c>
      <c r="Q1033" s="15">
        <v>5</v>
      </c>
      <c r="S1033">
        <v>4</v>
      </c>
      <c r="U1033">
        <v>4</v>
      </c>
      <c r="V1033" s="15">
        <f t="shared" ca="1" si="33"/>
        <v>4</v>
      </c>
    </row>
    <row r="1034" spans="1:22">
      <c r="A1034" t="s">
        <v>2734</v>
      </c>
      <c r="B1034" s="1">
        <v>41055.088148148148</v>
      </c>
      <c r="C1034" s="2">
        <v>72000</v>
      </c>
      <c r="D1034">
        <v>72000</v>
      </c>
      <c r="E1034" t="s">
        <v>1979</v>
      </c>
      <c r="F1034" s="5">
        <v>70802.029658183528</v>
      </c>
      <c r="G1034" s="5">
        <v>57646.116893514802</v>
      </c>
      <c r="H1034" s="5">
        <f ca="1">OFFSET(F1034,0,Brains!$D$1,1,1)</f>
        <v>57646.116893514802</v>
      </c>
      <c r="I1034" t="s">
        <v>1864</v>
      </c>
      <c r="J1034" t="s">
        <v>1864</v>
      </c>
      <c r="K1034" t="s">
        <v>1981</v>
      </c>
      <c r="L1034" t="s">
        <v>1981</v>
      </c>
      <c r="M1034" s="11" t="s">
        <v>3918</v>
      </c>
      <c r="N1034" t="s">
        <v>1860</v>
      </c>
      <c r="P1034" s="15" t="str">
        <f t="shared" ca="1" si="32"/>
        <v>50-74.9K</v>
      </c>
      <c r="Q1034" s="15">
        <v>5</v>
      </c>
      <c r="S1034">
        <v>4</v>
      </c>
      <c r="U1034">
        <v>4</v>
      </c>
      <c r="V1034" s="15">
        <f t="shared" ca="1" si="33"/>
        <v>4</v>
      </c>
    </row>
    <row r="1035" spans="1:22">
      <c r="A1035" t="s">
        <v>2952</v>
      </c>
      <c r="B1035" s="1">
        <v>41055.174224537041</v>
      </c>
      <c r="C1035" s="2">
        <v>55500</v>
      </c>
      <c r="D1035">
        <v>55500</v>
      </c>
      <c r="E1035" t="s">
        <v>1856</v>
      </c>
      <c r="F1035" s="5">
        <v>55500</v>
      </c>
      <c r="G1035" s="5">
        <v>55500</v>
      </c>
      <c r="H1035" s="5">
        <f ca="1">OFFSET(F1035,0,Brains!$D$1,1,1)</f>
        <v>55500</v>
      </c>
      <c r="I1035" t="s">
        <v>2953</v>
      </c>
      <c r="J1035" t="s">
        <v>1864</v>
      </c>
      <c r="K1035" t="s">
        <v>2143</v>
      </c>
      <c r="L1035" t="s">
        <v>2143</v>
      </c>
      <c r="M1035" s="11" t="s">
        <v>3918</v>
      </c>
      <c r="N1035" t="s">
        <v>1860</v>
      </c>
      <c r="P1035" s="15" t="str">
        <f t="shared" ca="1" si="32"/>
        <v>50-74.9K</v>
      </c>
      <c r="Q1035" s="15">
        <v>5</v>
      </c>
      <c r="S1035">
        <v>4</v>
      </c>
      <c r="U1035">
        <v>4</v>
      </c>
      <c r="V1035" s="15">
        <f t="shared" ca="1" si="33"/>
        <v>4</v>
      </c>
    </row>
    <row r="1036" spans="1:22">
      <c r="A1036" t="s">
        <v>2533</v>
      </c>
      <c r="B1036" s="1">
        <v>41055.058136574073</v>
      </c>
      <c r="C1036" s="2">
        <v>85000</v>
      </c>
      <c r="D1036">
        <v>85000</v>
      </c>
      <c r="E1036" t="s">
        <v>1856</v>
      </c>
      <c r="F1036" s="5">
        <v>85000</v>
      </c>
      <c r="G1036" s="5">
        <v>85000</v>
      </c>
      <c r="H1036" s="5">
        <f ca="1">OFFSET(F1036,0,Brains!$D$1,1,1)</f>
        <v>85000</v>
      </c>
      <c r="I1036" t="s">
        <v>2534</v>
      </c>
      <c r="J1036" t="s">
        <v>1864</v>
      </c>
      <c r="K1036" t="s">
        <v>1869</v>
      </c>
      <c r="L1036" t="s">
        <v>1869</v>
      </c>
      <c r="M1036" t="s">
        <v>3941</v>
      </c>
      <c r="N1036" t="s">
        <v>1866</v>
      </c>
      <c r="P1036" s="15" t="str">
        <f t="shared" ca="1" si="32"/>
        <v>75-99.9K</v>
      </c>
      <c r="Q1036" s="15">
        <v>8</v>
      </c>
      <c r="S1036">
        <v>5</v>
      </c>
      <c r="U1036">
        <v>4</v>
      </c>
      <c r="V1036" s="15">
        <f t="shared" ca="1" si="33"/>
        <v>5</v>
      </c>
    </row>
    <row r="1037" spans="1:22">
      <c r="A1037" t="s">
        <v>1354</v>
      </c>
      <c r="B1037" s="1">
        <v>41064.10429398148</v>
      </c>
      <c r="C1037" s="2">
        <v>10000</v>
      </c>
      <c r="D1037">
        <v>10000</v>
      </c>
      <c r="E1037" t="s">
        <v>1856</v>
      </c>
      <c r="F1037" s="5">
        <v>10000</v>
      </c>
      <c r="G1037" s="5">
        <v>10000</v>
      </c>
      <c r="H1037" s="5">
        <f ca="1">OFFSET(F1037,0,Brains!$D$1,1,1)</f>
        <v>10000</v>
      </c>
      <c r="I1037" t="s">
        <v>2666</v>
      </c>
      <c r="J1037" t="s">
        <v>1891</v>
      </c>
      <c r="K1037" t="s">
        <v>1859</v>
      </c>
      <c r="L1037" t="s">
        <v>1859</v>
      </c>
      <c r="M1037" s="7" t="s">
        <v>3941</v>
      </c>
      <c r="N1037" t="s">
        <v>1866</v>
      </c>
      <c r="O1037" s="7" t="s">
        <v>3920</v>
      </c>
      <c r="P1037" s="17" t="str">
        <f t="shared" ca="1" si="32"/>
        <v>0-14.9K</v>
      </c>
      <c r="Q1037" s="17">
        <v>8</v>
      </c>
      <c r="R1037">
        <v>1</v>
      </c>
      <c r="S1037">
        <v>5</v>
      </c>
      <c r="T1037">
        <v>1</v>
      </c>
      <c r="U1037">
        <v>5</v>
      </c>
      <c r="V1037" s="15">
        <f t="shared" ca="1" si="33"/>
        <v>1</v>
      </c>
    </row>
    <row r="1038" spans="1:22">
      <c r="A1038" t="s">
        <v>77</v>
      </c>
      <c r="B1038" s="1">
        <v>41057.481307870374</v>
      </c>
      <c r="C1038" s="2" t="s">
        <v>18</v>
      </c>
      <c r="D1038">
        <v>70000</v>
      </c>
      <c r="E1038" t="s">
        <v>1973</v>
      </c>
      <c r="F1038" s="5">
        <v>71393.675948184507</v>
      </c>
      <c r="G1038" s="5">
        <v>44529.262086513998</v>
      </c>
      <c r="H1038" s="5">
        <f ca="1">OFFSET(F1038,0,Brains!$D$1,1,1)</f>
        <v>44529.262086513998</v>
      </c>
      <c r="I1038" t="s">
        <v>2074</v>
      </c>
      <c r="J1038" t="s">
        <v>1891</v>
      </c>
      <c r="K1038" t="s">
        <v>1975</v>
      </c>
      <c r="L1038" t="s">
        <v>1975</v>
      </c>
      <c r="M1038" s="7" t="s">
        <v>3941</v>
      </c>
      <c r="N1038" t="s">
        <v>1866</v>
      </c>
      <c r="O1038" s="7" t="s">
        <v>3920</v>
      </c>
      <c r="P1038" s="17" t="str">
        <f t="shared" ca="1" si="32"/>
        <v>30-49.9K</v>
      </c>
      <c r="Q1038" s="17">
        <v>8</v>
      </c>
      <c r="R1038">
        <v>2</v>
      </c>
      <c r="S1038">
        <v>5</v>
      </c>
      <c r="T1038">
        <v>1</v>
      </c>
      <c r="U1038">
        <v>5</v>
      </c>
      <c r="V1038" s="15">
        <f t="shared" ca="1" si="33"/>
        <v>3</v>
      </c>
    </row>
    <row r="1039" spans="1:22">
      <c r="A1039" t="s">
        <v>917</v>
      </c>
      <c r="B1039" s="1">
        <v>41059.050405092596</v>
      </c>
      <c r="C1039" s="2" t="s">
        <v>918</v>
      </c>
      <c r="D1039">
        <v>750000</v>
      </c>
      <c r="E1039" t="s">
        <v>1908</v>
      </c>
      <c r="F1039" s="5">
        <v>13355.937515581925</v>
      </c>
      <c r="G1039" s="5">
        <v>37346.877801015835</v>
      </c>
      <c r="H1039" s="5">
        <f ca="1">OFFSET(F1039,0,Brains!$D$1,1,1)</f>
        <v>37346.877801015835</v>
      </c>
      <c r="I1039" t="s">
        <v>919</v>
      </c>
      <c r="J1039" t="s">
        <v>1891</v>
      </c>
      <c r="K1039" t="s">
        <v>1859</v>
      </c>
      <c r="L1039" t="s">
        <v>1859</v>
      </c>
      <c r="M1039" s="11" t="s">
        <v>3916</v>
      </c>
      <c r="N1039" t="s">
        <v>1884</v>
      </c>
      <c r="O1039" s="7" t="s">
        <v>3920</v>
      </c>
      <c r="P1039" s="17" t="str">
        <f t="shared" ca="1" si="32"/>
        <v>30-49.9K</v>
      </c>
      <c r="Q1039" s="17">
        <v>1.5</v>
      </c>
      <c r="R1039">
        <v>1</v>
      </c>
      <c r="S1039">
        <v>2</v>
      </c>
      <c r="T1039">
        <v>1</v>
      </c>
      <c r="U1039">
        <v>5</v>
      </c>
      <c r="V1039" s="15">
        <f t="shared" ca="1" si="33"/>
        <v>3</v>
      </c>
    </row>
    <row r="1040" spans="1:22">
      <c r="A1040" t="s">
        <v>1437</v>
      </c>
      <c r="B1040" s="1">
        <v>41065.920254629629</v>
      </c>
      <c r="C1040" s="2">
        <v>75000</v>
      </c>
      <c r="D1040">
        <v>75000</v>
      </c>
      <c r="E1040" t="s">
        <v>1856</v>
      </c>
      <c r="F1040" s="5">
        <v>75000</v>
      </c>
      <c r="G1040" s="5">
        <v>75000</v>
      </c>
      <c r="H1040" s="5">
        <f ca="1">OFFSET(F1040,0,Brains!$D$1,1,1)</f>
        <v>75000</v>
      </c>
      <c r="I1040" t="s">
        <v>1438</v>
      </c>
      <c r="J1040" t="s">
        <v>1891</v>
      </c>
      <c r="K1040" t="s">
        <v>1869</v>
      </c>
      <c r="L1040" t="s">
        <v>1869</v>
      </c>
      <c r="M1040" s="11" t="s">
        <v>3917</v>
      </c>
      <c r="N1040" t="s">
        <v>1873</v>
      </c>
      <c r="O1040" s="7" t="s">
        <v>3920</v>
      </c>
      <c r="P1040" s="17" t="str">
        <f t="shared" ca="1" si="32"/>
        <v>75-99.9K</v>
      </c>
      <c r="Q1040" s="17">
        <v>2.5</v>
      </c>
      <c r="R1040">
        <v>3</v>
      </c>
      <c r="S1040">
        <v>3</v>
      </c>
      <c r="T1040">
        <v>1</v>
      </c>
      <c r="U1040">
        <v>5</v>
      </c>
      <c r="V1040" s="15">
        <f t="shared" ca="1" si="33"/>
        <v>5</v>
      </c>
    </row>
    <row r="1041" spans="1:22">
      <c r="A1041" t="s">
        <v>1834</v>
      </c>
      <c r="B1041" s="1">
        <v>41080.873877314814</v>
      </c>
      <c r="C1041" s="2">
        <v>8400</v>
      </c>
      <c r="D1041">
        <v>100800</v>
      </c>
      <c r="E1041" t="s">
        <v>1856</v>
      </c>
      <c r="F1041" s="5">
        <v>100800</v>
      </c>
      <c r="G1041" s="5">
        <v>100800</v>
      </c>
      <c r="H1041" s="5">
        <f ca="1">OFFSET(F1041,0,Brains!$D$1,1,1)</f>
        <v>100800</v>
      </c>
      <c r="I1041" t="s">
        <v>1245</v>
      </c>
      <c r="J1041" t="s">
        <v>1891</v>
      </c>
      <c r="K1041" t="s">
        <v>1835</v>
      </c>
      <c r="L1041" t="s">
        <v>1835</v>
      </c>
      <c r="M1041" s="11" t="s">
        <v>3918</v>
      </c>
      <c r="N1041" t="s">
        <v>1860</v>
      </c>
      <c r="O1041" s="7" t="s">
        <v>3920</v>
      </c>
      <c r="P1041" s="17" t="str">
        <f t="shared" ca="1" si="32"/>
        <v>100-149.9K</v>
      </c>
      <c r="Q1041" s="17">
        <v>5</v>
      </c>
      <c r="R1041">
        <v>4</v>
      </c>
      <c r="S1041">
        <v>4</v>
      </c>
      <c r="T1041">
        <v>1</v>
      </c>
      <c r="U1041">
        <v>5</v>
      </c>
      <c r="V1041" s="15">
        <f t="shared" ca="1" si="33"/>
        <v>6</v>
      </c>
    </row>
    <row r="1042" spans="1:22">
      <c r="A1042" t="s">
        <v>3335</v>
      </c>
      <c r="B1042" s="1">
        <v>41055.563425925924</v>
      </c>
      <c r="C1042" s="2" t="s">
        <v>3336</v>
      </c>
      <c r="D1042">
        <v>150000</v>
      </c>
      <c r="E1042" t="s">
        <v>1908</v>
      </c>
      <c r="F1042" s="5">
        <v>2671.1875031163854</v>
      </c>
      <c r="G1042" s="5">
        <v>7469.375560203167</v>
      </c>
      <c r="H1042" s="5">
        <f ca="1">OFFSET(F1042,0,Brains!$D$1,1,1)</f>
        <v>7469.375560203167</v>
      </c>
      <c r="I1042" t="s">
        <v>3337</v>
      </c>
      <c r="J1042" t="s">
        <v>1891</v>
      </c>
      <c r="K1042" t="s">
        <v>1859</v>
      </c>
      <c r="L1042" t="s">
        <v>1859</v>
      </c>
      <c r="M1042" s="11" t="s">
        <v>3918</v>
      </c>
      <c r="N1042" t="s">
        <v>1860</v>
      </c>
      <c r="O1042" s="7" t="s">
        <v>3920</v>
      </c>
      <c r="P1042" s="17" t="str">
        <f t="shared" ca="1" si="32"/>
        <v>0-14.9K</v>
      </c>
      <c r="Q1042" s="17">
        <v>5</v>
      </c>
      <c r="R1042">
        <v>4.5</v>
      </c>
      <c r="S1042">
        <v>4</v>
      </c>
      <c r="T1042">
        <v>1</v>
      </c>
      <c r="U1042">
        <v>5</v>
      </c>
      <c r="V1042" s="15">
        <f t="shared" ca="1" si="33"/>
        <v>1</v>
      </c>
    </row>
    <row r="1043" spans="1:22">
      <c r="A1043" t="s">
        <v>3543</v>
      </c>
      <c r="B1043" s="1">
        <v>41055.852303240739</v>
      </c>
      <c r="C1043" s="2">
        <v>100000</v>
      </c>
      <c r="D1043">
        <v>100000</v>
      </c>
      <c r="E1043" t="s">
        <v>1979</v>
      </c>
      <c r="F1043" s="5">
        <v>98336.152303032693</v>
      </c>
      <c r="G1043" s="5">
        <v>80064.051240992791</v>
      </c>
      <c r="H1043" s="5">
        <f ca="1">OFFSET(F1043,0,Brains!$D$1,1,1)</f>
        <v>80064.051240992791</v>
      </c>
      <c r="I1043" t="s">
        <v>3544</v>
      </c>
      <c r="J1043" t="s">
        <v>1891</v>
      </c>
      <c r="K1043" t="s">
        <v>1981</v>
      </c>
      <c r="L1043" t="s">
        <v>1981</v>
      </c>
      <c r="M1043" s="11" t="s">
        <v>3918</v>
      </c>
      <c r="N1043" t="s">
        <v>1860</v>
      </c>
      <c r="O1043" s="7" t="s">
        <v>3920</v>
      </c>
      <c r="P1043" s="17" t="str">
        <f t="shared" ca="1" si="32"/>
        <v>75-99.9K</v>
      </c>
      <c r="Q1043" s="17">
        <v>5</v>
      </c>
      <c r="R1043">
        <v>5</v>
      </c>
      <c r="S1043">
        <v>4</v>
      </c>
      <c r="T1043">
        <v>1</v>
      </c>
      <c r="U1043">
        <v>5</v>
      </c>
      <c r="V1043" s="15">
        <f t="shared" ca="1" si="33"/>
        <v>5</v>
      </c>
    </row>
    <row r="1044" spans="1:22">
      <c r="A1044" t="s">
        <v>1451</v>
      </c>
      <c r="B1044" s="1">
        <v>41066.070601851854</v>
      </c>
      <c r="C1044" s="2" t="s">
        <v>1452</v>
      </c>
      <c r="D1044">
        <v>45000</v>
      </c>
      <c r="E1044" t="s">
        <v>1856</v>
      </c>
      <c r="F1044" s="5">
        <v>45000</v>
      </c>
      <c r="G1044" s="5">
        <v>45000</v>
      </c>
      <c r="H1044" s="5">
        <f ca="1">OFFSET(F1044,0,Brains!$D$1,1,1)</f>
        <v>45000</v>
      </c>
      <c r="I1044" t="s">
        <v>1890</v>
      </c>
      <c r="J1044" t="s">
        <v>1891</v>
      </c>
      <c r="K1044" t="s">
        <v>2123</v>
      </c>
      <c r="L1044" t="s">
        <v>2123</v>
      </c>
      <c r="M1044" s="11" t="s">
        <v>3918</v>
      </c>
      <c r="N1044" t="s">
        <v>1860</v>
      </c>
      <c r="O1044" s="7" t="s">
        <v>3920</v>
      </c>
      <c r="P1044" s="17" t="str">
        <f t="shared" ca="1" si="32"/>
        <v>30-49.9K</v>
      </c>
      <c r="Q1044" s="17">
        <v>5</v>
      </c>
      <c r="R1044">
        <v>5</v>
      </c>
      <c r="S1044">
        <v>4</v>
      </c>
      <c r="T1044">
        <v>1</v>
      </c>
      <c r="U1044">
        <v>5</v>
      </c>
      <c r="V1044" s="15">
        <f t="shared" ca="1" si="33"/>
        <v>3</v>
      </c>
    </row>
    <row r="1045" spans="1:22">
      <c r="A1045" t="s">
        <v>620</v>
      </c>
      <c r="B1045" s="1">
        <v>41058.424629629626</v>
      </c>
      <c r="C1045" s="2">
        <v>35000</v>
      </c>
      <c r="D1045">
        <v>35000</v>
      </c>
      <c r="E1045" t="s">
        <v>1856</v>
      </c>
      <c r="F1045" s="5">
        <v>35000</v>
      </c>
      <c r="G1045" s="5">
        <v>35000</v>
      </c>
      <c r="H1045" s="5">
        <f ca="1">OFFSET(F1045,0,Brains!$D$1,1,1)</f>
        <v>35000</v>
      </c>
      <c r="I1045" t="s">
        <v>621</v>
      </c>
      <c r="J1045" t="s">
        <v>1891</v>
      </c>
      <c r="K1045" t="s">
        <v>53</v>
      </c>
      <c r="L1045" t="s">
        <v>53</v>
      </c>
      <c r="M1045" s="7" t="s">
        <v>3941</v>
      </c>
      <c r="N1045" t="s">
        <v>1866</v>
      </c>
      <c r="O1045" s="7" t="s">
        <v>3922</v>
      </c>
      <c r="P1045" s="17" t="str">
        <f t="shared" ca="1" si="32"/>
        <v>30-49.9K</v>
      </c>
      <c r="Q1045" s="17">
        <v>8</v>
      </c>
      <c r="R1045">
        <v>12</v>
      </c>
      <c r="S1045">
        <v>5</v>
      </c>
      <c r="T1045">
        <v>3</v>
      </c>
      <c r="U1045">
        <v>5</v>
      </c>
      <c r="V1045" s="15">
        <f t="shared" ca="1" si="33"/>
        <v>3</v>
      </c>
    </row>
    <row r="1046" spans="1:22">
      <c r="A1046" t="s">
        <v>562</v>
      </c>
      <c r="B1046" s="1">
        <v>41058.210717592592</v>
      </c>
      <c r="C1046" s="2" t="s">
        <v>563</v>
      </c>
      <c r="D1046">
        <v>450000</v>
      </c>
      <c r="E1046" t="s">
        <v>494</v>
      </c>
      <c r="F1046" s="5">
        <v>76906.906752939132</v>
      </c>
      <c r="G1046" s="5">
        <v>51807.506332028548</v>
      </c>
      <c r="H1046" s="5">
        <f ca="1">OFFSET(F1046,0,Brains!$D$1,1,1)</f>
        <v>51807.506332028548</v>
      </c>
      <c r="I1046" t="s">
        <v>564</v>
      </c>
      <c r="J1046" t="s">
        <v>1891</v>
      </c>
      <c r="K1046" t="s">
        <v>3478</v>
      </c>
      <c r="L1046" t="s">
        <v>3478</v>
      </c>
      <c r="M1046" s="7" t="s">
        <v>3941</v>
      </c>
      <c r="N1046" t="s">
        <v>1866</v>
      </c>
      <c r="O1046" s="7" t="s">
        <v>3922</v>
      </c>
      <c r="P1046" s="17" t="str">
        <f t="shared" ca="1" si="32"/>
        <v>50-74.9K</v>
      </c>
      <c r="Q1046" s="17">
        <v>8</v>
      </c>
      <c r="R1046">
        <v>17</v>
      </c>
      <c r="S1046">
        <v>5</v>
      </c>
      <c r="T1046">
        <v>3</v>
      </c>
      <c r="U1046">
        <v>5</v>
      </c>
      <c r="V1046" s="15">
        <f t="shared" ca="1" si="33"/>
        <v>4</v>
      </c>
    </row>
    <row r="1047" spans="1:22">
      <c r="A1047" t="s">
        <v>789</v>
      </c>
      <c r="B1047" s="1">
        <v>41058.788425925923</v>
      </c>
      <c r="C1047" s="2">
        <v>105000</v>
      </c>
      <c r="D1047">
        <v>105000</v>
      </c>
      <c r="E1047" t="s">
        <v>1856</v>
      </c>
      <c r="F1047" s="5">
        <v>105000</v>
      </c>
      <c r="G1047" s="5">
        <v>105000</v>
      </c>
      <c r="H1047" s="5">
        <f ca="1">OFFSET(F1047,0,Brains!$D$1,1,1)</f>
        <v>105000</v>
      </c>
      <c r="I1047" t="s">
        <v>790</v>
      </c>
      <c r="J1047" t="s">
        <v>1891</v>
      </c>
      <c r="K1047" t="s">
        <v>1869</v>
      </c>
      <c r="L1047" t="s">
        <v>1869</v>
      </c>
      <c r="M1047" s="11" t="s">
        <v>3916</v>
      </c>
      <c r="N1047" t="s">
        <v>1884</v>
      </c>
      <c r="O1047" s="7" t="s">
        <v>3922</v>
      </c>
      <c r="P1047" s="17" t="str">
        <f t="shared" ca="1" si="32"/>
        <v>100-149.9K</v>
      </c>
      <c r="Q1047" s="17">
        <v>1.5</v>
      </c>
      <c r="R1047">
        <v>15</v>
      </c>
      <c r="S1047">
        <v>2</v>
      </c>
      <c r="T1047">
        <v>3</v>
      </c>
      <c r="U1047">
        <v>5</v>
      </c>
      <c r="V1047" s="15">
        <f t="shared" ca="1" si="33"/>
        <v>6</v>
      </c>
    </row>
    <row r="1048" spans="1:22">
      <c r="A1048" t="s">
        <v>3067</v>
      </c>
      <c r="B1048" s="1">
        <v>41055.257037037038</v>
      </c>
      <c r="C1048" s="2">
        <v>188000</v>
      </c>
      <c r="D1048">
        <v>188000</v>
      </c>
      <c r="E1048" t="s">
        <v>1856</v>
      </c>
      <c r="F1048" s="5">
        <v>188000</v>
      </c>
      <c r="G1048" s="5">
        <v>188000</v>
      </c>
      <c r="H1048" s="5">
        <f ca="1">OFFSET(F1048,0,Brains!$D$1,1,1)</f>
        <v>188000</v>
      </c>
      <c r="I1048" t="s">
        <v>3068</v>
      </c>
      <c r="J1048" t="s">
        <v>1891</v>
      </c>
      <c r="K1048" t="s">
        <v>1869</v>
      </c>
      <c r="L1048" t="s">
        <v>1869</v>
      </c>
      <c r="M1048" s="11" t="s">
        <v>3916</v>
      </c>
      <c r="N1048" t="s">
        <v>1884</v>
      </c>
      <c r="O1048" s="7" t="s">
        <v>3922</v>
      </c>
      <c r="P1048" s="17" t="str">
        <f t="shared" ca="1" si="32"/>
        <v>150-249.9K</v>
      </c>
      <c r="Q1048" s="17">
        <v>1.5</v>
      </c>
      <c r="R1048">
        <v>20</v>
      </c>
      <c r="S1048">
        <v>2</v>
      </c>
      <c r="T1048">
        <v>3</v>
      </c>
      <c r="U1048">
        <v>5</v>
      </c>
      <c r="V1048" s="15">
        <f t="shared" ca="1" si="33"/>
        <v>7</v>
      </c>
    </row>
    <row r="1049" spans="1:22">
      <c r="A1049" t="s">
        <v>328</v>
      </c>
      <c r="B1049" s="1">
        <v>41057.776458333334</v>
      </c>
      <c r="C1049" s="2">
        <v>100000</v>
      </c>
      <c r="D1049">
        <v>100000</v>
      </c>
      <c r="E1049" t="s">
        <v>1880</v>
      </c>
      <c r="F1049" s="5">
        <v>127039.94389916077</v>
      </c>
      <c r="G1049" s="5">
        <v>125619.9343761463</v>
      </c>
      <c r="H1049" s="5">
        <f ca="1">OFFSET(F1049,0,Brains!$D$1,1,1)</f>
        <v>125619.9343761463</v>
      </c>
      <c r="I1049" t="s">
        <v>2204</v>
      </c>
      <c r="J1049" t="s">
        <v>1891</v>
      </c>
      <c r="K1049" t="s">
        <v>2957</v>
      </c>
      <c r="L1049" t="s">
        <v>2957</v>
      </c>
      <c r="M1049" s="11" t="s">
        <v>3916</v>
      </c>
      <c r="N1049" t="s">
        <v>1884</v>
      </c>
      <c r="O1049" s="7" t="s">
        <v>3922</v>
      </c>
      <c r="P1049" s="17" t="str">
        <f t="shared" ca="1" si="32"/>
        <v>100-149.9K</v>
      </c>
      <c r="Q1049" s="17">
        <v>1.5</v>
      </c>
      <c r="R1049">
        <v>20</v>
      </c>
      <c r="S1049">
        <v>2</v>
      </c>
      <c r="T1049">
        <v>3</v>
      </c>
      <c r="U1049">
        <v>5</v>
      </c>
      <c r="V1049" s="15">
        <f t="shared" ca="1" si="33"/>
        <v>6</v>
      </c>
    </row>
    <row r="1050" spans="1:22">
      <c r="A1050" t="s">
        <v>1704</v>
      </c>
      <c r="B1050" s="1">
        <v>41075.10429398148</v>
      </c>
      <c r="C1050" s="2" t="s">
        <v>1705</v>
      </c>
      <c r="D1050">
        <v>85000</v>
      </c>
      <c r="E1050" t="s">
        <v>1856</v>
      </c>
      <c r="F1050" s="5">
        <v>85000</v>
      </c>
      <c r="G1050" s="5">
        <v>85000</v>
      </c>
      <c r="H1050" s="5">
        <f ca="1">OFFSET(F1050,0,Brains!$D$1,1,1)</f>
        <v>85000</v>
      </c>
      <c r="I1050" t="s">
        <v>1706</v>
      </c>
      <c r="J1050" t="s">
        <v>1891</v>
      </c>
      <c r="K1050" t="s">
        <v>1869</v>
      </c>
      <c r="L1050" t="s">
        <v>1869</v>
      </c>
      <c r="M1050" s="11" t="s">
        <v>3917</v>
      </c>
      <c r="N1050" t="s">
        <v>1873</v>
      </c>
      <c r="O1050" s="7" t="s">
        <v>3922</v>
      </c>
      <c r="P1050" s="17" t="str">
        <f t="shared" ca="1" si="32"/>
        <v>75-99.9K</v>
      </c>
      <c r="Q1050" s="17">
        <v>2.5</v>
      </c>
      <c r="R1050">
        <v>15</v>
      </c>
      <c r="S1050">
        <v>3</v>
      </c>
      <c r="T1050">
        <v>3</v>
      </c>
      <c r="U1050">
        <v>5</v>
      </c>
      <c r="V1050" s="15">
        <f t="shared" ca="1" si="33"/>
        <v>5</v>
      </c>
    </row>
    <row r="1051" spans="1:22">
      <c r="A1051" t="s">
        <v>1107</v>
      </c>
      <c r="B1051" s="1">
        <v>41060.230486111112</v>
      </c>
      <c r="C1051" s="2">
        <v>170000</v>
      </c>
      <c r="D1051">
        <v>170000</v>
      </c>
      <c r="E1051" t="s">
        <v>1856</v>
      </c>
      <c r="F1051" s="5">
        <v>170000</v>
      </c>
      <c r="G1051" s="5">
        <v>170000</v>
      </c>
      <c r="H1051" s="5">
        <f ca="1">OFFSET(F1051,0,Brains!$D$1,1,1)</f>
        <v>170000</v>
      </c>
      <c r="I1051" t="s">
        <v>1890</v>
      </c>
      <c r="J1051" t="s">
        <v>1891</v>
      </c>
      <c r="K1051" t="s">
        <v>1869</v>
      </c>
      <c r="L1051" t="s">
        <v>1869</v>
      </c>
      <c r="M1051" s="11" t="s">
        <v>3917</v>
      </c>
      <c r="N1051" t="s">
        <v>1873</v>
      </c>
      <c r="O1051" s="7" t="s">
        <v>3922</v>
      </c>
      <c r="P1051" s="17" t="str">
        <f t="shared" ca="1" si="32"/>
        <v>150-249.9K</v>
      </c>
      <c r="Q1051" s="17">
        <v>2.5</v>
      </c>
      <c r="R1051">
        <v>18</v>
      </c>
      <c r="S1051">
        <v>3</v>
      </c>
      <c r="T1051">
        <v>3</v>
      </c>
      <c r="U1051">
        <v>5</v>
      </c>
      <c r="V1051" s="15">
        <f t="shared" ca="1" si="33"/>
        <v>7</v>
      </c>
    </row>
    <row r="1052" spans="1:22">
      <c r="A1052" t="s">
        <v>3510</v>
      </c>
      <c r="B1052" s="1">
        <v>41055.776863425926</v>
      </c>
      <c r="C1052" s="2">
        <v>55000</v>
      </c>
      <c r="D1052">
        <v>55000</v>
      </c>
      <c r="E1052" t="s">
        <v>1880</v>
      </c>
      <c r="F1052" s="5">
        <v>69871.969144538423</v>
      </c>
      <c r="G1052" s="5">
        <v>69090.963906880454</v>
      </c>
      <c r="H1052" s="5">
        <f ca="1">OFFSET(F1052,0,Brains!$D$1,1,1)</f>
        <v>69090.963906880454</v>
      </c>
      <c r="I1052" t="s">
        <v>1890</v>
      </c>
      <c r="J1052" t="s">
        <v>1891</v>
      </c>
      <c r="K1052" t="s">
        <v>3511</v>
      </c>
      <c r="L1052" t="s">
        <v>471</v>
      </c>
      <c r="M1052" s="11" t="s">
        <v>3917</v>
      </c>
      <c r="N1052" t="s">
        <v>1873</v>
      </c>
      <c r="O1052" s="7" t="s">
        <v>3922</v>
      </c>
      <c r="P1052" s="17" t="str">
        <f t="shared" ca="1" si="32"/>
        <v>50-74.9K</v>
      </c>
      <c r="Q1052" s="17">
        <v>2.5</v>
      </c>
      <c r="R1052">
        <v>18</v>
      </c>
      <c r="S1052">
        <v>3</v>
      </c>
      <c r="T1052">
        <v>3</v>
      </c>
      <c r="U1052">
        <v>5</v>
      </c>
      <c r="V1052" s="15">
        <f t="shared" ca="1" si="33"/>
        <v>4</v>
      </c>
    </row>
    <row r="1053" spans="1:22">
      <c r="A1053" t="s">
        <v>837</v>
      </c>
      <c r="B1053" s="1">
        <v>41058.895555555559</v>
      </c>
      <c r="C1053" s="2">
        <v>100000</v>
      </c>
      <c r="D1053">
        <v>100000</v>
      </c>
      <c r="E1053" t="s">
        <v>1856</v>
      </c>
      <c r="F1053" s="5">
        <v>100000</v>
      </c>
      <c r="G1053" s="5">
        <v>100000</v>
      </c>
      <c r="H1053" s="5">
        <f ca="1">OFFSET(F1053,0,Brains!$D$1,1,1)</f>
        <v>100000</v>
      </c>
      <c r="I1053" t="s">
        <v>838</v>
      </c>
      <c r="J1053" t="s">
        <v>1891</v>
      </c>
      <c r="K1053" t="s">
        <v>2654</v>
      </c>
      <c r="L1053" t="s">
        <v>2654</v>
      </c>
      <c r="M1053" s="11" t="s">
        <v>3917</v>
      </c>
      <c r="N1053" t="s">
        <v>1873</v>
      </c>
      <c r="O1053" s="7" t="s">
        <v>3922</v>
      </c>
      <c r="P1053" s="17" t="str">
        <f t="shared" ca="1" si="32"/>
        <v>100-149.9K</v>
      </c>
      <c r="Q1053" s="17">
        <v>2.5</v>
      </c>
      <c r="R1053">
        <v>20</v>
      </c>
      <c r="S1053">
        <v>3</v>
      </c>
      <c r="T1053">
        <v>3</v>
      </c>
      <c r="U1053">
        <v>5</v>
      </c>
      <c r="V1053" s="15">
        <f t="shared" ca="1" si="33"/>
        <v>6</v>
      </c>
    </row>
    <row r="1054" spans="1:22">
      <c r="A1054" t="s">
        <v>1359</v>
      </c>
      <c r="B1054" s="1">
        <v>41064.432951388888</v>
      </c>
      <c r="C1054" s="2">
        <v>225000</v>
      </c>
      <c r="D1054">
        <v>225000</v>
      </c>
      <c r="E1054" t="s">
        <v>1856</v>
      </c>
      <c r="F1054" s="5">
        <v>225000</v>
      </c>
      <c r="G1054" s="5">
        <v>225000</v>
      </c>
      <c r="H1054" s="5">
        <f ca="1">OFFSET(F1054,0,Brains!$D$1,1,1)</f>
        <v>225000</v>
      </c>
      <c r="I1054" t="s">
        <v>1360</v>
      </c>
      <c r="J1054" t="s">
        <v>1891</v>
      </c>
      <c r="K1054" t="s">
        <v>1869</v>
      </c>
      <c r="L1054" t="s">
        <v>1869</v>
      </c>
      <c r="M1054" s="11" t="s">
        <v>3918</v>
      </c>
      <c r="N1054" t="s">
        <v>1860</v>
      </c>
      <c r="O1054" s="7" t="s">
        <v>3922</v>
      </c>
      <c r="P1054" s="17" t="str">
        <f t="shared" ca="1" si="32"/>
        <v>150-249.9K</v>
      </c>
      <c r="Q1054" s="17">
        <v>5</v>
      </c>
      <c r="R1054">
        <v>15</v>
      </c>
      <c r="S1054">
        <v>4</v>
      </c>
      <c r="T1054">
        <v>3</v>
      </c>
      <c r="U1054">
        <v>5</v>
      </c>
      <c r="V1054" s="15">
        <f t="shared" ca="1" si="33"/>
        <v>7</v>
      </c>
    </row>
    <row r="1055" spans="1:22">
      <c r="A1055" t="s">
        <v>10</v>
      </c>
      <c r="B1055" s="1">
        <v>41057.312303240738</v>
      </c>
      <c r="C1055" s="2">
        <v>125000</v>
      </c>
      <c r="D1055">
        <v>125000</v>
      </c>
      <c r="E1055" t="s">
        <v>1973</v>
      </c>
      <c r="F1055" s="5">
        <v>127488.70705032947</v>
      </c>
      <c r="G1055" s="5">
        <v>79516.53944020356</v>
      </c>
      <c r="H1055" s="5">
        <f ca="1">OFFSET(F1055,0,Brains!$D$1,1,1)</f>
        <v>79516.53944020356</v>
      </c>
      <c r="I1055" t="s">
        <v>11</v>
      </c>
      <c r="J1055" t="s">
        <v>1891</v>
      </c>
      <c r="K1055" t="s">
        <v>1975</v>
      </c>
      <c r="L1055" t="s">
        <v>1975</v>
      </c>
      <c r="M1055" s="11" t="s">
        <v>3918</v>
      </c>
      <c r="N1055" t="s">
        <v>1860</v>
      </c>
      <c r="O1055" s="7" t="s">
        <v>3922</v>
      </c>
      <c r="P1055" s="17" t="str">
        <f t="shared" ca="1" si="32"/>
        <v>75-99.9K</v>
      </c>
      <c r="Q1055" s="17">
        <v>5</v>
      </c>
      <c r="R1055">
        <v>15</v>
      </c>
      <c r="S1055">
        <v>4</v>
      </c>
      <c r="T1055">
        <v>3</v>
      </c>
      <c r="U1055">
        <v>5</v>
      </c>
      <c r="V1055" s="15">
        <f t="shared" ca="1" si="33"/>
        <v>5</v>
      </c>
    </row>
    <row r="1056" spans="1:22">
      <c r="A1056" t="s">
        <v>3570</v>
      </c>
      <c r="B1056" s="1">
        <v>41055.893946759257</v>
      </c>
      <c r="C1056" s="2">
        <v>85000</v>
      </c>
      <c r="D1056">
        <v>85000</v>
      </c>
      <c r="E1056" t="s">
        <v>1856</v>
      </c>
      <c r="F1056" s="5">
        <v>85000</v>
      </c>
      <c r="G1056" s="5">
        <v>85000</v>
      </c>
      <c r="H1056" s="5">
        <f ca="1">OFFSET(F1056,0,Brains!$D$1,1,1)</f>
        <v>85000</v>
      </c>
      <c r="I1056" t="s">
        <v>3571</v>
      </c>
      <c r="J1056" t="s">
        <v>1891</v>
      </c>
      <c r="K1056" t="s">
        <v>1869</v>
      </c>
      <c r="L1056" t="s">
        <v>1869</v>
      </c>
      <c r="M1056" s="11" t="s">
        <v>3918</v>
      </c>
      <c r="N1056" t="s">
        <v>1860</v>
      </c>
      <c r="O1056" s="7" t="s">
        <v>3922</v>
      </c>
      <c r="P1056" s="17" t="str">
        <f t="shared" ca="1" si="32"/>
        <v>75-99.9K</v>
      </c>
      <c r="Q1056" s="17">
        <v>5</v>
      </c>
      <c r="R1056">
        <v>15</v>
      </c>
      <c r="S1056">
        <v>4</v>
      </c>
      <c r="T1056">
        <v>3</v>
      </c>
      <c r="U1056">
        <v>5</v>
      </c>
      <c r="V1056" s="15">
        <f t="shared" ca="1" si="33"/>
        <v>5</v>
      </c>
    </row>
    <row r="1057" spans="1:22">
      <c r="A1057" t="s">
        <v>3765</v>
      </c>
      <c r="B1057" s="1">
        <v>41056.602465277778</v>
      </c>
      <c r="C1057" s="2" t="s">
        <v>3766</v>
      </c>
      <c r="D1057">
        <v>1200000</v>
      </c>
      <c r="E1057" t="s">
        <v>1908</v>
      </c>
      <c r="F1057" s="5">
        <v>21369.500024931083</v>
      </c>
      <c r="G1057" s="5">
        <v>59755.004481625336</v>
      </c>
      <c r="H1057" s="5">
        <f ca="1">OFFSET(F1057,0,Brains!$D$1,1,1)</f>
        <v>59755.004481625336</v>
      </c>
      <c r="I1057" t="s">
        <v>3767</v>
      </c>
      <c r="J1057" t="s">
        <v>1891</v>
      </c>
      <c r="K1057" t="s">
        <v>1859</v>
      </c>
      <c r="L1057" t="s">
        <v>1859</v>
      </c>
      <c r="M1057" s="11" t="s">
        <v>3918</v>
      </c>
      <c r="N1057" t="s">
        <v>1860</v>
      </c>
      <c r="O1057" s="7" t="s">
        <v>3922</v>
      </c>
      <c r="P1057" s="17" t="str">
        <f t="shared" ca="1" si="32"/>
        <v>50-74.9K</v>
      </c>
      <c r="Q1057" s="17">
        <v>5</v>
      </c>
      <c r="R1057">
        <v>17</v>
      </c>
      <c r="S1057">
        <v>4</v>
      </c>
      <c r="T1057">
        <v>3</v>
      </c>
      <c r="U1057">
        <v>5</v>
      </c>
      <c r="V1057" s="15">
        <f t="shared" ca="1" si="33"/>
        <v>4</v>
      </c>
    </row>
    <row r="1058" spans="1:22">
      <c r="A1058" t="s">
        <v>1135</v>
      </c>
      <c r="B1058" s="1">
        <v>41060.666851851849</v>
      </c>
      <c r="C1058" s="2">
        <v>8000</v>
      </c>
      <c r="D1058">
        <v>8000</v>
      </c>
      <c r="E1058" t="s">
        <v>1856</v>
      </c>
      <c r="F1058" s="5">
        <v>8000</v>
      </c>
      <c r="G1058" s="5">
        <v>8000</v>
      </c>
      <c r="H1058" s="5">
        <f ca="1">OFFSET(F1058,0,Brains!$D$1,1,1)</f>
        <v>8000</v>
      </c>
      <c r="I1058" t="s">
        <v>2678</v>
      </c>
      <c r="J1058" t="s">
        <v>1891</v>
      </c>
      <c r="K1058" t="s">
        <v>1859</v>
      </c>
      <c r="L1058" t="s">
        <v>1859</v>
      </c>
      <c r="M1058" s="11" t="s">
        <v>3918</v>
      </c>
      <c r="N1058" t="s">
        <v>1860</v>
      </c>
      <c r="O1058" s="7" t="s">
        <v>3922</v>
      </c>
      <c r="P1058" s="17" t="str">
        <f t="shared" ca="1" si="32"/>
        <v>0-14.9K</v>
      </c>
      <c r="Q1058" s="17">
        <v>5</v>
      </c>
      <c r="R1058">
        <v>18</v>
      </c>
      <c r="S1058">
        <v>4</v>
      </c>
      <c r="T1058">
        <v>3</v>
      </c>
      <c r="U1058">
        <v>5</v>
      </c>
      <c r="V1058" s="15">
        <f t="shared" ca="1" si="33"/>
        <v>1</v>
      </c>
    </row>
    <row r="1059" spans="1:22">
      <c r="A1059" t="s">
        <v>3744</v>
      </c>
      <c r="B1059" s="1">
        <v>41056.562407407408</v>
      </c>
      <c r="C1059" s="2" t="s">
        <v>3745</v>
      </c>
      <c r="D1059">
        <v>125000</v>
      </c>
      <c r="E1059" t="s">
        <v>1856</v>
      </c>
      <c r="F1059" s="5">
        <v>125000</v>
      </c>
      <c r="G1059" s="5">
        <v>125000</v>
      </c>
      <c r="H1059" s="5">
        <f ca="1">OFFSET(F1059,0,Brains!$D$1,1,1)</f>
        <v>125000</v>
      </c>
      <c r="I1059" t="s">
        <v>3746</v>
      </c>
      <c r="J1059" t="s">
        <v>1891</v>
      </c>
      <c r="K1059" t="s">
        <v>1922</v>
      </c>
      <c r="L1059" t="s">
        <v>1922</v>
      </c>
      <c r="M1059" s="11" t="s">
        <v>3918</v>
      </c>
      <c r="N1059" t="s">
        <v>1860</v>
      </c>
      <c r="O1059" s="7" t="s">
        <v>3922</v>
      </c>
      <c r="P1059" s="17" t="str">
        <f t="shared" ca="1" si="32"/>
        <v>100-149.9K</v>
      </c>
      <c r="Q1059" s="17">
        <v>5</v>
      </c>
      <c r="R1059">
        <v>20</v>
      </c>
      <c r="S1059">
        <v>4</v>
      </c>
      <c r="T1059">
        <v>3</v>
      </c>
      <c r="U1059">
        <v>5</v>
      </c>
      <c r="V1059" s="15">
        <f t="shared" ca="1" si="33"/>
        <v>6</v>
      </c>
    </row>
    <row r="1060" spans="1:22">
      <c r="A1060" t="s">
        <v>3701</v>
      </c>
      <c r="B1060" s="1">
        <v>41056.275868055556</v>
      </c>
      <c r="C1060" s="2">
        <v>50000</v>
      </c>
      <c r="D1060">
        <v>50000</v>
      </c>
      <c r="E1060" t="s">
        <v>1856</v>
      </c>
      <c r="F1060" s="5">
        <v>50000</v>
      </c>
      <c r="G1060" s="5">
        <v>50000</v>
      </c>
      <c r="H1060" s="5">
        <f ca="1">OFFSET(F1060,0,Brains!$D$1,1,1)</f>
        <v>50000</v>
      </c>
      <c r="I1060" t="s">
        <v>3702</v>
      </c>
      <c r="J1060" t="s">
        <v>1891</v>
      </c>
      <c r="K1060" t="s">
        <v>1869</v>
      </c>
      <c r="L1060" t="s">
        <v>1869</v>
      </c>
      <c r="M1060" t="s">
        <v>3941</v>
      </c>
      <c r="N1060" t="s">
        <v>1866</v>
      </c>
      <c r="O1060" s="7" t="s">
        <v>3922</v>
      </c>
      <c r="P1060" s="17" t="str">
        <f t="shared" ca="1" si="32"/>
        <v>50-74.9K</v>
      </c>
      <c r="Q1060" s="17">
        <v>8</v>
      </c>
      <c r="R1060">
        <v>15</v>
      </c>
      <c r="S1060">
        <v>5</v>
      </c>
      <c r="T1060">
        <v>3</v>
      </c>
      <c r="U1060">
        <v>5</v>
      </c>
      <c r="V1060" s="15">
        <f t="shared" ca="1" si="33"/>
        <v>4</v>
      </c>
    </row>
    <row r="1061" spans="1:22">
      <c r="A1061" t="s">
        <v>196</v>
      </c>
      <c r="B1061" s="1">
        <v>41057.620162037034</v>
      </c>
      <c r="C1061" s="2">
        <v>50000</v>
      </c>
      <c r="D1061">
        <v>50000</v>
      </c>
      <c r="E1061" t="s">
        <v>1856</v>
      </c>
      <c r="F1061" s="5">
        <v>50000</v>
      </c>
      <c r="G1061" s="5">
        <v>50000</v>
      </c>
      <c r="H1061" s="5">
        <f ca="1">OFFSET(F1061,0,Brains!$D$1,1,1)</f>
        <v>50000</v>
      </c>
      <c r="I1061" t="s">
        <v>2928</v>
      </c>
      <c r="J1061" t="s">
        <v>1891</v>
      </c>
      <c r="K1061" t="s">
        <v>1859</v>
      </c>
      <c r="L1061" t="s">
        <v>1859</v>
      </c>
      <c r="M1061" s="11" t="s">
        <v>3916</v>
      </c>
      <c r="N1061" t="s">
        <v>1884</v>
      </c>
      <c r="O1061" s="7" t="s">
        <v>3923</v>
      </c>
      <c r="P1061" s="17" t="str">
        <f t="shared" ca="1" si="32"/>
        <v>50-74.9K</v>
      </c>
      <c r="Q1061" s="17">
        <v>1.5</v>
      </c>
      <c r="R1061">
        <v>26</v>
      </c>
      <c r="S1061">
        <v>2</v>
      </c>
      <c r="T1061">
        <v>4</v>
      </c>
      <c r="U1061">
        <v>5</v>
      </c>
      <c r="V1061" s="15">
        <f t="shared" ca="1" si="33"/>
        <v>4</v>
      </c>
    </row>
    <row r="1062" spans="1:22">
      <c r="A1062" t="s">
        <v>229</v>
      </c>
      <c r="B1062" s="1">
        <v>41057.658171296294</v>
      </c>
      <c r="C1062" s="2" t="s">
        <v>3600</v>
      </c>
      <c r="D1062">
        <v>55000</v>
      </c>
      <c r="E1062" t="s">
        <v>1954</v>
      </c>
      <c r="F1062" s="5">
        <v>86689.804963700633</v>
      </c>
      <c r="G1062" s="5">
        <v>81602.373887240348</v>
      </c>
      <c r="H1062" s="5">
        <f ca="1">OFFSET(F1062,0,Brains!$D$1,1,1)</f>
        <v>81602.373887240348</v>
      </c>
      <c r="I1062" t="s">
        <v>2204</v>
      </c>
      <c r="J1062" t="s">
        <v>1891</v>
      </c>
      <c r="K1062" t="s">
        <v>1956</v>
      </c>
      <c r="L1062" t="s">
        <v>1956</v>
      </c>
      <c r="M1062" s="11" t="s">
        <v>3917</v>
      </c>
      <c r="N1062" t="s">
        <v>1873</v>
      </c>
      <c r="O1062" s="7" t="s">
        <v>3923</v>
      </c>
      <c r="P1062" s="17" t="str">
        <f t="shared" ca="1" si="32"/>
        <v>75-99.9K</v>
      </c>
      <c r="Q1062" s="17">
        <v>2.5</v>
      </c>
      <c r="R1062">
        <v>22</v>
      </c>
      <c r="S1062">
        <v>3</v>
      </c>
      <c r="T1062">
        <v>4</v>
      </c>
      <c r="U1062">
        <v>5</v>
      </c>
      <c r="V1062" s="15">
        <f t="shared" ca="1" si="33"/>
        <v>5</v>
      </c>
    </row>
    <row r="1063" spans="1:22">
      <c r="A1063" t="s">
        <v>3105</v>
      </c>
      <c r="B1063" s="1">
        <v>41055.322268518517</v>
      </c>
      <c r="C1063" s="2">
        <v>300000</v>
      </c>
      <c r="D1063">
        <v>300000</v>
      </c>
      <c r="E1063" t="s">
        <v>1856</v>
      </c>
      <c r="F1063" s="5">
        <v>300000</v>
      </c>
      <c r="G1063" s="5">
        <v>300000</v>
      </c>
      <c r="H1063" s="5">
        <f ca="1">OFFSET(F1063,0,Brains!$D$1,1,1)</f>
        <v>300000</v>
      </c>
      <c r="I1063" t="s">
        <v>3106</v>
      </c>
      <c r="J1063" t="s">
        <v>1891</v>
      </c>
      <c r="K1063" t="s">
        <v>1869</v>
      </c>
      <c r="L1063" t="s">
        <v>1869</v>
      </c>
      <c r="M1063" s="11" t="s">
        <v>3917</v>
      </c>
      <c r="N1063" t="s">
        <v>1873</v>
      </c>
      <c r="O1063" s="7" t="s">
        <v>3923</v>
      </c>
      <c r="P1063" s="17" t="str">
        <f t="shared" ca="1" si="32"/>
        <v>250K+</v>
      </c>
      <c r="Q1063" s="17">
        <v>2.5</v>
      </c>
      <c r="R1063">
        <v>30</v>
      </c>
      <c r="S1063">
        <v>3</v>
      </c>
      <c r="T1063">
        <v>4</v>
      </c>
      <c r="U1063">
        <v>5</v>
      </c>
      <c r="V1063" s="15">
        <f t="shared" ca="1" si="33"/>
        <v>8</v>
      </c>
    </row>
    <row r="1064" spans="1:22">
      <c r="A1064" t="s">
        <v>1213</v>
      </c>
      <c r="B1064" s="1">
        <v>41061.230914351851</v>
      </c>
      <c r="C1064" s="2" t="s">
        <v>1214</v>
      </c>
      <c r="D1064">
        <v>35000</v>
      </c>
      <c r="E1064" t="s">
        <v>1954</v>
      </c>
      <c r="F1064" s="5">
        <v>55166.239522354947</v>
      </c>
      <c r="G1064" s="5">
        <v>51928.783382789312</v>
      </c>
      <c r="H1064" s="5">
        <f ca="1">OFFSET(F1064,0,Brains!$D$1,1,1)</f>
        <v>51928.783382789312</v>
      </c>
      <c r="I1064" t="s">
        <v>1215</v>
      </c>
      <c r="J1064" t="s">
        <v>1891</v>
      </c>
      <c r="K1064" t="s">
        <v>1956</v>
      </c>
      <c r="L1064" t="s">
        <v>1956</v>
      </c>
      <c r="M1064" s="11" t="s">
        <v>3917</v>
      </c>
      <c r="N1064" t="s">
        <v>1873</v>
      </c>
      <c r="O1064" s="7" t="s">
        <v>3923</v>
      </c>
      <c r="P1064" s="17" t="str">
        <f t="shared" ca="1" si="32"/>
        <v>50-74.9K</v>
      </c>
      <c r="Q1064" s="17">
        <v>2.5</v>
      </c>
      <c r="R1064">
        <v>30</v>
      </c>
      <c r="S1064">
        <v>3</v>
      </c>
      <c r="T1064">
        <v>4</v>
      </c>
      <c r="U1064">
        <v>5</v>
      </c>
      <c r="V1064" s="15">
        <f t="shared" ca="1" si="33"/>
        <v>4</v>
      </c>
    </row>
    <row r="1065" spans="1:22">
      <c r="A1065" t="s">
        <v>3101</v>
      </c>
      <c r="B1065" s="1">
        <v>41055.307766203703</v>
      </c>
      <c r="C1065" s="2">
        <v>150000</v>
      </c>
      <c r="D1065">
        <v>150000</v>
      </c>
      <c r="E1065" t="s">
        <v>1856</v>
      </c>
      <c r="F1065" s="5">
        <v>150000</v>
      </c>
      <c r="G1065" s="5">
        <v>150000</v>
      </c>
      <c r="H1065" s="5">
        <f ca="1">OFFSET(F1065,0,Brains!$D$1,1,1)</f>
        <v>150000</v>
      </c>
      <c r="I1065" t="s">
        <v>1890</v>
      </c>
      <c r="J1065" t="s">
        <v>1891</v>
      </c>
      <c r="K1065" t="s">
        <v>1869</v>
      </c>
      <c r="L1065" t="s">
        <v>1869</v>
      </c>
      <c r="M1065" s="11" t="s">
        <v>3918</v>
      </c>
      <c r="N1065" t="s">
        <v>1860</v>
      </c>
      <c r="O1065" s="7" t="s">
        <v>3923</v>
      </c>
      <c r="P1065" s="17" t="str">
        <f t="shared" ca="1" si="32"/>
        <v>150-249.9K</v>
      </c>
      <c r="Q1065" s="17">
        <v>5</v>
      </c>
      <c r="R1065">
        <v>22</v>
      </c>
      <c r="S1065">
        <v>4</v>
      </c>
      <c r="T1065">
        <v>4</v>
      </c>
      <c r="U1065">
        <v>5</v>
      </c>
      <c r="V1065" s="15">
        <f t="shared" ca="1" si="33"/>
        <v>7</v>
      </c>
    </row>
    <row r="1066" spans="1:22">
      <c r="A1066" t="s">
        <v>3703</v>
      </c>
      <c r="B1066" s="1">
        <v>41056.305023148147</v>
      </c>
      <c r="C1066" s="2">
        <v>135000</v>
      </c>
      <c r="D1066">
        <v>135000</v>
      </c>
      <c r="E1066" t="s">
        <v>1856</v>
      </c>
      <c r="F1066" s="5">
        <v>135000</v>
      </c>
      <c r="G1066" s="5">
        <v>135000</v>
      </c>
      <c r="H1066" s="5">
        <f ca="1">OFFSET(F1066,0,Brains!$D$1,1,1)</f>
        <v>135000</v>
      </c>
      <c r="I1066" t="s">
        <v>3704</v>
      </c>
      <c r="J1066" t="s">
        <v>1891</v>
      </c>
      <c r="K1066" t="s">
        <v>1869</v>
      </c>
      <c r="L1066" t="s">
        <v>1869</v>
      </c>
      <c r="M1066" s="11" t="s">
        <v>3918</v>
      </c>
      <c r="N1066" t="s">
        <v>1860</v>
      </c>
      <c r="O1066" s="7" t="s">
        <v>3923</v>
      </c>
      <c r="P1066" s="17" t="str">
        <f t="shared" ca="1" si="32"/>
        <v>100-149.9K</v>
      </c>
      <c r="Q1066" s="17">
        <v>5</v>
      </c>
      <c r="R1066">
        <v>25</v>
      </c>
      <c r="S1066">
        <v>4</v>
      </c>
      <c r="T1066">
        <v>4</v>
      </c>
      <c r="U1066">
        <v>5</v>
      </c>
      <c r="V1066" s="15">
        <f t="shared" ca="1" si="33"/>
        <v>6</v>
      </c>
    </row>
    <row r="1067" spans="1:22">
      <c r="A1067" t="s">
        <v>1105</v>
      </c>
      <c r="B1067" s="1">
        <v>41060.224976851852</v>
      </c>
      <c r="C1067" s="2">
        <v>127500</v>
      </c>
      <c r="D1067">
        <v>127500</v>
      </c>
      <c r="E1067" t="s">
        <v>1856</v>
      </c>
      <c r="F1067" s="5">
        <v>127500</v>
      </c>
      <c r="G1067" s="5">
        <v>127500</v>
      </c>
      <c r="H1067" s="5">
        <f ca="1">OFFSET(F1067,0,Brains!$D$1,1,1)</f>
        <v>127500</v>
      </c>
      <c r="I1067" t="s">
        <v>1106</v>
      </c>
      <c r="J1067" t="s">
        <v>1891</v>
      </c>
      <c r="K1067" t="s">
        <v>1869</v>
      </c>
      <c r="L1067" t="s">
        <v>1869</v>
      </c>
      <c r="M1067" t="s">
        <v>3941</v>
      </c>
      <c r="N1067" t="s">
        <v>1866</v>
      </c>
      <c r="O1067" s="7" t="s">
        <v>3923</v>
      </c>
      <c r="P1067" s="17" t="str">
        <f t="shared" ca="1" si="32"/>
        <v>100-149.9K</v>
      </c>
      <c r="Q1067" s="17">
        <v>8</v>
      </c>
      <c r="R1067">
        <v>22</v>
      </c>
      <c r="S1067">
        <v>5</v>
      </c>
      <c r="T1067">
        <v>4</v>
      </c>
      <c r="U1067">
        <v>5</v>
      </c>
      <c r="V1067" s="15">
        <f t="shared" ca="1" si="33"/>
        <v>6</v>
      </c>
    </row>
    <row r="1068" spans="1:22">
      <c r="A1068" t="s">
        <v>641</v>
      </c>
      <c r="B1068" s="1">
        <v>41058.494155092594</v>
      </c>
      <c r="C1068" s="2">
        <v>192000</v>
      </c>
      <c r="D1068">
        <v>192000</v>
      </c>
      <c r="E1068" t="s">
        <v>1856</v>
      </c>
      <c r="F1068" s="5">
        <v>192000</v>
      </c>
      <c r="G1068" s="5">
        <v>192000</v>
      </c>
      <c r="H1068" s="5">
        <f ca="1">OFFSET(F1068,0,Brains!$D$1,1,1)</f>
        <v>192000</v>
      </c>
      <c r="I1068" t="s">
        <v>642</v>
      </c>
      <c r="J1068" t="s">
        <v>1891</v>
      </c>
      <c r="K1068" t="s">
        <v>1869</v>
      </c>
      <c r="L1068" t="s">
        <v>1869</v>
      </c>
      <c r="M1068" t="s">
        <v>3941</v>
      </c>
      <c r="N1068" t="s">
        <v>1866</v>
      </c>
      <c r="O1068" s="7" t="s">
        <v>3923</v>
      </c>
      <c r="P1068" s="17" t="str">
        <f t="shared" ca="1" si="32"/>
        <v>150-249.9K</v>
      </c>
      <c r="Q1068" s="17">
        <v>8</v>
      </c>
      <c r="R1068">
        <v>27</v>
      </c>
      <c r="S1068">
        <v>5</v>
      </c>
      <c r="T1068">
        <v>4</v>
      </c>
      <c r="U1068">
        <v>5</v>
      </c>
      <c r="V1068" s="15">
        <f t="shared" ca="1" si="33"/>
        <v>7</v>
      </c>
    </row>
    <row r="1069" spans="1:22">
      <c r="A1069" t="s">
        <v>3757</v>
      </c>
      <c r="B1069" s="1">
        <v>41056.5783912037</v>
      </c>
      <c r="C1069" s="2" t="s">
        <v>3758</v>
      </c>
      <c r="D1069">
        <v>100000</v>
      </c>
      <c r="E1069" t="s">
        <v>1856</v>
      </c>
      <c r="F1069" s="5">
        <v>100000</v>
      </c>
      <c r="G1069" s="5">
        <v>100000</v>
      </c>
      <c r="H1069" s="5">
        <f ca="1">OFFSET(F1069,0,Brains!$D$1,1,1)</f>
        <v>100000</v>
      </c>
      <c r="I1069" t="s">
        <v>2074</v>
      </c>
      <c r="J1069" t="s">
        <v>1891</v>
      </c>
      <c r="K1069" t="s">
        <v>3759</v>
      </c>
      <c r="L1069" t="s">
        <v>2123</v>
      </c>
      <c r="M1069" s="7" t="s">
        <v>3941</v>
      </c>
      <c r="N1069" t="s">
        <v>1866</v>
      </c>
      <c r="O1069" s="7" t="s">
        <v>3921</v>
      </c>
      <c r="P1069" s="17" t="str">
        <f t="shared" ca="1" si="32"/>
        <v>100-149.9K</v>
      </c>
      <c r="Q1069" s="17">
        <v>8</v>
      </c>
      <c r="R1069">
        <v>10</v>
      </c>
      <c r="S1069">
        <v>5</v>
      </c>
      <c r="T1069">
        <v>2</v>
      </c>
      <c r="U1069">
        <v>5</v>
      </c>
      <c r="V1069" s="15">
        <f t="shared" ca="1" si="33"/>
        <v>6</v>
      </c>
    </row>
    <row r="1070" spans="1:22">
      <c r="A1070" t="s">
        <v>3218</v>
      </c>
      <c r="B1070" s="1">
        <v>41055.490011574075</v>
      </c>
      <c r="C1070" s="2" t="s">
        <v>3219</v>
      </c>
      <c r="D1070">
        <v>4500000</v>
      </c>
      <c r="E1070" t="s">
        <v>1908</v>
      </c>
      <c r="F1070" s="5">
        <v>80135.625093491559</v>
      </c>
      <c r="G1070" s="5">
        <v>224081.26680609499</v>
      </c>
      <c r="H1070" s="5">
        <f ca="1">OFFSET(F1070,0,Brains!$D$1,1,1)</f>
        <v>224081.26680609499</v>
      </c>
      <c r="I1070" t="s">
        <v>3220</v>
      </c>
      <c r="J1070" t="s">
        <v>1891</v>
      </c>
      <c r="K1070" t="s">
        <v>1859</v>
      </c>
      <c r="L1070" t="s">
        <v>1859</v>
      </c>
      <c r="M1070" s="11" t="s">
        <v>3916</v>
      </c>
      <c r="N1070" t="s">
        <v>1884</v>
      </c>
      <c r="O1070" s="7" t="s">
        <v>3921</v>
      </c>
      <c r="P1070" s="17" t="str">
        <f t="shared" ca="1" si="32"/>
        <v>150-249.9K</v>
      </c>
      <c r="Q1070" s="17">
        <v>1.5</v>
      </c>
      <c r="R1070">
        <v>6</v>
      </c>
      <c r="S1070">
        <v>2</v>
      </c>
      <c r="T1070">
        <v>2</v>
      </c>
      <c r="U1070">
        <v>5</v>
      </c>
      <c r="V1070" s="15">
        <f t="shared" ca="1" si="33"/>
        <v>7</v>
      </c>
    </row>
    <row r="1071" spans="1:22">
      <c r="A1071" t="s">
        <v>1294</v>
      </c>
      <c r="B1071" s="1">
        <v>41062.732175925928</v>
      </c>
      <c r="C1071" s="2" t="s">
        <v>1295</v>
      </c>
      <c r="D1071">
        <v>50000</v>
      </c>
      <c r="E1071" t="s">
        <v>1856</v>
      </c>
      <c r="F1071" s="5">
        <v>50000</v>
      </c>
      <c r="G1071" s="5">
        <v>50000</v>
      </c>
      <c r="H1071" s="5">
        <f ca="1">OFFSET(F1071,0,Brains!$D$1,1,1)</f>
        <v>50000</v>
      </c>
      <c r="I1071" t="s">
        <v>1296</v>
      </c>
      <c r="J1071" t="s">
        <v>1891</v>
      </c>
      <c r="K1071" t="s">
        <v>1859</v>
      </c>
      <c r="L1071" t="s">
        <v>1859</v>
      </c>
      <c r="M1071" s="11" t="s">
        <v>3916</v>
      </c>
      <c r="N1071" t="s">
        <v>1884</v>
      </c>
      <c r="O1071" s="7" t="s">
        <v>3921</v>
      </c>
      <c r="P1071" s="17" t="str">
        <f t="shared" ca="1" si="32"/>
        <v>50-74.9K</v>
      </c>
      <c r="Q1071" s="17">
        <v>1.5</v>
      </c>
      <c r="R1071">
        <v>8</v>
      </c>
      <c r="S1071">
        <v>2</v>
      </c>
      <c r="T1071">
        <v>2</v>
      </c>
      <c r="U1071">
        <v>5</v>
      </c>
      <c r="V1071" s="15">
        <f t="shared" ca="1" si="33"/>
        <v>4</v>
      </c>
    </row>
    <row r="1072" spans="1:22">
      <c r="A1072" t="s">
        <v>14</v>
      </c>
      <c r="B1072" s="1">
        <v>41057.323935185188</v>
      </c>
      <c r="C1072" s="2">
        <v>260000</v>
      </c>
      <c r="D1072">
        <v>260000</v>
      </c>
      <c r="E1072" t="s">
        <v>1856</v>
      </c>
      <c r="F1072" s="5">
        <v>260000</v>
      </c>
      <c r="G1072" s="5">
        <v>260000</v>
      </c>
      <c r="H1072" s="5">
        <f ca="1">OFFSET(F1072,0,Brains!$D$1,1,1)</f>
        <v>260000</v>
      </c>
      <c r="I1072" t="s">
        <v>1890</v>
      </c>
      <c r="J1072" t="s">
        <v>1891</v>
      </c>
      <c r="K1072" t="s">
        <v>1869</v>
      </c>
      <c r="L1072" t="s">
        <v>1869</v>
      </c>
      <c r="M1072" s="11" t="s">
        <v>3917</v>
      </c>
      <c r="N1072" t="s">
        <v>1873</v>
      </c>
      <c r="O1072" s="7" t="s">
        <v>3921</v>
      </c>
      <c r="P1072" s="17" t="str">
        <f t="shared" ca="1" si="32"/>
        <v>250K+</v>
      </c>
      <c r="Q1072" s="17">
        <v>2.5</v>
      </c>
      <c r="R1072">
        <v>10</v>
      </c>
      <c r="S1072">
        <v>3</v>
      </c>
      <c r="T1072">
        <v>2</v>
      </c>
      <c r="U1072">
        <v>5</v>
      </c>
      <c r="V1072" s="15">
        <f t="shared" ca="1" si="33"/>
        <v>8</v>
      </c>
    </row>
    <row r="1073" spans="1:22">
      <c r="A1073" t="s">
        <v>1691</v>
      </c>
      <c r="B1073" s="1">
        <v>41074.519097222219</v>
      </c>
      <c r="C1073" s="2">
        <v>118000</v>
      </c>
      <c r="D1073">
        <v>118000</v>
      </c>
      <c r="E1073" t="s">
        <v>1856</v>
      </c>
      <c r="F1073" s="5">
        <v>118000</v>
      </c>
      <c r="G1073" s="5">
        <v>118000</v>
      </c>
      <c r="H1073" s="5">
        <f ca="1">OFFSET(F1073,0,Brains!$D$1,1,1)</f>
        <v>118000</v>
      </c>
      <c r="I1073" t="s">
        <v>1245</v>
      </c>
      <c r="J1073" t="s">
        <v>1891</v>
      </c>
      <c r="K1073" t="s">
        <v>1869</v>
      </c>
      <c r="L1073" t="s">
        <v>1869</v>
      </c>
      <c r="M1073" s="11" t="s">
        <v>3918</v>
      </c>
      <c r="N1073" t="s">
        <v>1860</v>
      </c>
      <c r="O1073" s="7" t="s">
        <v>3921</v>
      </c>
      <c r="P1073" s="17" t="str">
        <f t="shared" ca="1" si="32"/>
        <v>100-149.9K</v>
      </c>
      <c r="Q1073" s="17">
        <v>5</v>
      </c>
      <c r="R1073">
        <v>6</v>
      </c>
      <c r="S1073">
        <v>4</v>
      </c>
      <c r="T1073">
        <v>2</v>
      </c>
      <c r="U1073">
        <v>5</v>
      </c>
      <c r="V1073" s="15">
        <f t="shared" ca="1" si="33"/>
        <v>6</v>
      </c>
    </row>
    <row r="1074" spans="1:22">
      <c r="A1074" t="s">
        <v>1244</v>
      </c>
      <c r="B1074" s="1">
        <v>41061.631562499999</v>
      </c>
      <c r="C1074" s="2">
        <v>1700000</v>
      </c>
      <c r="D1074">
        <v>1700000</v>
      </c>
      <c r="E1074" t="s">
        <v>1908</v>
      </c>
      <c r="F1074" s="5">
        <v>30273.458368652366</v>
      </c>
      <c r="G1074" s="5">
        <v>84652.923015635897</v>
      </c>
      <c r="H1074" s="5">
        <f ca="1">OFFSET(F1074,0,Brains!$D$1,1,1)</f>
        <v>84652.923015635897</v>
      </c>
      <c r="I1074" t="s">
        <v>1245</v>
      </c>
      <c r="J1074" t="s">
        <v>1891</v>
      </c>
      <c r="K1074" t="s">
        <v>1859</v>
      </c>
      <c r="L1074" t="s">
        <v>1859</v>
      </c>
      <c r="M1074" s="11" t="s">
        <v>3918</v>
      </c>
      <c r="N1074" t="s">
        <v>1860</v>
      </c>
      <c r="O1074" s="7" t="s">
        <v>3921</v>
      </c>
      <c r="P1074" s="17" t="str">
        <f t="shared" ca="1" si="32"/>
        <v>75-99.9K</v>
      </c>
      <c r="Q1074" s="17">
        <v>5</v>
      </c>
      <c r="R1074">
        <v>6</v>
      </c>
      <c r="S1074">
        <v>4</v>
      </c>
      <c r="T1074">
        <v>2</v>
      </c>
      <c r="U1074">
        <v>5</v>
      </c>
      <c r="V1074" s="15">
        <f t="shared" ca="1" si="33"/>
        <v>5</v>
      </c>
    </row>
    <row r="1075" spans="1:22">
      <c r="A1075" t="s">
        <v>284</v>
      </c>
      <c r="B1075" s="1">
        <v>41057.711886574078</v>
      </c>
      <c r="C1075" s="2" t="s">
        <v>285</v>
      </c>
      <c r="D1075">
        <v>45000</v>
      </c>
      <c r="E1075" t="s">
        <v>1954</v>
      </c>
      <c r="F1075" s="5">
        <v>70928.022243027779</v>
      </c>
      <c r="G1075" s="5">
        <v>66765.578635014841</v>
      </c>
      <c r="H1075" s="5">
        <f ca="1">OFFSET(F1075,0,Brains!$D$1,1,1)</f>
        <v>66765.578635014841</v>
      </c>
      <c r="I1075" t="s">
        <v>286</v>
      </c>
      <c r="J1075" t="s">
        <v>1891</v>
      </c>
      <c r="K1075" t="s">
        <v>1956</v>
      </c>
      <c r="L1075" t="s">
        <v>1956</v>
      </c>
      <c r="M1075" s="11" t="s">
        <v>3918</v>
      </c>
      <c r="N1075" t="s">
        <v>1860</v>
      </c>
      <c r="O1075" s="7" t="s">
        <v>3921</v>
      </c>
      <c r="P1075" s="17" t="str">
        <f t="shared" ca="1" si="32"/>
        <v>50-74.9K</v>
      </c>
      <c r="Q1075" s="17">
        <v>5</v>
      </c>
      <c r="R1075">
        <v>8</v>
      </c>
      <c r="S1075">
        <v>4</v>
      </c>
      <c r="T1075">
        <v>2</v>
      </c>
      <c r="U1075">
        <v>5</v>
      </c>
      <c r="V1075" s="15">
        <f t="shared" ca="1" si="33"/>
        <v>4</v>
      </c>
    </row>
    <row r="1076" spans="1:22">
      <c r="A1076" t="s">
        <v>3844</v>
      </c>
      <c r="B1076" s="1">
        <v>41056.980902777781</v>
      </c>
      <c r="C1076" s="2">
        <v>20571</v>
      </c>
      <c r="D1076">
        <v>20571</v>
      </c>
      <c r="E1076" t="s">
        <v>1856</v>
      </c>
      <c r="F1076" s="5">
        <v>20571</v>
      </c>
      <c r="G1076" s="5">
        <v>20571</v>
      </c>
      <c r="H1076" s="5">
        <f ca="1">OFFSET(F1076,0,Brains!$D$1,1,1)</f>
        <v>20571</v>
      </c>
      <c r="I1076" t="s">
        <v>1890</v>
      </c>
      <c r="J1076" t="s">
        <v>1891</v>
      </c>
      <c r="K1076" t="s">
        <v>3845</v>
      </c>
      <c r="L1076" t="s">
        <v>3845</v>
      </c>
      <c r="M1076" s="11" t="s">
        <v>3918</v>
      </c>
      <c r="N1076" t="s">
        <v>1860</v>
      </c>
      <c r="O1076" s="7" t="s">
        <v>3921</v>
      </c>
      <c r="P1076" s="17" t="str">
        <f t="shared" ca="1" si="32"/>
        <v>15-29.9K</v>
      </c>
      <c r="Q1076" s="17">
        <v>5</v>
      </c>
      <c r="R1076">
        <v>8</v>
      </c>
      <c r="S1076">
        <v>4</v>
      </c>
      <c r="T1076">
        <v>2</v>
      </c>
      <c r="U1076">
        <v>5</v>
      </c>
      <c r="V1076" s="15">
        <f t="shared" ca="1" si="33"/>
        <v>2</v>
      </c>
    </row>
    <row r="1077" spans="1:22">
      <c r="A1077" t="s">
        <v>216</v>
      </c>
      <c r="B1077" s="1">
        <v>41057.648344907408</v>
      </c>
      <c r="C1077" s="2" t="s">
        <v>217</v>
      </c>
      <c r="D1077">
        <v>2500000</v>
      </c>
      <c r="E1077" t="s">
        <v>1908</v>
      </c>
      <c r="F1077" s="5">
        <v>44519.791718606422</v>
      </c>
      <c r="G1077" s="5">
        <v>124489.59267005278</v>
      </c>
      <c r="H1077" s="5">
        <f ca="1">OFFSET(F1077,0,Brains!$D$1,1,1)</f>
        <v>124489.59267005278</v>
      </c>
      <c r="I1077" t="s">
        <v>218</v>
      </c>
      <c r="J1077" t="s">
        <v>1891</v>
      </c>
      <c r="K1077" t="s">
        <v>1859</v>
      </c>
      <c r="L1077" t="s">
        <v>1859</v>
      </c>
      <c r="M1077" s="11" t="s">
        <v>3918</v>
      </c>
      <c r="N1077" t="s">
        <v>1860</v>
      </c>
      <c r="O1077" s="7" t="s">
        <v>3921</v>
      </c>
      <c r="P1077" s="17" t="str">
        <f t="shared" ca="1" si="32"/>
        <v>100-149.9K</v>
      </c>
      <c r="Q1077" s="17">
        <v>5</v>
      </c>
      <c r="R1077">
        <v>9</v>
      </c>
      <c r="S1077">
        <v>4</v>
      </c>
      <c r="T1077">
        <v>2</v>
      </c>
      <c r="U1077">
        <v>5</v>
      </c>
      <c r="V1077" s="15">
        <f t="shared" ca="1" si="33"/>
        <v>6</v>
      </c>
    </row>
    <row r="1078" spans="1:22">
      <c r="A1078" t="s">
        <v>31</v>
      </c>
      <c r="B1078" s="1">
        <v>41057.367314814815</v>
      </c>
      <c r="C1078" s="2">
        <v>125000</v>
      </c>
      <c r="D1078">
        <v>125000</v>
      </c>
      <c r="E1078" t="s">
        <v>1856</v>
      </c>
      <c r="F1078" s="5">
        <v>125000</v>
      </c>
      <c r="G1078" s="5">
        <v>125000</v>
      </c>
      <c r="H1078" s="5">
        <f ca="1">OFFSET(F1078,0,Brains!$D$1,1,1)</f>
        <v>125000</v>
      </c>
      <c r="I1078" t="s">
        <v>32</v>
      </c>
      <c r="J1078" t="s">
        <v>1891</v>
      </c>
      <c r="K1078" t="s">
        <v>1869</v>
      </c>
      <c r="L1078" t="s">
        <v>1869</v>
      </c>
      <c r="M1078" s="11" t="s">
        <v>3918</v>
      </c>
      <c r="N1078" t="s">
        <v>1860</v>
      </c>
      <c r="O1078" s="7" t="s">
        <v>3921</v>
      </c>
      <c r="P1078" s="17" t="str">
        <f t="shared" ca="1" si="32"/>
        <v>100-149.9K</v>
      </c>
      <c r="Q1078" s="17">
        <v>5</v>
      </c>
      <c r="R1078">
        <v>10</v>
      </c>
      <c r="S1078">
        <v>4</v>
      </c>
      <c r="T1078">
        <v>2</v>
      </c>
      <c r="U1078">
        <v>5</v>
      </c>
      <c r="V1078" s="15">
        <f t="shared" ca="1" si="33"/>
        <v>6</v>
      </c>
    </row>
    <row r="1079" spans="1:22">
      <c r="A1079" t="s">
        <v>1821</v>
      </c>
      <c r="B1079" s="1">
        <v>41080.105462962965</v>
      </c>
      <c r="C1079" s="2">
        <v>110000</v>
      </c>
      <c r="D1079">
        <v>110000</v>
      </c>
      <c r="E1079" t="s">
        <v>1856</v>
      </c>
      <c r="F1079" s="5">
        <v>110000</v>
      </c>
      <c r="G1079" s="5">
        <v>110000</v>
      </c>
      <c r="H1079" s="5">
        <f ca="1">OFFSET(F1079,0,Brains!$D$1,1,1)</f>
        <v>110000</v>
      </c>
      <c r="I1079" t="s">
        <v>1822</v>
      </c>
      <c r="J1079" t="s">
        <v>1891</v>
      </c>
      <c r="K1079" t="s">
        <v>1869</v>
      </c>
      <c r="L1079" t="s">
        <v>1869</v>
      </c>
      <c r="M1079" s="11" t="s">
        <v>3918</v>
      </c>
      <c r="N1079" t="s">
        <v>1860</v>
      </c>
      <c r="O1079" s="7" t="s">
        <v>3921</v>
      </c>
      <c r="P1079" s="17" t="str">
        <f t="shared" ca="1" si="32"/>
        <v>100-149.9K</v>
      </c>
      <c r="Q1079" s="17">
        <v>5</v>
      </c>
      <c r="R1079">
        <v>10</v>
      </c>
      <c r="S1079">
        <v>4</v>
      </c>
      <c r="T1079">
        <v>2</v>
      </c>
      <c r="U1079">
        <v>5</v>
      </c>
      <c r="V1079" s="15">
        <f t="shared" ca="1" si="33"/>
        <v>6</v>
      </c>
    </row>
    <row r="1080" spans="1:22">
      <c r="A1080" t="s">
        <v>3622</v>
      </c>
      <c r="B1080" s="1">
        <v>41055.961134259262</v>
      </c>
      <c r="C1080" s="2">
        <v>100000</v>
      </c>
      <c r="D1080">
        <v>100000</v>
      </c>
      <c r="E1080" t="s">
        <v>1856</v>
      </c>
      <c r="F1080" s="5">
        <v>100000</v>
      </c>
      <c r="G1080" s="5">
        <v>100000</v>
      </c>
      <c r="H1080" s="5">
        <f ca="1">OFFSET(F1080,0,Brains!$D$1,1,1)</f>
        <v>100000</v>
      </c>
      <c r="I1080" t="s">
        <v>2674</v>
      </c>
      <c r="J1080" t="s">
        <v>1891</v>
      </c>
      <c r="K1080" t="s">
        <v>1869</v>
      </c>
      <c r="L1080" t="s">
        <v>1869</v>
      </c>
      <c r="M1080" s="11" t="s">
        <v>3918</v>
      </c>
      <c r="N1080" t="s">
        <v>1860</v>
      </c>
      <c r="O1080" s="7" t="s">
        <v>3921</v>
      </c>
      <c r="P1080" s="17" t="str">
        <f t="shared" ca="1" si="32"/>
        <v>100-149.9K</v>
      </c>
      <c r="Q1080" s="17">
        <v>5</v>
      </c>
      <c r="R1080">
        <v>10</v>
      </c>
      <c r="S1080">
        <v>4</v>
      </c>
      <c r="T1080">
        <v>2</v>
      </c>
      <c r="U1080">
        <v>5</v>
      </c>
      <c r="V1080" s="15">
        <f t="shared" ca="1" si="33"/>
        <v>6</v>
      </c>
    </row>
    <row r="1081" spans="1:22">
      <c r="A1081" t="s">
        <v>1435</v>
      </c>
      <c r="B1081" s="1">
        <v>41065.909143518518</v>
      </c>
      <c r="C1081" s="2">
        <v>50000</v>
      </c>
      <c r="D1081">
        <v>50000</v>
      </c>
      <c r="E1081" t="s">
        <v>1954</v>
      </c>
      <c r="F1081" s="5">
        <v>78808.913603364199</v>
      </c>
      <c r="G1081" s="5">
        <v>74183.976261127595</v>
      </c>
      <c r="H1081" s="5">
        <f ca="1">OFFSET(F1081,0,Brains!$D$1,1,1)</f>
        <v>74183.976261127595</v>
      </c>
      <c r="I1081" t="s">
        <v>3746</v>
      </c>
      <c r="J1081" t="s">
        <v>1891</v>
      </c>
      <c r="K1081" t="s">
        <v>1956</v>
      </c>
      <c r="L1081" t="s">
        <v>1956</v>
      </c>
      <c r="M1081" s="11" t="s">
        <v>3918</v>
      </c>
      <c r="N1081" t="s">
        <v>1860</v>
      </c>
      <c r="O1081" s="7" t="s">
        <v>3921</v>
      </c>
      <c r="P1081" s="17" t="str">
        <f t="shared" ca="1" si="32"/>
        <v>50-74.9K</v>
      </c>
      <c r="Q1081" s="17">
        <v>5</v>
      </c>
      <c r="R1081">
        <v>10</v>
      </c>
      <c r="S1081">
        <v>4</v>
      </c>
      <c r="T1081">
        <v>2</v>
      </c>
      <c r="U1081">
        <v>5</v>
      </c>
      <c r="V1081" s="15">
        <f t="shared" ca="1" si="33"/>
        <v>4</v>
      </c>
    </row>
    <row r="1082" spans="1:22">
      <c r="A1082" t="s">
        <v>1334</v>
      </c>
      <c r="B1082" s="1">
        <v>41063.511284722219</v>
      </c>
      <c r="C1082" s="2">
        <v>54000</v>
      </c>
      <c r="D1082">
        <v>54000</v>
      </c>
      <c r="E1082" t="s">
        <v>1856</v>
      </c>
      <c r="F1082" s="5">
        <v>54000</v>
      </c>
      <c r="G1082" s="5">
        <v>54000</v>
      </c>
      <c r="H1082" s="5">
        <f ca="1">OFFSET(F1082,0,Brains!$D$1,1,1)</f>
        <v>54000</v>
      </c>
      <c r="I1082" t="s">
        <v>1335</v>
      </c>
      <c r="J1082" t="s">
        <v>1891</v>
      </c>
      <c r="K1082" t="s">
        <v>1869</v>
      </c>
      <c r="L1082" t="s">
        <v>1869</v>
      </c>
      <c r="M1082" s="11" t="s">
        <v>3918</v>
      </c>
      <c r="N1082" t="s">
        <v>1860</v>
      </c>
      <c r="O1082" s="7" t="s">
        <v>3921</v>
      </c>
      <c r="P1082" s="17" t="str">
        <f t="shared" ca="1" si="32"/>
        <v>50-74.9K</v>
      </c>
      <c r="Q1082" s="17">
        <v>5</v>
      </c>
      <c r="R1082">
        <v>10</v>
      </c>
      <c r="S1082">
        <v>4</v>
      </c>
      <c r="T1082">
        <v>2</v>
      </c>
      <c r="U1082">
        <v>5</v>
      </c>
      <c r="V1082" s="15">
        <f t="shared" ca="1" si="33"/>
        <v>4</v>
      </c>
    </row>
    <row r="1083" spans="1:22">
      <c r="A1083" t="s">
        <v>177</v>
      </c>
      <c r="B1083" s="1">
        <v>41057.605682870373</v>
      </c>
      <c r="C1083" s="2">
        <v>120000</v>
      </c>
      <c r="D1083">
        <v>120000</v>
      </c>
      <c r="E1083" t="s">
        <v>2912</v>
      </c>
      <c r="F1083" s="5">
        <v>14630.613583549337</v>
      </c>
      <c r="G1083" s="5">
        <v>21156.558533145275</v>
      </c>
      <c r="H1083" s="5">
        <f ca="1">OFFSET(F1083,0,Brains!$D$1,1,1)</f>
        <v>21156.558533145275</v>
      </c>
      <c r="I1083" t="s">
        <v>2462</v>
      </c>
      <c r="J1083" t="s">
        <v>1891</v>
      </c>
      <c r="K1083" t="s">
        <v>1922</v>
      </c>
      <c r="L1083" t="s">
        <v>1922</v>
      </c>
      <c r="M1083" s="11" t="s">
        <v>3918</v>
      </c>
      <c r="N1083" t="s">
        <v>1860</v>
      </c>
      <c r="O1083" s="7" t="s">
        <v>3921</v>
      </c>
      <c r="P1083" s="17" t="str">
        <f t="shared" ca="1" si="32"/>
        <v>15-29.9K</v>
      </c>
      <c r="Q1083" s="17">
        <v>5</v>
      </c>
      <c r="R1083">
        <v>10</v>
      </c>
      <c r="S1083">
        <v>4</v>
      </c>
      <c r="T1083">
        <v>2</v>
      </c>
      <c r="U1083">
        <v>5</v>
      </c>
      <c r="V1083" s="15">
        <f t="shared" ca="1" si="33"/>
        <v>2</v>
      </c>
    </row>
    <row r="1084" spans="1:22">
      <c r="A1084" t="s">
        <v>2853</v>
      </c>
      <c r="B1084" s="1">
        <v>41055.126875000002</v>
      </c>
      <c r="C1084" s="2" t="s">
        <v>2854</v>
      </c>
      <c r="D1084">
        <v>800000</v>
      </c>
      <c r="E1084" t="s">
        <v>1908</v>
      </c>
      <c r="F1084" s="5">
        <v>14246.333349954055</v>
      </c>
      <c r="G1084" s="5">
        <v>39836.669654416888</v>
      </c>
      <c r="H1084" s="5">
        <f ca="1">OFFSET(F1084,0,Brains!$D$1,1,1)</f>
        <v>39836.669654416888</v>
      </c>
      <c r="I1084" t="s">
        <v>2855</v>
      </c>
      <c r="J1084" t="s">
        <v>1891</v>
      </c>
      <c r="K1084" t="s">
        <v>1859</v>
      </c>
      <c r="L1084" t="s">
        <v>1859</v>
      </c>
      <c r="M1084" s="7" t="s">
        <v>3941</v>
      </c>
      <c r="N1084" t="s">
        <v>1866</v>
      </c>
      <c r="P1084" s="15" t="str">
        <f t="shared" ca="1" si="32"/>
        <v>30-49.9K</v>
      </c>
      <c r="Q1084" s="15">
        <v>8</v>
      </c>
      <c r="S1084">
        <v>5</v>
      </c>
      <c r="U1084">
        <v>5</v>
      </c>
      <c r="V1084" s="15">
        <f t="shared" ca="1" si="33"/>
        <v>3</v>
      </c>
    </row>
    <row r="1085" spans="1:22">
      <c r="A1085" t="s">
        <v>2815</v>
      </c>
      <c r="B1085" s="1">
        <v>41055.111064814817</v>
      </c>
      <c r="C1085" s="2">
        <v>120000</v>
      </c>
      <c r="D1085">
        <v>120000</v>
      </c>
      <c r="E1085" t="s">
        <v>1856</v>
      </c>
      <c r="F1085" s="5">
        <v>120000</v>
      </c>
      <c r="G1085" s="5">
        <v>120000</v>
      </c>
      <c r="H1085" s="5">
        <f ca="1">OFFSET(F1085,0,Brains!$D$1,1,1)</f>
        <v>120000</v>
      </c>
      <c r="I1085" t="s">
        <v>2074</v>
      </c>
      <c r="J1085" t="s">
        <v>1891</v>
      </c>
      <c r="K1085" t="s">
        <v>1869</v>
      </c>
      <c r="L1085" t="s">
        <v>1869</v>
      </c>
      <c r="M1085" s="11" t="s">
        <v>3916</v>
      </c>
      <c r="N1085" t="s">
        <v>1884</v>
      </c>
      <c r="P1085" s="15" t="str">
        <f t="shared" ca="1" si="32"/>
        <v>100-149.9K</v>
      </c>
      <c r="Q1085" s="15">
        <v>1.5</v>
      </c>
      <c r="S1085">
        <v>2</v>
      </c>
      <c r="U1085">
        <v>5</v>
      </c>
      <c r="V1085" s="15">
        <f t="shared" ca="1" si="33"/>
        <v>6</v>
      </c>
    </row>
    <row r="1086" spans="1:22">
      <c r="A1086" t="s">
        <v>1888</v>
      </c>
      <c r="B1086" s="1">
        <v>41054.150891203702</v>
      </c>
      <c r="C1086" s="2" t="s">
        <v>1889</v>
      </c>
      <c r="D1086">
        <v>44000</v>
      </c>
      <c r="E1086" t="s">
        <v>1856</v>
      </c>
      <c r="F1086" s="5">
        <v>44000</v>
      </c>
      <c r="G1086" s="5">
        <v>44000</v>
      </c>
      <c r="H1086" s="5">
        <f ca="1">OFFSET(F1086,0,Brains!$D$1,1,1)</f>
        <v>44000</v>
      </c>
      <c r="I1086" t="s">
        <v>1890</v>
      </c>
      <c r="J1086" t="s">
        <v>1891</v>
      </c>
      <c r="K1086" t="s">
        <v>1892</v>
      </c>
      <c r="L1086" t="s">
        <v>1892</v>
      </c>
      <c r="M1086" s="11" t="s">
        <v>3916</v>
      </c>
      <c r="N1086" t="s">
        <v>1884</v>
      </c>
      <c r="P1086" s="15" t="str">
        <f t="shared" ca="1" si="32"/>
        <v>30-49.9K</v>
      </c>
      <c r="Q1086" s="15">
        <v>1.5</v>
      </c>
      <c r="S1086">
        <v>2</v>
      </c>
      <c r="U1086">
        <v>5</v>
      </c>
      <c r="V1086" s="15">
        <f t="shared" ca="1" si="33"/>
        <v>3</v>
      </c>
    </row>
    <row r="1087" spans="1:22">
      <c r="A1087" t="s">
        <v>2519</v>
      </c>
      <c r="B1087" s="1">
        <v>41055.05704861111</v>
      </c>
      <c r="C1087" s="2">
        <v>16000</v>
      </c>
      <c r="D1087">
        <v>16000</v>
      </c>
      <c r="E1087" t="s">
        <v>1856</v>
      </c>
      <c r="F1087" s="5">
        <v>16000</v>
      </c>
      <c r="G1087" s="5">
        <v>16000</v>
      </c>
      <c r="H1087" s="5">
        <f ca="1">OFFSET(F1087,0,Brains!$D$1,1,1)</f>
        <v>16000</v>
      </c>
      <c r="I1087" t="s">
        <v>2520</v>
      </c>
      <c r="J1087" t="s">
        <v>1891</v>
      </c>
      <c r="K1087" t="s">
        <v>1869</v>
      </c>
      <c r="L1087" t="s">
        <v>1869</v>
      </c>
      <c r="M1087" s="11" t="s">
        <v>3916</v>
      </c>
      <c r="N1087" t="s">
        <v>1884</v>
      </c>
      <c r="P1087" s="15" t="str">
        <f t="shared" ca="1" si="32"/>
        <v>15-29.9K</v>
      </c>
      <c r="Q1087" s="15">
        <v>1.5</v>
      </c>
      <c r="S1087">
        <v>2</v>
      </c>
      <c r="U1087">
        <v>5</v>
      </c>
      <c r="V1087" s="15">
        <f t="shared" ca="1" si="33"/>
        <v>2</v>
      </c>
    </row>
    <row r="1088" spans="1:22">
      <c r="A1088" t="s">
        <v>2993</v>
      </c>
      <c r="B1088" s="1">
        <v>41055.200624999998</v>
      </c>
      <c r="C1088" s="2">
        <v>200000</v>
      </c>
      <c r="D1088">
        <v>200000</v>
      </c>
      <c r="E1088" t="s">
        <v>1856</v>
      </c>
      <c r="F1088" s="5">
        <v>200000</v>
      </c>
      <c r="G1088" s="5">
        <v>200000</v>
      </c>
      <c r="H1088" s="5">
        <f ca="1">OFFSET(F1088,0,Brains!$D$1,1,1)</f>
        <v>200000</v>
      </c>
      <c r="I1088" t="s">
        <v>2994</v>
      </c>
      <c r="J1088" t="s">
        <v>1891</v>
      </c>
      <c r="K1088" t="s">
        <v>1869</v>
      </c>
      <c r="L1088" t="s">
        <v>1869</v>
      </c>
      <c r="M1088" s="11" t="s">
        <v>3917</v>
      </c>
      <c r="N1088" t="s">
        <v>1873</v>
      </c>
      <c r="P1088" s="15" t="str">
        <f t="shared" ca="1" si="32"/>
        <v>150-249.9K</v>
      </c>
      <c r="Q1088" s="15">
        <v>2.5</v>
      </c>
      <c r="S1088">
        <v>3</v>
      </c>
      <c r="U1088">
        <v>5</v>
      </c>
      <c r="V1088" s="15">
        <f t="shared" ca="1" si="33"/>
        <v>7</v>
      </c>
    </row>
    <row r="1089" spans="1:22">
      <c r="A1089" t="s">
        <v>2673</v>
      </c>
      <c r="B1089" s="1">
        <v>41055.077824074076</v>
      </c>
      <c r="C1089" s="2">
        <v>194000</v>
      </c>
      <c r="D1089">
        <v>194000</v>
      </c>
      <c r="E1089" t="s">
        <v>1856</v>
      </c>
      <c r="F1089" s="5">
        <v>194000</v>
      </c>
      <c r="G1089" s="5">
        <v>194000</v>
      </c>
      <c r="H1089" s="5">
        <f ca="1">OFFSET(F1089,0,Brains!$D$1,1,1)</f>
        <v>194000</v>
      </c>
      <c r="I1089" t="s">
        <v>2674</v>
      </c>
      <c r="J1089" t="s">
        <v>1891</v>
      </c>
      <c r="K1089" t="s">
        <v>1869</v>
      </c>
      <c r="L1089" t="s">
        <v>1869</v>
      </c>
      <c r="M1089" s="11" t="s">
        <v>3917</v>
      </c>
      <c r="N1089" t="s">
        <v>1873</v>
      </c>
      <c r="P1089" s="15" t="str">
        <f t="shared" ca="1" si="32"/>
        <v>150-249.9K</v>
      </c>
      <c r="Q1089" s="15">
        <v>2.5</v>
      </c>
      <c r="S1089">
        <v>3</v>
      </c>
      <c r="U1089">
        <v>5</v>
      </c>
      <c r="V1089" s="15">
        <f t="shared" ca="1" si="33"/>
        <v>7</v>
      </c>
    </row>
    <row r="1090" spans="1:22">
      <c r="A1090" t="s">
        <v>2904</v>
      </c>
      <c r="B1090" s="1">
        <v>41055.141562500001</v>
      </c>
      <c r="C1090" s="2" t="s">
        <v>2905</v>
      </c>
      <c r="D1090">
        <v>169000</v>
      </c>
      <c r="E1090" t="s">
        <v>1856</v>
      </c>
      <c r="F1090" s="5">
        <v>169000</v>
      </c>
      <c r="G1090" s="5">
        <v>169000</v>
      </c>
      <c r="H1090" s="5">
        <f ca="1">OFFSET(F1090,0,Brains!$D$1,1,1)</f>
        <v>169000</v>
      </c>
      <c r="I1090" t="s">
        <v>2906</v>
      </c>
      <c r="J1090" t="s">
        <v>1891</v>
      </c>
      <c r="K1090" t="s">
        <v>1869</v>
      </c>
      <c r="L1090" t="s">
        <v>1869</v>
      </c>
      <c r="M1090" s="11" t="s">
        <v>3917</v>
      </c>
      <c r="N1090" t="s">
        <v>1873</v>
      </c>
      <c r="P1090" s="15" t="str">
        <f t="shared" ref="P1090:P1153" ca="1" si="34">IF(H1090&lt;15000,"0-14.9K",IF(H1090&lt;30000,"15-29.9K",IF(H1090&lt;50000,"30-49.9K",IF(H1090&lt;75000,"50-74.9K",IF(H1090&lt;100000,"75-99.9K",IF(H1090&lt;150000,"100-149.9K",IF(H1090&lt;250000,"150-249.9K","250K+")))))))</f>
        <v>150-249.9K</v>
      </c>
      <c r="Q1090" s="15">
        <v>2.5</v>
      </c>
      <c r="S1090">
        <v>3</v>
      </c>
      <c r="U1090">
        <v>5</v>
      </c>
      <c r="V1090" s="15">
        <f t="shared" ref="V1090:V1153" ca="1" si="35">IF(H1090&lt;15000,1,IF(H1090&lt;30000,2,IF(H1090&lt;50000,3,IF(H1090&lt;75000,4,IF(H1090&lt;100000,5,IF(H1090&lt;150000,6,IF(H1090&lt;250000,7,8)))))))</f>
        <v>7</v>
      </c>
    </row>
    <row r="1091" spans="1:22">
      <c r="A1091" t="s">
        <v>2883</v>
      </c>
      <c r="B1091" s="1">
        <v>41055.135231481479</v>
      </c>
      <c r="C1091" s="2">
        <v>150000</v>
      </c>
      <c r="D1091">
        <v>150000</v>
      </c>
      <c r="E1091" t="s">
        <v>1856</v>
      </c>
      <c r="F1091" s="5">
        <v>150000</v>
      </c>
      <c r="G1091" s="5">
        <v>150000</v>
      </c>
      <c r="H1091" s="5">
        <f ca="1">OFFSET(F1091,0,Brains!$D$1,1,1)</f>
        <v>150000</v>
      </c>
      <c r="I1091" t="s">
        <v>1890</v>
      </c>
      <c r="J1091" t="s">
        <v>1891</v>
      </c>
      <c r="K1091" t="s">
        <v>1869</v>
      </c>
      <c r="L1091" t="s">
        <v>1869</v>
      </c>
      <c r="M1091" s="11" t="s">
        <v>3917</v>
      </c>
      <c r="N1091" t="s">
        <v>1873</v>
      </c>
      <c r="P1091" s="15" t="str">
        <f t="shared" ca="1" si="34"/>
        <v>150-249.9K</v>
      </c>
      <c r="Q1091" s="15">
        <v>2.5</v>
      </c>
      <c r="S1091">
        <v>3</v>
      </c>
      <c r="U1091">
        <v>5</v>
      </c>
      <c r="V1091" s="15">
        <f t="shared" ca="1" si="35"/>
        <v>7</v>
      </c>
    </row>
    <row r="1092" spans="1:22">
      <c r="A1092" t="s">
        <v>2382</v>
      </c>
      <c r="B1092" s="1">
        <v>41055.041076388887</v>
      </c>
      <c r="C1092" s="2">
        <v>114000</v>
      </c>
      <c r="D1092">
        <v>114000</v>
      </c>
      <c r="E1092" t="s">
        <v>1856</v>
      </c>
      <c r="F1092" s="5">
        <v>114000</v>
      </c>
      <c r="G1092" s="5">
        <v>114000</v>
      </c>
      <c r="H1092" s="5">
        <f ca="1">OFFSET(F1092,0,Brains!$D$1,1,1)</f>
        <v>114000</v>
      </c>
      <c r="I1092" t="s">
        <v>2074</v>
      </c>
      <c r="J1092" t="s">
        <v>1891</v>
      </c>
      <c r="K1092" t="s">
        <v>1869</v>
      </c>
      <c r="L1092" t="s">
        <v>1869</v>
      </c>
      <c r="M1092" s="11" t="s">
        <v>3917</v>
      </c>
      <c r="N1092" t="s">
        <v>1873</v>
      </c>
      <c r="P1092" s="15" t="str">
        <f t="shared" ca="1" si="34"/>
        <v>100-149.9K</v>
      </c>
      <c r="Q1092" s="15">
        <v>2.5</v>
      </c>
      <c r="S1092">
        <v>3</v>
      </c>
      <c r="U1092">
        <v>5</v>
      </c>
      <c r="V1092" s="15">
        <f t="shared" ca="1" si="35"/>
        <v>6</v>
      </c>
    </row>
    <row r="1093" spans="1:22">
      <c r="A1093" t="s">
        <v>2203</v>
      </c>
      <c r="B1093" s="1">
        <v>41055.030428240738</v>
      </c>
      <c r="C1093" s="2">
        <v>104000</v>
      </c>
      <c r="D1093">
        <v>104000</v>
      </c>
      <c r="E1093" t="s">
        <v>1856</v>
      </c>
      <c r="F1093" s="5">
        <v>104000</v>
      </c>
      <c r="G1093" s="5">
        <v>104000</v>
      </c>
      <c r="H1093" s="5">
        <f ca="1">OFFSET(F1093,0,Brains!$D$1,1,1)</f>
        <v>104000</v>
      </c>
      <c r="I1093" t="s">
        <v>2204</v>
      </c>
      <c r="J1093" t="s">
        <v>1891</v>
      </c>
      <c r="K1093" t="s">
        <v>1869</v>
      </c>
      <c r="L1093" t="s">
        <v>1869</v>
      </c>
      <c r="M1093" s="11" t="s">
        <v>3917</v>
      </c>
      <c r="N1093" t="s">
        <v>1873</v>
      </c>
      <c r="P1093" s="15" t="str">
        <f t="shared" ca="1" si="34"/>
        <v>100-149.9K</v>
      </c>
      <c r="Q1093" s="15">
        <v>2.5</v>
      </c>
      <c r="S1093">
        <v>3</v>
      </c>
      <c r="U1093">
        <v>5</v>
      </c>
      <c r="V1093" s="15">
        <f t="shared" ca="1" si="35"/>
        <v>6</v>
      </c>
    </row>
    <row r="1094" spans="1:22">
      <c r="A1094" t="s">
        <v>2455</v>
      </c>
      <c r="B1094" s="1">
        <v>41055.04828703704</v>
      </c>
      <c r="C1094" s="2">
        <v>103000</v>
      </c>
      <c r="D1094">
        <v>103000</v>
      </c>
      <c r="E1094" t="s">
        <v>1856</v>
      </c>
      <c r="F1094" s="5">
        <v>103000</v>
      </c>
      <c r="G1094" s="5">
        <v>103000</v>
      </c>
      <c r="H1094" s="5">
        <f ca="1">OFFSET(F1094,0,Brains!$D$1,1,1)</f>
        <v>103000</v>
      </c>
      <c r="I1094" t="s">
        <v>2456</v>
      </c>
      <c r="J1094" t="s">
        <v>1891</v>
      </c>
      <c r="K1094" t="s">
        <v>1869</v>
      </c>
      <c r="L1094" t="s">
        <v>1869</v>
      </c>
      <c r="M1094" s="11" t="s">
        <v>3917</v>
      </c>
      <c r="N1094" t="s">
        <v>1873</v>
      </c>
      <c r="P1094" s="15" t="str">
        <f t="shared" ca="1" si="34"/>
        <v>100-149.9K</v>
      </c>
      <c r="Q1094" s="15">
        <v>2.5</v>
      </c>
      <c r="S1094">
        <v>3</v>
      </c>
      <c r="U1094">
        <v>5</v>
      </c>
      <c r="V1094" s="15">
        <f t="shared" ca="1" si="35"/>
        <v>6</v>
      </c>
    </row>
    <row r="1095" spans="1:22">
      <c r="A1095" t="s">
        <v>2989</v>
      </c>
      <c r="B1095" s="1">
        <v>41055.195370370369</v>
      </c>
      <c r="C1095" s="2">
        <v>100000</v>
      </c>
      <c r="D1095">
        <v>100000</v>
      </c>
      <c r="E1095" t="s">
        <v>1856</v>
      </c>
      <c r="F1095" s="5">
        <v>100000</v>
      </c>
      <c r="G1095" s="5">
        <v>100000</v>
      </c>
      <c r="H1095" s="5">
        <f ca="1">OFFSET(F1095,0,Brains!$D$1,1,1)</f>
        <v>100000</v>
      </c>
      <c r="I1095" t="s">
        <v>2074</v>
      </c>
      <c r="J1095" t="s">
        <v>1891</v>
      </c>
      <c r="K1095" t="s">
        <v>1869</v>
      </c>
      <c r="L1095" t="s">
        <v>1869</v>
      </c>
      <c r="M1095" s="11" t="s">
        <v>3917</v>
      </c>
      <c r="N1095" t="s">
        <v>1873</v>
      </c>
      <c r="P1095" s="15" t="str">
        <f t="shared" ca="1" si="34"/>
        <v>100-149.9K</v>
      </c>
      <c r="Q1095" s="15">
        <v>2.5</v>
      </c>
      <c r="S1095">
        <v>3</v>
      </c>
      <c r="U1095">
        <v>5</v>
      </c>
      <c r="V1095" s="15">
        <f t="shared" ca="1" si="35"/>
        <v>6</v>
      </c>
    </row>
    <row r="1096" spans="1:22">
      <c r="A1096" t="s">
        <v>3014</v>
      </c>
      <c r="B1096" s="1">
        <v>41055.221145833333</v>
      </c>
      <c r="C1096" s="2" t="s">
        <v>3015</v>
      </c>
      <c r="D1096">
        <v>95000</v>
      </c>
      <c r="E1096" t="s">
        <v>1856</v>
      </c>
      <c r="F1096" s="5">
        <v>95000</v>
      </c>
      <c r="G1096" s="5">
        <v>95000</v>
      </c>
      <c r="H1096" s="5">
        <f ca="1">OFFSET(F1096,0,Brains!$D$1,1,1)</f>
        <v>95000</v>
      </c>
      <c r="I1096" t="s">
        <v>3016</v>
      </c>
      <c r="J1096" t="s">
        <v>1891</v>
      </c>
      <c r="K1096" t="s">
        <v>3017</v>
      </c>
      <c r="L1096" t="s">
        <v>3017</v>
      </c>
      <c r="M1096" s="11" t="s">
        <v>3917</v>
      </c>
      <c r="N1096" t="s">
        <v>1873</v>
      </c>
      <c r="P1096" s="15" t="str">
        <f t="shared" ca="1" si="34"/>
        <v>75-99.9K</v>
      </c>
      <c r="Q1096" s="15">
        <v>2.5</v>
      </c>
      <c r="S1096">
        <v>3</v>
      </c>
      <c r="U1096">
        <v>5</v>
      </c>
      <c r="V1096" s="15">
        <f t="shared" ca="1" si="35"/>
        <v>5</v>
      </c>
    </row>
    <row r="1097" spans="1:22">
      <c r="A1097" t="s">
        <v>2683</v>
      </c>
      <c r="B1097" s="1">
        <v>41055.08216435185</v>
      </c>
      <c r="C1097" s="2" t="s">
        <v>2435</v>
      </c>
      <c r="D1097">
        <v>60000</v>
      </c>
      <c r="E1097" t="s">
        <v>1954</v>
      </c>
      <c r="F1097" s="5">
        <v>94570.696324037053</v>
      </c>
      <c r="G1097" s="5">
        <v>89020.771513353116</v>
      </c>
      <c r="H1097" s="5">
        <f ca="1">OFFSET(F1097,0,Brains!$D$1,1,1)</f>
        <v>89020.771513353116</v>
      </c>
      <c r="I1097" t="s">
        <v>2684</v>
      </c>
      <c r="J1097" t="s">
        <v>1891</v>
      </c>
      <c r="K1097" t="s">
        <v>1956</v>
      </c>
      <c r="L1097" t="s">
        <v>1956</v>
      </c>
      <c r="M1097" s="11" t="s">
        <v>3917</v>
      </c>
      <c r="N1097" t="s">
        <v>1873</v>
      </c>
      <c r="P1097" s="15" t="str">
        <f t="shared" ca="1" si="34"/>
        <v>75-99.9K</v>
      </c>
      <c r="Q1097" s="15">
        <v>2.5</v>
      </c>
      <c r="S1097">
        <v>3</v>
      </c>
      <c r="U1097">
        <v>5</v>
      </c>
      <c r="V1097" s="15">
        <f t="shared" ca="1" si="35"/>
        <v>5</v>
      </c>
    </row>
    <row r="1098" spans="1:22">
      <c r="A1098" t="s">
        <v>2461</v>
      </c>
      <c r="B1098" s="1">
        <v>41055.048842592594</v>
      </c>
      <c r="C1098" s="2">
        <v>80000</v>
      </c>
      <c r="D1098">
        <v>80000</v>
      </c>
      <c r="E1098" t="s">
        <v>1856</v>
      </c>
      <c r="F1098" s="5">
        <v>80000</v>
      </c>
      <c r="G1098" s="5">
        <v>80000</v>
      </c>
      <c r="H1098" s="5">
        <f ca="1">OFFSET(F1098,0,Brains!$D$1,1,1)</f>
        <v>80000</v>
      </c>
      <c r="I1098" t="s">
        <v>2462</v>
      </c>
      <c r="J1098" t="s">
        <v>1891</v>
      </c>
      <c r="K1098" t="s">
        <v>1869</v>
      </c>
      <c r="L1098" t="s">
        <v>1869</v>
      </c>
      <c r="M1098" s="11" t="s">
        <v>3917</v>
      </c>
      <c r="N1098" t="s">
        <v>1873</v>
      </c>
      <c r="P1098" s="15" t="str">
        <f t="shared" ca="1" si="34"/>
        <v>75-99.9K</v>
      </c>
      <c r="Q1098" s="15">
        <v>2.5</v>
      </c>
      <c r="S1098">
        <v>3</v>
      </c>
      <c r="U1098">
        <v>5</v>
      </c>
      <c r="V1098" s="15">
        <f t="shared" ca="1" si="35"/>
        <v>5</v>
      </c>
    </row>
    <row r="1099" spans="1:22">
      <c r="A1099" t="s">
        <v>2733</v>
      </c>
      <c r="B1099" s="1">
        <v>41055.087939814817</v>
      </c>
      <c r="C1099" s="2">
        <v>30000</v>
      </c>
      <c r="D1099">
        <v>30000</v>
      </c>
      <c r="E1099" t="s">
        <v>1856</v>
      </c>
      <c r="F1099" s="5">
        <v>30000</v>
      </c>
      <c r="G1099" s="5">
        <v>30000</v>
      </c>
      <c r="H1099" s="5">
        <f ca="1">OFFSET(F1099,0,Brains!$D$1,1,1)</f>
        <v>30000</v>
      </c>
      <c r="I1099" t="s">
        <v>2666</v>
      </c>
      <c r="J1099" t="s">
        <v>1891</v>
      </c>
      <c r="K1099" t="s">
        <v>1859</v>
      </c>
      <c r="L1099" t="s">
        <v>1859</v>
      </c>
      <c r="M1099" s="11" t="s">
        <v>3917</v>
      </c>
      <c r="N1099" t="s">
        <v>1873</v>
      </c>
      <c r="P1099" s="15" t="str">
        <f t="shared" ca="1" si="34"/>
        <v>30-49.9K</v>
      </c>
      <c r="Q1099" s="15">
        <v>2.5</v>
      </c>
      <c r="S1099">
        <v>3</v>
      </c>
      <c r="U1099">
        <v>5</v>
      </c>
      <c r="V1099" s="15">
        <f t="shared" ca="1" si="35"/>
        <v>3</v>
      </c>
    </row>
    <row r="1100" spans="1:22">
      <c r="A1100" t="s">
        <v>2665</v>
      </c>
      <c r="B1100" s="1">
        <v>41055.077037037037</v>
      </c>
      <c r="C1100" s="2">
        <v>18000</v>
      </c>
      <c r="D1100">
        <v>18000</v>
      </c>
      <c r="E1100" t="s">
        <v>1856</v>
      </c>
      <c r="F1100" s="5">
        <v>18000</v>
      </c>
      <c r="G1100" s="5">
        <v>18000</v>
      </c>
      <c r="H1100" s="5">
        <f ca="1">OFFSET(F1100,0,Brains!$D$1,1,1)</f>
        <v>18000</v>
      </c>
      <c r="I1100" t="s">
        <v>2666</v>
      </c>
      <c r="J1100" t="s">
        <v>1891</v>
      </c>
      <c r="K1100" t="s">
        <v>1859</v>
      </c>
      <c r="L1100" t="s">
        <v>1859</v>
      </c>
      <c r="M1100" s="11" t="s">
        <v>3917</v>
      </c>
      <c r="N1100" t="s">
        <v>1873</v>
      </c>
      <c r="P1100" s="15" t="str">
        <f t="shared" ca="1" si="34"/>
        <v>15-29.9K</v>
      </c>
      <c r="Q1100" s="15">
        <v>2.5</v>
      </c>
      <c r="S1100">
        <v>3</v>
      </c>
      <c r="U1100">
        <v>5</v>
      </c>
      <c r="V1100" s="15">
        <f t="shared" ca="1" si="35"/>
        <v>2</v>
      </c>
    </row>
    <row r="1101" spans="1:22">
      <c r="A1101" t="s">
        <v>2927</v>
      </c>
      <c r="B1101" s="1">
        <v>41055.151076388887</v>
      </c>
      <c r="C1101" s="2">
        <v>190000</v>
      </c>
      <c r="D1101">
        <v>190000</v>
      </c>
      <c r="E1101" t="s">
        <v>1954</v>
      </c>
      <c r="F1101" s="5">
        <v>299473.87169278396</v>
      </c>
      <c r="G1101" s="5">
        <v>281899.10979228484</v>
      </c>
      <c r="H1101" s="5">
        <f ca="1">OFFSET(F1101,0,Brains!$D$1,1,1)</f>
        <v>281899.10979228484</v>
      </c>
      <c r="I1101" t="s">
        <v>2928</v>
      </c>
      <c r="J1101" t="s">
        <v>1891</v>
      </c>
      <c r="K1101" t="s">
        <v>1956</v>
      </c>
      <c r="L1101" t="s">
        <v>1956</v>
      </c>
      <c r="M1101" s="11" t="s">
        <v>3918</v>
      </c>
      <c r="N1101" t="s">
        <v>1860</v>
      </c>
      <c r="P1101" s="15" t="str">
        <f t="shared" ca="1" si="34"/>
        <v>250K+</v>
      </c>
      <c r="Q1101" s="15">
        <v>5</v>
      </c>
      <c r="S1101">
        <v>4</v>
      </c>
      <c r="U1101">
        <v>5</v>
      </c>
      <c r="V1101" s="15">
        <f t="shared" ca="1" si="35"/>
        <v>8</v>
      </c>
    </row>
    <row r="1102" spans="1:22">
      <c r="A1102" t="s">
        <v>2091</v>
      </c>
      <c r="B1102" s="1">
        <v>41055.027499999997</v>
      </c>
      <c r="C1102" s="2">
        <v>125000</v>
      </c>
      <c r="D1102">
        <v>125000</v>
      </c>
      <c r="E1102" t="s">
        <v>1856</v>
      </c>
      <c r="F1102" s="5">
        <v>125000</v>
      </c>
      <c r="G1102" s="5">
        <v>125000</v>
      </c>
      <c r="H1102" s="5">
        <f ca="1">OFFSET(F1102,0,Brains!$D$1,1,1)</f>
        <v>125000</v>
      </c>
      <c r="I1102" t="s">
        <v>2092</v>
      </c>
      <c r="J1102" t="s">
        <v>1891</v>
      </c>
      <c r="K1102" t="s">
        <v>1869</v>
      </c>
      <c r="L1102" t="s">
        <v>1869</v>
      </c>
      <c r="M1102" s="11" t="s">
        <v>3918</v>
      </c>
      <c r="N1102" t="s">
        <v>1860</v>
      </c>
      <c r="P1102" s="15" t="str">
        <f t="shared" ca="1" si="34"/>
        <v>100-149.9K</v>
      </c>
      <c r="Q1102" s="15">
        <v>5</v>
      </c>
      <c r="S1102">
        <v>4</v>
      </c>
      <c r="U1102">
        <v>5</v>
      </c>
      <c r="V1102" s="15">
        <f t="shared" ca="1" si="35"/>
        <v>6</v>
      </c>
    </row>
    <row r="1103" spans="1:22">
      <c r="A1103" t="s">
        <v>3049</v>
      </c>
      <c r="B1103" s="1">
        <v>41055.241782407407</v>
      </c>
      <c r="C1103" s="2">
        <v>120000</v>
      </c>
      <c r="D1103">
        <v>120000</v>
      </c>
      <c r="E1103" t="s">
        <v>1856</v>
      </c>
      <c r="F1103" s="5">
        <v>120000</v>
      </c>
      <c r="G1103" s="5">
        <v>120000</v>
      </c>
      <c r="H1103" s="5">
        <f ca="1">OFFSET(F1103,0,Brains!$D$1,1,1)</f>
        <v>120000</v>
      </c>
      <c r="I1103" t="s">
        <v>2074</v>
      </c>
      <c r="J1103" t="s">
        <v>1891</v>
      </c>
      <c r="K1103" t="s">
        <v>1869</v>
      </c>
      <c r="L1103" t="s">
        <v>1869</v>
      </c>
      <c r="M1103" s="11" t="s">
        <v>3918</v>
      </c>
      <c r="N1103" t="s">
        <v>1860</v>
      </c>
      <c r="P1103" s="15" t="str">
        <f t="shared" ca="1" si="34"/>
        <v>100-149.9K</v>
      </c>
      <c r="Q1103" s="15">
        <v>5</v>
      </c>
      <c r="S1103">
        <v>4</v>
      </c>
      <c r="U1103">
        <v>5</v>
      </c>
      <c r="V1103" s="15">
        <f t="shared" ca="1" si="35"/>
        <v>6</v>
      </c>
    </row>
    <row r="1104" spans="1:22">
      <c r="A1104" t="s">
        <v>2347</v>
      </c>
      <c r="B1104" s="1">
        <v>41055.038263888891</v>
      </c>
      <c r="C1104" s="2">
        <v>100000</v>
      </c>
      <c r="D1104">
        <v>100000</v>
      </c>
      <c r="E1104" t="s">
        <v>1856</v>
      </c>
      <c r="F1104" s="5">
        <v>100000</v>
      </c>
      <c r="G1104" s="5">
        <v>100000</v>
      </c>
      <c r="H1104" s="5">
        <f ca="1">OFFSET(F1104,0,Brains!$D$1,1,1)</f>
        <v>100000</v>
      </c>
      <c r="I1104" t="s">
        <v>2348</v>
      </c>
      <c r="J1104" t="s">
        <v>1891</v>
      </c>
      <c r="K1104" t="s">
        <v>1869</v>
      </c>
      <c r="L1104" t="s">
        <v>1869</v>
      </c>
      <c r="M1104" s="11" t="s">
        <v>3918</v>
      </c>
      <c r="N1104" t="s">
        <v>1860</v>
      </c>
      <c r="P1104" s="15" t="str">
        <f t="shared" ca="1" si="34"/>
        <v>100-149.9K</v>
      </c>
      <c r="Q1104" s="15">
        <v>5</v>
      </c>
      <c r="S1104">
        <v>4</v>
      </c>
      <c r="U1104">
        <v>5</v>
      </c>
      <c r="V1104" s="15">
        <f t="shared" ca="1" si="35"/>
        <v>6</v>
      </c>
    </row>
    <row r="1105" spans="1:22">
      <c r="A1105" t="s">
        <v>2100</v>
      </c>
      <c r="B1105" s="1">
        <v>41055.028009259258</v>
      </c>
      <c r="C1105" s="2">
        <v>95000</v>
      </c>
      <c r="D1105">
        <v>95000</v>
      </c>
      <c r="E1105" t="s">
        <v>1856</v>
      </c>
      <c r="F1105" s="5">
        <v>95000</v>
      </c>
      <c r="G1105" s="5">
        <v>95000</v>
      </c>
      <c r="H1105" s="5">
        <f ca="1">OFFSET(F1105,0,Brains!$D$1,1,1)</f>
        <v>95000</v>
      </c>
      <c r="I1105" t="s">
        <v>1890</v>
      </c>
      <c r="J1105" t="s">
        <v>1891</v>
      </c>
      <c r="K1105" t="s">
        <v>1869</v>
      </c>
      <c r="L1105" t="s">
        <v>1869</v>
      </c>
      <c r="M1105" s="11" t="s">
        <v>3918</v>
      </c>
      <c r="N1105" t="s">
        <v>1860</v>
      </c>
      <c r="P1105" s="15" t="str">
        <f t="shared" ca="1" si="34"/>
        <v>75-99.9K</v>
      </c>
      <c r="Q1105" s="15">
        <v>5</v>
      </c>
      <c r="S1105">
        <v>4</v>
      </c>
      <c r="U1105">
        <v>5</v>
      </c>
      <c r="V1105" s="15">
        <f t="shared" ca="1" si="35"/>
        <v>5</v>
      </c>
    </row>
    <row r="1106" spans="1:22">
      <c r="A1106" t="s">
        <v>2383</v>
      </c>
      <c r="B1106" s="1">
        <v>41055.041284722225</v>
      </c>
      <c r="C1106" s="2">
        <v>95000</v>
      </c>
      <c r="D1106">
        <v>95000</v>
      </c>
      <c r="E1106" t="s">
        <v>1856</v>
      </c>
      <c r="F1106" s="5">
        <v>95000</v>
      </c>
      <c r="G1106" s="5">
        <v>95000</v>
      </c>
      <c r="H1106" s="5">
        <f ca="1">OFFSET(F1106,0,Brains!$D$1,1,1)</f>
        <v>95000</v>
      </c>
      <c r="I1106" t="s">
        <v>2384</v>
      </c>
      <c r="J1106" t="s">
        <v>1891</v>
      </c>
      <c r="K1106" t="s">
        <v>1869</v>
      </c>
      <c r="L1106" t="s">
        <v>1869</v>
      </c>
      <c r="M1106" s="11" t="s">
        <v>3918</v>
      </c>
      <c r="N1106" t="s">
        <v>1860</v>
      </c>
      <c r="P1106" s="15" t="str">
        <f t="shared" ca="1" si="34"/>
        <v>75-99.9K</v>
      </c>
      <c r="Q1106" s="15">
        <v>5</v>
      </c>
      <c r="S1106">
        <v>4</v>
      </c>
      <c r="U1106">
        <v>5</v>
      </c>
      <c r="V1106" s="15">
        <f t="shared" ca="1" si="35"/>
        <v>5</v>
      </c>
    </row>
    <row r="1107" spans="1:22">
      <c r="A1107" t="s">
        <v>2034</v>
      </c>
      <c r="B1107" s="1">
        <v>41054.309166666666</v>
      </c>
      <c r="C1107" s="2">
        <v>85000</v>
      </c>
      <c r="D1107">
        <v>85000</v>
      </c>
      <c r="E1107" t="s">
        <v>1973</v>
      </c>
      <c r="F1107" s="5">
        <v>86692.320794224041</v>
      </c>
      <c r="G1107" s="5">
        <v>54071.246819338427</v>
      </c>
      <c r="H1107" s="5">
        <f ca="1">OFFSET(F1107,0,Brains!$D$1,1,1)</f>
        <v>54071.246819338427</v>
      </c>
      <c r="I1107" t="s">
        <v>2035</v>
      </c>
      <c r="J1107" t="s">
        <v>1891</v>
      </c>
      <c r="K1107" t="s">
        <v>1975</v>
      </c>
      <c r="L1107" t="s">
        <v>1975</v>
      </c>
      <c r="M1107" s="11" t="s">
        <v>3918</v>
      </c>
      <c r="N1107" t="s">
        <v>1860</v>
      </c>
      <c r="P1107" s="15" t="str">
        <f t="shared" ca="1" si="34"/>
        <v>50-74.9K</v>
      </c>
      <c r="Q1107" s="15">
        <v>5</v>
      </c>
      <c r="S1107">
        <v>4</v>
      </c>
      <c r="U1107">
        <v>5</v>
      </c>
      <c r="V1107" s="15">
        <f t="shared" ca="1" si="35"/>
        <v>4</v>
      </c>
    </row>
    <row r="1108" spans="1:22">
      <c r="A1108" t="s">
        <v>1931</v>
      </c>
      <c r="B1108" s="1">
        <v>41054.189456018517</v>
      </c>
      <c r="C1108" s="2">
        <v>75000</v>
      </c>
      <c r="D1108">
        <v>75000</v>
      </c>
      <c r="E1108" t="s">
        <v>1856</v>
      </c>
      <c r="F1108" s="5">
        <v>75000</v>
      </c>
      <c r="G1108" s="5">
        <v>75000</v>
      </c>
      <c r="H1108" s="5">
        <f ca="1">OFFSET(F1108,0,Brains!$D$1,1,1)</f>
        <v>75000</v>
      </c>
      <c r="I1108" t="s">
        <v>1932</v>
      </c>
      <c r="J1108" t="s">
        <v>1891</v>
      </c>
      <c r="K1108" t="s">
        <v>1869</v>
      </c>
      <c r="L1108" t="s">
        <v>1869</v>
      </c>
      <c r="M1108" s="11" t="s">
        <v>3918</v>
      </c>
      <c r="N1108" t="s">
        <v>1860</v>
      </c>
      <c r="P1108" s="15" t="str">
        <f t="shared" ca="1" si="34"/>
        <v>75-99.9K</v>
      </c>
      <c r="Q1108" s="15">
        <v>5</v>
      </c>
      <c r="S1108">
        <v>4</v>
      </c>
      <c r="U1108">
        <v>5</v>
      </c>
      <c r="V1108" s="15">
        <f t="shared" ca="1" si="35"/>
        <v>5</v>
      </c>
    </row>
    <row r="1109" spans="1:22">
      <c r="A1109" t="s">
        <v>2773</v>
      </c>
      <c r="B1109" s="1">
        <v>41055.097083333334</v>
      </c>
      <c r="C1109" s="2">
        <v>72000</v>
      </c>
      <c r="D1109">
        <v>72000</v>
      </c>
      <c r="E1109" t="s">
        <v>1856</v>
      </c>
      <c r="F1109" s="5">
        <v>72000</v>
      </c>
      <c r="G1109" s="5">
        <v>72000</v>
      </c>
      <c r="H1109" s="5">
        <f ca="1">OFFSET(F1109,0,Brains!$D$1,1,1)</f>
        <v>72000</v>
      </c>
      <c r="I1109" t="s">
        <v>2774</v>
      </c>
      <c r="J1109" t="s">
        <v>1891</v>
      </c>
      <c r="K1109" t="s">
        <v>1869</v>
      </c>
      <c r="L1109" t="s">
        <v>1869</v>
      </c>
      <c r="M1109" s="11" t="s">
        <v>3918</v>
      </c>
      <c r="N1109" t="s">
        <v>1860</v>
      </c>
      <c r="P1109" s="15" t="str">
        <f t="shared" ca="1" si="34"/>
        <v>50-74.9K</v>
      </c>
      <c r="Q1109" s="15">
        <v>5</v>
      </c>
      <c r="S1109">
        <v>4</v>
      </c>
      <c r="U1109">
        <v>5</v>
      </c>
      <c r="V1109" s="15">
        <f t="shared" ca="1" si="35"/>
        <v>4</v>
      </c>
    </row>
    <row r="1110" spans="1:22">
      <c r="A1110" t="s">
        <v>2073</v>
      </c>
      <c r="B1110" s="1">
        <v>41055.000601851854</v>
      </c>
      <c r="C1110" s="2">
        <v>150000</v>
      </c>
      <c r="D1110">
        <v>150000</v>
      </c>
      <c r="E1110" t="s">
        <v>1856</v>
      </c>
      <c r="F1110" s="5">
        <v>150000</v>
      </c>
      <c r="G1110" s="5">
        <v>150000</v>
      </c>
      <c r="H1110" s="5">
        <f ca="1">OFFSET(F1110,0,Brains!$D$1,1,1)</f>
        <v>150000</v>
      </c>
      <c r="I1110" t="s">
        <v>2074</v>
      </c>
      <c r="J1110" t="s">
        <v>1891</v>
      </c>
      <c r="K1110" t="s">
        <v>1869</v>
      </c>
      <c r="L1110" t="s">
        <v>1869</v>
      </c>
      <c r="M1110" t="s">
        <v>3941</v>
      </c>
      <c r="N1110" t="s">
        <v>1866</v>
      </c>
      <c r="P1110" s="15" t="str">
        <f t="shared" ca="1" si="34"/>
        <v>150-249.9K</v>
      </c>
      <c r="Q1110" s="15">
        <v>8</v>
      </c>
      <c r="S1110">
        <v>5</v>
      </c>
      <c r="U1110">
        <v>5</v>
      </c>
      <c r="V1110" s="15">
        <f t="shared" ca="1" si="35"/>
        <v>7</v>
      </c>
    </row>
    <row r="1111" spans="1:22">
      <c r="A1111" t="s">
        <v>2646</v>
      </c>
      <c r="B1111" s="1">
        <v>41055.073495370372</v>
      </c>
      <c r="C1111" s="2" t="s">
        <v>2647</v>
      </c>
      <c r="D1111">
        <v>62500</v>
      </c>
      <c r="E1111" t="s">
        <v>1856</v>
      </c>
      <c r="F1111" s="5">
        <v>62500</v>
      </c>
      <c r="G1111" s="5">
        <v>62500</v>
      </c>
      <c r="H1111" s="5">
        <f ca="1">OFFSET(F1111,0,Brains!$D$1,1,1)</f>
        <v>62500</v>
      </c>
      <c r="I1111" t="s">
        <v>2648</v>
      </c>
      <c r="J1111" t="s">
        <v>1891</v>
      </c>
      <c r="K1111" t="s">
        <v>1869</v>
      </c>
      <c r="L1111" t="s">
        <v>1869</v>
      </c>
      <c r="M1111" t="s">
        <v>3941</v>
      </c>
      <c r="N1111" t="s">
        <v>1866</v>
      </c>
      <c r="P1111" s="15" t="str">
        <f t="shared" ca="1" si="34"/>
        <v>50-74.9K</v>
      </c>
      <c r="Q1111" s="15">
        <v>8</v>
      </c>
      <c r="S1111">
        <v>5</v>
      </c>
      <c r="U1111">
        <v>5</v>
      </c>
      <c r="V1111" s="15">
        <f t="shared" ca="1" si="35"/>
        <v>4</v>
      </c>
    </row>
    <row r="1112" spans="1:22">
      <c r="A1112" t="s">
        <v>3375</v>
      </c>
      <c r="B1112" s="1">
        <v>41055.606377314813</v>
      </c>
      <c r="C1112" s="2">
        <v>500000</v>
      </c>
      <c r="D1112">
        <v>500000</v>
      </c>
      <c r="E1112" t="s">
        <v>1908</v>
      </c>
      <c r="F1112" s="5">
        <v>8903.9583437212841</v>
      </c>
      <c r="G1112" s="5">
        <v>24897.918534010558</v>
      </c>
      <c r="H1112" s="5">
        <f ca="1">OFFSET(F1112,0,Brains!$D$1,1,1)</f>
        <v>24897.918534010558</v>
      </c>
      <c r="I1112" t="s">
        <v>1876</v>
      </c>
      <c r="J1112" t="s">
        <v>1876</v>
      </c>
      <c r="K1112" t="s">
        <v>1859</v>
      </c>
      <c r="L1112" t="s">
        <v>1859</v>
      </c>
      <c r="M1112" s="7" t="s">
        <v>3941</v>
      </c>
      <c r="N1112" t="s">
        <v>1866</v>
      </c>
      <c r="O1112" s="7" t="s">
        <v>3920</v>
      </c>
      <c r="P1112" s="17" t="str">
        <f t="shared" ca="1" si="34"/>
        <v>15-29.9K</v>
      </c>
      <c r="Q1112" s="17">
        <v>8</v>
      </c>
      <c r="R1112">
        <v>2</v>
      </c>
      <c r="S1112">
        <v>5</v>
      </c>
      <c r="T1112">
        <v>1</v>
      </c>
      <c r="U1112">
        <v>6</v>
      </c>
      <c r="V1112" s="15">
        <f t="shared" ca="1" si="35"/>
        <v>2</v>
      </c>
    </row>
    <row r="1113" spans="1:22">
      <c r="A1113" t="s">
        <v>3212</v>
      </c>
      <c r="B1113" s="1">
        <v>41055.485972222225</v>
      </c>
      <c r="C1113" s="2" t="s">
        <v>3213</v>
      </c>
      <c r="D1113">
        <v>300000</v>
      </c>
      <c r="E1113" t="s">
        <v>1908</v>
      </c>
      <c r="F1113" s="5">
        <v>5342.3750062327708</v>
      </c>
      <c r="G1113" s="5">
        <v>14938.751120406334</v>
      </c>
      <c r="H1113" s="5">
        <f ca="1">OFFSET(F1113,0,Brains!$D$1,1,1)</f>
        <v>14938.751120406334</v>
      </c>
      <c r="I1113" t="s">
        <v>3214</v>
      </c>
      <c r="J1113" t="s">
        <v>1876</v>
      </c>
      <c r="K1113" t="s">
        <v>1859</v>
      </c>
      <c r="L1113" t="s">
        <v>1859</v>
      </c>
      <c r="M1113" s="7" t="s">
        <v>3941</v>
      </c>
      <c r="N1113" t="s">
        <v>1866</v>
      </c>
      <c r="O1113" s="7" t="s">
        <v>3920</v>
      </c>
      <c r="P1113" s="17" t="str">
        <f t="shared" ca="1" si="34"/>
        <v>0-14.9K</v>
      </c>
      <c r="Q1113" s="17">
        <v>8</v>
      </c>
      <c r="R1113">
        <v>2</v>
      </c>
      <c r="S1113">
        <v>5</v>
      </c>
      <c r="T1113">
        <v>1</v>
      </c>
      <c r="U1113">
        <v>6</v>
      </c>
      <c r="V1113" s="15">
        <f t="shared" ca="1" si="35"/>
        <v>1</v>
      </c>
    </row>
    <row r="1114" spans="1:22">
      <c r="A1114" t="s">
        <v>331</v>
      </c>
      <c r="B1114" s="1">
        <v>41057.777870370373</v>
      </c>
      <c r="C1114" s="2">
        <v>400000</v>
      </c>
      <c r="D1114">
        <v>400000</v>
      </c>
      <c r="E1114" t="s">
        <v>1908</v>
      </c>
      <c r="F1114" s="5">
        <v>7123.1666749770275</v>
      </c>
      <c r="G1114" s="5">
        <v>19918.334827208444</v>
      </c>
      <c r="H1114" s="5">
        <f ca="1">OFFSET(F1114,0,Brains!$D$1,1,1)</f>
        <v>19918.334827208444</v>
      </c>
      <c r="I1114" t="s">
        <v>332</v>
      </c>
      <c r="J1114" t="s">
        <v>1876</v>
      </c>
      <c r="K1114" t="s">
        <v>1859</v>
      </c>
      <c r="L1114" t="s">
        <v>1859</v>
      </c>
      <c r="M1114" s="11" t="s">
        <v>3916</v>
      </c>
      <c r="N1114" t="s">
        <v>1884</v>
      </c>
      <c r="O1114" s="7" t="s">
        <v>3920</v>
      </c>
      <c r="P1114" s="17" t="str">
        <f t="shared" ca="1" si="34"/>
        <v>15-29.9K</v>
      </c>
      <c r="Q1114" s="17">
        <v>1.5</v>
      </c>
      <c r="R1114">
        <v>2</v>
      </c>
      <c r="S1114">
        <v>2</v>
      </c>
      <c r="T1114">
        <v>1</v>
      </c>
      <c r="U1114">
        <v>6</v>
      </c>
      <c r="V1114" s="15">
        <f t="shared" ca="1" si="35"/>
        <v>2</v>
      </c>
    </row>
    <row r="1115" spans="1:22">
      <c r="A1115" t="s">
        <v>3602</v>
      </c>
      <c r="B1115" s="1">
        <v>41055.946666666663</v>
      </c>
      <c r="C1115" s="2">
        <v>15500</v>
      </c>
      <c r="D1115">
        <v>15500</v>
      </c>
      <c r="E1115" t="s">
        <v>1856</v>
      </c>
      <c r="F1115" s="5">
        <v>15500</v>
      </c>
      <c r="G1115" s="5">
        <v>15500</v>
      </c>
      <c r="H1115" s="5">
        <f ca="1">OFFSET(F1115,0,Brains!$D$1,1,1)</f>
        <v>15500</v>
      </c>
      <c r="I1115" t="s">
        <v>1876</v>
      </c>
      <c r="J1115" t="s">
        <v>1876</v>
      </c>
      <c r="K1115" t="s">
        <v>1859</v>
      </c>
      <c r="L1115" t="s">
        <v>1859</v>
      </c>
      <c r="M1115" s="11" t="s">
        <v>3916</v>
      </c>
      <c r="N1115" t="s">
        <v>1884</v>
      </c>
      <c r="O1115" s="7" t="s">
        <v>3920</v>
      </c>
      <c r="P1115" s="17" t="str">
        <f t="shared" ca="1" si="34"/>
        <v>15-29.9K</v>
      </c>
      <c r="Q1115" s="17">
        <v>1.5</v>
      </c>
      <c r="R1115">
        <v>3</v>
      </c>
      <c r="S1115">
        <v>2</v>
      </c>
      <c r="T1115">
        <v>1</v>
      </c>
      <c r="U1115">
        <v>6</v>
      </c>
      <c r="V1115" s="15">
        <f t="shared" ca="1" si="35"/>
        <v>2</v>
      </c>
    </row>
    <row r="1116" spans="1:22">
      <c r="A1116" t="s">
        <v>1592</v>
      </c>
      <c r="B1116" s="1">
        <v>41071.133090277777</v>
      </c>
      <c r="C1116" s="2">
        <v>150000</v>
      </c>
      <c r="D1116">
        <v>150000</v>
      </c>
      <c r="E1116" t="s">
        <v>1908</v>
      </c>
      <c r="F1116" s="5">
        <v>2671.1875031163854</v>
      </c>
      <c r="G1116" s="5">
        <v>7469.375560203167</v>
      </c>
      <c r="H1116" s="5">
        <f ca="1">OFFSET(F1116,0,Brains!$D$1,1,1)</f>
        <v>7469.375560203167</v>
      </c>
      <c r="I1116" t="s">
        <v>2728</v>
      </c>
      <c r="J1116" t="s">
        <v>1876</v>
      </c>
      <c r="K1116" t="s">
        <v>1859</v>
      </c>
      <c r="L1116" t="s">
        <v>1859</v>
      </c>
      <c r="M1116" s="11" t="s">
        <v>3917</v>
      </c>
      <c r="N1116" t="s">
        <v>1873</v>
      </c>
      <c r="O1116" s="7" t="s">
        <v>3920</v>
      </c>
      <c r="P1116" s="17" t="str">
        <f t="shared" ca="1" si="34"/>
        <v>0-14.9K</v>
      </c>
      <c r="Q1116" s="17">
        <v>2.5</v>
      </c>
      <c r="R1116">
        <v>1</v>
      </c>
      <c r="S1116">
        <v>3</v>
      </c>
      <c r="T1116">
        <v>1</v>
      </c>
      <c r="U1116">
        <v>6</v>
      </c>
      <c r="V1116" s="15">
        <f t="shared" ca="1" si="35"/>
        <v>1</v>
      </c>
    </row>
    <row r="1117" spans="1:22">
      <c r="A1117" t="s">
        <v>342</v>
      </c>
      <c r="B1117" s="1">
        <v>41057.807974537034</v>
      </c>
      <c r="C1117" s="2">
        <v>40000</v>
      </c>
      <c r="D1117">
        <v>40000</v>
      </c>
      <c r="E1117" t="s">
        <v>1856</v>
      </c>
      <c r="F1117" s="5">
        <v>40000</v>
      </c>
      <c r="G1117" s="5">
        <v>40000</v>
      </c>
      <c r="H1117" s="5">
        <f ca="1">OFFSET(F1117,0,Brains!$D$1,1,1)</f>
        <v>40000</v>
      </c>
      <c r="I1117" t="s">
        <v>1876</v>
      </c>
      <c r="J1117" t="s">
        <v>1876</v>
      </c>
      <c r="K1117" t="s">
        <v>1859</v>
      </c>
      <c r="L1117" t="s">
        <v>1859</v>
      </c>
      <c r="M1117" s="11" t="s">
        <v>3917</v>
      </c>
      <c r="N1117" t="s">
        <v>1873</v>
      </c>
      <c r="O1117" s="7" t="s">
        <v>3920</v>
      </c>
      <c r="P1117" s="17" t="str">
        <f t="shared" ca="1" si="34"/>
        <v>30-49.9K</v>
      </c>
      <c r="Q1117" s="17">
        <v>2.5</v>
      </c>
      <c r="R1117">
        <v>2</v>
      </c>
      <c r="S1117">
        <v>3</v>
      </c>
      <c r="T1117">
        <v>1</v>
      </c>
      <c r="U1117">
        <v>6</v>
      </c>
      <c r="V1117" s="15">
        <f t="shared" ca="1" si="35"/>
        <v>3</v>
      </c>
    </row>
    <row r="1118" spans="1:22">
      <c r="A1118" t="s">
        <v>3237</v>
      </c>
      <c r="B1118" s="1">
        <v>41055.50980324074</v>
      </c>
      <c r="C1118" s="2" t="s">
        <v>3238</v>
      </c>
      <c r="D1118">
        <v>800000</v>
      </c>
      <c r="E1118" t="s">
        <v>1908</v>
      </c>
      <c r="F1118" s="5">
        <v>14246.333349954055</v>
      </c>
      <c r="G1118" s="5">
        <v>39836.669654416888</v>
      </c>
      <c r="H1118" s="5">
        <f ca="1">OFFSET(F1118,0,Brains!$D$1,1,1)</f>
        <v>39836.669654416888</v>
      </c>
      <c r="I1118" t="s">
        <v>1876</v>
      </c>
      <c r="J1118" t="s">
        <v>1876</v>
      </c>
      <c r="K1118" t="s">
        <v>1859</v>
      </c>
      <c r="L1118" t="s">
        <v>1859</v>
      </c>
      <c r="M1118" s="11" t="s">
        <v>3917</v>
      </c>
      <c r="N1118" t="s">
        <v>1873</v>
      </c>
      <c r="O1118" s="7" t="s">
        <v>3920</v>
      </c>
      <c r="P1118" s="17" t="str">
        <f t="shared" ca="1" si="34"/>
        <v>30-49.9K</v>
      </c>
      <c r="Q1118" s="17">
        <v>2.5</v>
      </c>
      <c r="R1118">
        <v>3</v>
      </c>
      <c r="S1118">
        <v>3</v>
      </c>
      <c r="T1118">
        <v>1</v>
      </c>
      <c r="U1118">
        <v>6</v>
      </c>
      <c r="V1118" s="15">
        <f t="shared" ca="1" si="35"/>
        <v>3</v>
      </c>
    </row>
    <row r="1119" spans="1:22">
      <c r="A1119" t="s">
        <v>3770</v>
      </c>
      <c r="B1119" s="1">
        <v>41056.6175</v>
      </c>
      <c r="C1119" s="2" t="s">
        <v>3771</v>
      </c>
      <c r="D1119">
        <v>500000</v>
      </c>
      <c r="E1119" t="s">
        <v>1908</v>
      </c>
      <c r="F1119" s="5">
        <v>8903.9583437212841</v>
      </c>
      <c r="G1119" s="5">
        <v>24897.918534010558</v>
      </c>
      <c r="H1119" s="5">
        <f ca="1">OFFSET(F1119,0,Brains!$D$1,1,1)</f>
        <v>24897.918534010558</v>
      </c>
      <c r="I1119" t="s">
        <v>3214</v>
      </c>
      <c r="J1119" t="s">
        <v>1876</v>
      </c>
      <c r="K1119" t="s">
        <v>1859</v>
      </c>
      <c r="L1119" t="s">
        <v>1859</v>
      </c>
      <c r="M1119" s="11" t="s">
        <v>3917</v>
      </c>
      <c r="N1119" t="s">
        <v>1873</v>
      </c>
      <c r="O1119" s="7" t="s">
        <v>3920</v>
      </c>
      <c r="P1119" s="17" t="str">
        <f t="shared" ca="1" si="34"/>
        <v>15-29.9K</v>
      </c>
      <c r="Q1119" s="17">
        <v>2.5</v>
      </c>
      <c r="R1119">
        <v>3</v>
      </c>
      <c r="S1119">
        <v>3</v>
      </c>
      <c r="T1119">
        <v>1</v>
      </c>
      <c r="U1119">
        <v>6</v>
      </c>
      <c r="V1119" s="15">
        <f t="shared" ca="1" si="35"/>
        <v>2</v>
      </c>
    </row>
    <row r="1120" spans="1:22">
      <c r="A1120" t="s">
        <v>3870</v>
      </c>
      <c r="B1120" s="1">
        <v>41057.062835648147</v>
      </c>
      <c r="C1120" s="2">
        <v>57000</v>
      </c>
      <c r="D1120">
        <v>57000</v>
      </c>
      <c r="E1120" t="s">
        <v>1856</v>
      </c>
      <c r="F1120" s="5">
        <v>57000</v>
      </c>
      <c r="G1120" s="5">
        <v>57000</v>
      </c>
      <c r="H1120" s="5">
        <f ca="1">OFFSET(F1120,0,Brains!$D$1,1,1)</f>
        <v>57000</v>
      </c>
      <c r="I1120" t="s">
        <v>3871</v>
      </c>
      <c r="J1120" t="s">
        <v>1876</v>
      </c>
      <c r="K1120" t="s">
        <v>1869</v>
      </c>
      <c r="L1120" t="s">
        <v>1869</v>
      </c>
      <c r="M1120" s="11" t="s">
        <v>3917</v>
      </c>
      <c r="N1120" t="s">
        <v>1873</v>
      </c>
      <c r="O1120" s="7" t="s">
        <v>3920</v>
      </c>
      <c r="P1120" s="17" t="str">
        <f t="shared" ca="1" si="34"/>
        <v>50-74.9K</v>
      </c>
      <c r="Q1120" s="17">
        <v>2.5</v>
      </c>
      <c r="R1120">
        <v>4</v>
      </c>
      <c r="S1120">
        <v>3</v>
      </c>
      <c r="T1120">
        <v>1</v>
      </c>
      <c r="U1120">
        <v>6</v>
      </c>
      <c r="V1120" s="15">
        <f t="shared" ca="1" si="35"/>
        <v>4</v>
      </c>
    </row>
    <row r="1121" spans="1:22">
      <c r="A1121" t="s">
        <v>116</v>
      </c>
      <c r="B1121" s="1">
        <v>41057.536030092589</v>
      </c>
      <c r="C1121" s="2">
        <v>45000</v>
      </c>
      <c r="D1121">
        <v>45000</v>
      </c>
      <c r="E1121" t="s">
        <v>1856</v>
      </c>
      <c r="F1121" s="5">
        <v>45000</v>
      </c>
      <c r="G1121" s="5">
        <v>45000</v>
      </c>
      <c r="H1121" s="5">
        <f ca="1">OFFSET(F1121,0,Brains!$D$1,1,1)</f>
        <v>45000</v>
      </c>
      <c r="I1121" t="s">
        <v>1876</v>
      </c>
      <c r="J1121" t="s">
        <v>1876</v>
      </c>
      <c r="K1121" t="s">
        <v>117</v>
      </c>
      <c r="L1121" t="s">
        <v>2344</v>
      </c>
      <c r="M1121" s="11" t="s">
        <v>3917</v>
      </c>
      <c r="N1121" t="s">
        <v>1873</v>
      </c>
      <c r="O1121" s="7" t="s">
        <v>3920</v>
      </c>
      <c r="P1121" s="17" t="str">
        <f t="shared" ca="1" si="34"/>
        <v>30-49.9K</v>
      </c>
      <c r="Q1121" s="17">
        <v>2.5</v>
      </c>
      <c r="R1121">
        <v>4</v>
      </c>
      <c r="S1121">
        <v>3</v>
      </c>
      <c r="T1121">
        <v>1</v>
      </c>
      <c r="U1121">
        <v>6</v>
      </c>
      <c r="V1121" s="15">
        <f t="shared" ca="1" si="35"/>
        <v>3</v>
      </c>
    </row>
    <row r="1122" spans="1:22">
      <c r="A1122" t="s">
        <v>3444</v>
      </c>
      <c r="B1122" s="1">
        <v>41055.682986111111</v>
      </c>
      <c r="C1122" s="2">
        <v>16000</v>
      </c>
      <c r="D1122">
        <v>16000</v>
      </c>
      <c r="E1122" t="s">
        <v>1856</v>
      </c>
      <c r="F1122" s="5">
        <v>16000</v>
      </c>
      <c r="G1122" s="5">
        <v>16000</v>
      </c>
      <c r="H1122" s="5">
        <f ca="1">OFFSET(F1122,0,Brains!$D$1,1,1)</f>
        <v>16000</v>
      </c>
      <c r="I1122" t="s">
        <v>1876</v>
      </c>
      <c r="J1122" t="s">
        <v>1876</v>
      </c>
      <c r="K1122" t="s">
        <v>1859</v>
      </c>
      <c r="L1122" t="s">
        <v>1859</v>
      </c>
      <c r="M1122" s="11" t="s">
        <v>3917</v>
      </c>
      <c r="N1122" t="s">
        <v>1873</v>
      </c>
      <c r="O1122" s="7" t="s">
        <v>3920</v>
      </c>
      <c r="P1122" s="17" t="str">
        <f t="shared" ca="1" si="34"/>
        <v>15-29.9K</v>
      </c>
      <c r="Q1122" s="17">
        <v>2.5</v>
      </c>
      <c r="R1122">
        <v>5</v>
      </c>
      <c r="S1122">
        <v>3</v>
      </c>
      <c r="T1122">
        <v>1</v>
      </c>
      <c r="U1122">
        <v>6</v>
      </c>
      <c r="V1122" s="15">
        <f t="shared" ca="1" si="35"/>
        <v>2</v>
      </c>
    </row>
    <row r="1123" spans="1:22">
      <c r="A1123" t="s">
        <v>832</v>
      </c>
      <c r="B1123" s="1">
        <v>41058.887106481481</v>
      </c>
      <c r="C1123" s="2">
        <v>50000</v>
      </c>
      <c r="D1123">
        <v>50000</v>
      </c>
      <c r="E1123" t="s">
        <v>1856</v>
      </c>
      <c r="F1123" s="5">
        <v>50000</v>
      </c>
      <c r="G1123" s="5">
        <v>50000</v>
      </c>
      <c r="H1123" s="5">
        <f ca="1">OFFSET(F1123,0,Brains!$D$1,1,1)</f>
        <v>50000</v>
      </c>
      <c r="I1123" t="s">
        <v>833</v>
      </c>
      <c r="J1123" t="s">
        <v>1876</v>
      </c>
      <c r="K1123" t="s">
        <v>1869</v>
      </c>
      <c r="L1123" t="s">
        <v>1869</v>
      </c>
      <c r="M1123" s="11" t="s">
        <v>3918</v>
      </c>
      <c r="N1123" t="s">
        <v>1860</v>
      </c>
      <c r="O1123" s="7" t="s">
        <v>3920</v>
      </c>
      <c r="P1123" s="17" t="str">
        <f t="shared" ca="1" si="34"/>
        <v>50-74.9K</v>
      </c>
      <c r="Q1123" s="17">
        <v>5</v>
      </c>
      <c r="R1123">
        <v>0.5</v>
      </c>
      <c r="S1123">
        <v>4</v>
      </c>
      <c r="T1123">
        <v>1</v>
      </c>
      <c r="U1123">
        <v>6</v>
      </c>
      <c r="V1123" s="15">
        <f t="shared" ca="1" si="35"/>
        <v>4</v>
      </c>
    </row>
    <row r="1124" spans="1:22">
      <c r="A1124" t="s">
        <v>799</v>
      </c>
      <c r="B1124" s="1">
        <v>41058.798668981479</v>
      </c>
      <c r="C1124" s="2" t="s">
        <v>800</v>
      </c>
      <c r="D1124">
        <v>27000</v>
      </c>
      <c r="E1124" t="s">
        <v>1954</v>
      </c>
      <c r="F1124" s="5">
        <v>42556.81334581667</v>
      </c>
      <c r="G1124" s="5">
        <v>40059.347181008903</v>
      </c>
      <c r="H1124" s="5">
        <f ca="1">OFFSET(F1124,0,Brains!$D$1,1,1)</f>
        <v>40059.347181008903</v>
      </c>
      <c r="I1124" t="s">
        <v>801</v>
      </c>
      <c r="J1124" t="s">
        <v>1876</v>
      </c>
      <c r="K1124" t="s">
        <v>1956</v>
      </c>
      <c r="L1124" t="s">
        <v>1956</v>
      </c>
      <c r="M1124" s="11" t="s">
        <v>3918</v>
      </c>
      <c r="N1124" t="s">
        <v>1860</v>
      </c>
      <c r="O1124" s="7" t="s">
        <v>3920</v>
      </c>
      <c r="P1124" s="17" t="str">
        <f t="shared" ca="1" si="34"/>
        <v>30-49.9K</v>
      </c>
      <c r="Q1124" s="17">
        <v>5</v>
      </c>
      <c r="R1124">
        <v>1</v>
      </c>
      <c r="S1124">
        <v>4</v>
      </c>
      <c r="T1124">
        <v>1</v>
      </c>
      <c r="U1124">
        <v>6</v>
      </c>
      <c r="V1124" s="15">
        <f t="shared" ca="1" si="35"/>
        <v>3</v>
      </c>
    </row>
    <row r="1125" spans="1:22">
      <c r="A1125" t="s">
        <v>3623</v>
      </c>
      <c r="B1125" s="1">
        <v>41055.961724537039</v>
      </c>
      <c r="C1125" s="2">
        <v>42000</v>
      </c>
      <c r="D1125">
        <v>42000</v>
      </c>
      <c r="E1125" t="s">
        <v>1880</v>
      </c>
      <c r="F1125" s="5">
        <v>53356.776437647524</v>
      </c>
      <c r="G1125" s="5">
        <v>52760.372437981445</v>
      </c>
      <c r="H1125" s="5">
        <f ca="1">OFFSET(F1125,0,Brains!$D$1,1,1)</f>
        <v>52760.372437981445</v>
      </c>
      <c r="I1125" t="s">
        <v>1913</v>
      </c>
      <c r="J1125" t="s">
        <v>1876</v>
      </c>
      <c r="K1125" t="s">
        <v>1996</v>
      </c>
      <c r="L1125" t="s">
        <v>2998</v>
      </c>
      <c r="M1125" s="11" t="s">
        <v>3918</v>
      </c>
      <c r="N1125" t="s">
        <v>1860</v>
      </c>
      <c r="O1125" s="7" t="s">
        <v>3920</v>
      </c>
      <c r="P1125" s="17" t="str">
        <f t="shared" ca="1" si="34"/>
        <v>50-74.9K</v>
      </c>
      <c r="Q1125" s="17">
        <v>5</v>
      </c>
      <c r="R1125">
        <v>2</v>
      </c>
      <c r="S1125">
        <v>4</v>
      </c>
      <c r="T1125">
        <v>1</v>
      </c>
      <c r="U1125">
        <v>6</v>
      </c>
      <c r="V1125" s="15">
        <f t="shared" ca="1" si="35"/>
        <v>4</v>
      </c>
    </row>
    <row r="1126" spans="1:22">
      <c r="A1126" t="s">
        <v>592</v>
      </c>
      <c r="B1126" s="1">
        <v>41058.342430555553</v>
      </c>
      <c r="C1126" s="2" t="s">
        <v>593</v>
      </c>
      <c r="D1126">
        <v>36000</v>
      </c>
      <c r="E1126" t="s">
        <v>51</v>
      </c>
      <c r="F1126" s="5">
        <v>11404.820437438224</v>
      </c>
      <c r="G1126" s="5">
        <v>18556.701030927838</v>
      </c>
      <c r="H1126" s="5">
        <f ca="1">OFFSET(F1126,0,Brains!$D$1,1,1)</f>
        <v>18556.701030927838</v>
      </c>
      <c r="I1126" t="s">
        <v>594</v>
      </c>
      <c r="J1126" t="s">
        <v>1876</v>
      </c>
      <c r="K1126" t="s">
        <v>53</v>
      </c>
      <c r="L1126" t="s">
        <v>53</v>
      </c>
      <c r="M1126" s="11" t="s">
        <v>3918</v>
      </c>
      <c r="N1126" t="s">
        <v>1860</v>
      </c>
      <c r="O1126" s="7" t="s">
        <v>3920</v>
      </c>
      <c r="P1126" s="17" t="str">
        <f t="shared" ca="1" si="34"/>
        <v>15-29.9K</v>
      </c>
      <c r="Q1126" s="17">
        <v>5</v>
      </c>
      <c r="R1126">
        <v>2</v>
      </c>
      <c r="S1126">
        <v>4</v>
      </c>
      <c r="T1126">
        <v>1</v>
      </c>
      <c r="U1126">
        <v>6</v>
      </c>
      <c r="V1126" s="15">
        <f t="shared" ca="1" si="35"/>
        <v>2</v>
      </c>
    </row>
    <row r="1127" spans="1:22">
      <c r="A1127" t="s">
        <v>688</v>
      </c>
      <c r="B1127" s="1">
        <v>41058.607430555552</v>
      </c>
      <c r="C1127" s="2" t="s">
        <v>689</v>
      </c>
      <c r="D1127">
        <v>500000</v>
      </c>
      <c r="E1127" t="s">
        <v>1908</v>
      </c>
      <c r="F1127" s="5">
        <v>8903.9583437212841</v>
      </c>
      <c r="G1127" s="5">
        <v>24897.918534010558</v>
      </c>
      <c r="H1127" s="5">
        <f ca="1">OFFSET(F1127,0,Brains!$D$1,1,1)</f>
        <v>24897.918534010558</v>
      </c>
      <c r="I1127" t="s">
        <v>690</v>
      </c>
      <c r="J1127" t="s">
        <v>1876</v>
      </c>
      <c r="K1127" t="s">
        <v>1859</v>
      </c>
      <c r="L1127" t="s">
        <v>1859</v>
      </c>
      <c r="M1127" s="11" t="s">
        <v>3918</v>
      </c>
      <c r="N1127" t="s">
        <v>1860</v>
      </c>
      <c r="O1127" s="7" t="s">
        <v>3920</v>
      </c>
      <c r="P1127" s="17" t="str">
        <f t="shared" ca="1" si="34"/>
        <v>15-29.9K</v>
      </c>
      <c r="Q1127" s="17">
        <v>5</v>
      </c>
      <c r="R1127">
        <v>2</v>
      </c>
      <c r="S1127">
        <v>4</v>
      </c>
      <c r="T1127">
        <v>1</v>
      </c>
      <c r="U1127">
        <v>6</v>
      </c>
      <c r="V1127" s="15">
        <f t="shared" ca="1" si="35"/>
        <v>2</v>
      </c>
    </row>
    <row r="1128" spans="1:22">
      <c r="A1128" t="s">
        <v>3504</v>
      </c>
      <c r="B1128" s="1">
        <v>41055.763761574075</v>
      </c>
      <c r="C1128" s="2" t="s">
        <v>3505</v>
      </c>
      <c r="D1128">
        <v>220000</v>
      </c>
      <c r="E1128" t="s">
        <v>1908</v>
      </c>
      <c r="F1128" s="5">
        <v>3917.7416712373652</v>
      </c>
      <c r="G1128" s="5">
        <v>10955.084154964645</v>
      </c>
      <c r="H1128" s="5">
        <f ca="1">OFFSET(F1128,0,Brains!$D$1,1,1)</f>
        <v>10955.084154964645</v>
      </c>
      <c r="I1128" t="s">
        <v>3506</v>
      </c>
      <c r="J1128" t="s">
        <v>1876</v>
      </c>
      <c r="K1128" t="s">
        <v>1859</v>
      </c>
      <c r="L1128" t="s">
        <v>1859</v>
      </c>
      <c r="M1128" s="11" t="s">
        <v>3918</v>
      </c>
      <c r="N1128" t="s">
        <v>1860</v>
      </c>
      <c r="O1128" s="7" t="s">
        <v>3920</v>
      </c>
      <c r="P1128" s="17" t="str">
        <f t="shared" ca="1" si="34"/>
        <v>0-14.9K</v>
      </c>
      <c r="Q1128" s="17">
        <v>5</v>
      </c>
      <c r="R1128">
        <v>2</v>
      </c>
      <c r="S1128">
        <v>4</v>
      </c>
      <c r="T1128">
        <v>1</v>
      </c>
      <c r="U1128">
        <v>6</v>
      </c>
      <c r="V1128" s="15">
        <f t="shared" ca="1" si="35"/>
        <v>1</v>
      </c>
    </row>
    <row r="1129" spans="1:22">
      <c r="A1129" t="s">
        <v>1240</v>
      </c>
      <c r="B1129" s="1">
        <v>41061.606030092589</v>
      </c>
      <c r="C1129" s="2">
        <v>250000</v>
      </c>
      <c r="D1129">
        <v>250000</v>
      </c>
      <c r="E1129" t="s">
        <v>1908</v>
      </c>
      <c r="F1129" s="5">
        <v>4451.9791718606421</v>
      </c>
      <c r="G1129" s="5">
        <v>12448.959267005279</v>
      </c>
      <c r="H1129" s="5">
        <f ca="1">OFFSET(F1129,0,Brains!$D$1,1,1)</f>
        <v>12448.959267005279</v>
      </c>
      <c r="I1129" t="s">
        <v>1241</v>
      </c>
      <c r="J1129" t="s">
        <v>1876</v>
      </c>
      <c r="K1129" t="s">
        <v>1859</v>
      </c>
      <c r="L1129" t="s">
        <v>1859</v>
      </c>
      <c r="M1129" s="11" t="s">
        <v>3918</v>
      </c>
      <c r="N1129" t="s">
        <v>1860</v>
      </c>
      <c r="O1129" s="7" t="s">
        <v>3920</v>
      </c>
      <c r="P1129" s="17" t="str">
        <f t="shared" ca="1" si="34"/>
        <v>0-14.9K</v>
      </c>
      <c r="Q1129" s="17">
        <v>5</v>
      </c>
      <c r="R1129">
        <v>2.5</v>
      </c>
      <c r="S1129">
        <v>4</v>
      </c>
      <c r="T1129">
        <v>1</v>
      </c>
      <c r="U1129">
        <v>6</v>
      </c>
      <c r="V1129" s="15">
        <f t="shared" ca="1" si="35"/>
        <v>1</v>
      </c>
    </row>
    <row r="1130" spans="1:22">
      <c r="A1130" t="s">
        <v>984</v>
      </c>
      <c r="B1130" s="1">
        <v>41059.580868055556</v>
      </c>
      <c r="C1130" s="2">
        <v>50000</v>
      </c>
      <c r="D1130">
        <v>50000</v>
      </c>
      <c r="E1130" t="s">
        <v>3081</v>
      </c>
      <c r="F1130" s="5">
        <v>39879.404680246938</v>
      </c>
      <c r="G1130" s="5">
        <v>28985.507246376812</v>
      </c>
      <c r="H1130" s="5">
        <f ca="1">OFFSET(F1130,0,Brains!$D$1,1,1)</f>
        <v>28985.507246376812</v>
      </c>
      <c r="I1130" t="s">
        <v>985</v>
      </c>
      <c r="J1130" t="s">
        <v>1876</v>
      </c>
      <c r="K1130" t="s">
        <v>986</v>
      </c>
      <c r="L1130" t="s">
        <v>3083</v>
      </c>
      <c r="M1130" s="11" t="s">
        <v>3918</v>
      </c>
      <c r="N1130" t="s">
        <v>1860</v>
      </c>
      <c r="O1130" s="7" t="s">
        <v>3920</v>
      </c>
      <c r="P1130" s="17" t="str">
        <f t="shared" ca="1" si="34"/>
        <v>15-29.9K</v>
      </c>
      <c r="Q1130" s="17">
        <v>5</v>
      </c>
      <c r="R1130">
        <v>5</v>
      </c>
      <c r="S1130">
        <v>4</v>
      </c>
      <c r="T1130">
        <v>1</v>
      </c>
      <c r="U1130">
        <v>6</v>
      </c>
      <c r="V1130" s="15">
        <f t="shared" ca="1" si="35"/>
        <v>2</v>
      </c>
    </row>
    <row r="1131" spans="1:22">
      <c r="A1131" t="s">
        <v>1711</v>
      </c>
      <c r="B1131" s="1">
        <v>41075.239236111112</v>
      </c>
      <c r="C1131" s="2">
        <v>29000</v>
      </c>
      <c r="D1131">
        <v>29000</v>
      </c>
      <c r="E1131" t="s">
        <v>1856</v>
      </c>
      <c r="F1131" s="5">
        <v>29000</v>
      </c>
      <c r="G1131" s="5">
        <v>29000</v>
      </c>
      <c r="H1131" s="5">
        <f ca="1">OFFSET(F1131,0,Brains!$D$1,1,1)</f>
        <v>29000</v>
      </c>
      <c r="I1131" t="s">
        <v>1712</v>
      </c>
      <c r="J1131" t="s">
        <v>1876</v>
      </c>
      <c r="K1131" t="s">
        <v>1869</v>
      </c>
      <c r="L1131" t="s">
        <v>1869</v>
      </c>
      <c r="M1131" t="s">
        <v>3941</v>
      </c>
      <c r="N1131" t="s">
        <v>1866</v>
      </c>
      <c r="O1131" s="7" t="s">
        <v>3920</v>
      </c>
      <c r="P1131" s="17" t="str">
        <f t="shared" ca="1" si="34"/>
        <v>15-29.9K</v>
      </c>
      <c r="Q1131" s="17">
        <v>8</v>
      </c>
      <c r="R1131">
        <v>1</v>
      </c>
      <c r="S1131">
        <v>5</v>
      </c>
      <c r="T1131">
        <v>1</v>
      </c>
      <c r="U1131">
        <v>6</v>
      </c>
      <c r="V1131" s="15">
        <f t="shared" ca="1" si="35"/>
        <v>2</v>
      </c>
    </row>
    <row r="1132" spans="1:22">
      <c r="A1132" t="s">
        <v>1658</v>
      </c>
      <c r="B1132" s="1">
        <v>41073.158784722225</v>
      </c>
      <c r="C1132" s="2">
        <v>78000</v>
      </c>
      <c r="D1132">
        <v>78000</v>
      </c>
      <c r="E1132" t="s">
        <v>1856</v>
      </c>
      <c r="F1132" s="5">
        <v>78000</v>
      </c>
      <c r="G1132" s="5">
        <v>78000</v>
      </c>
      <c r="H1132" s="5">
        <f ca="1">OFFSET(F1132,0,Brains!$D$1,1,1)</f>
        <v>78000</v>
      </c>
      <c r="I1132" t="s">
        <v>1659</v>
      </c>
      <c r="J1132" t="s">
        <v>1876</v>
      </c>
      <c r="K1132" t="s">
        <v>1869</v>
      </c>
      <c r="L1132" t="s">
        <v>1869</v>
      </c>
      <c r="M1132" t="s">
        <v>3941</v>
      </c>
      <c r="N1132" t="s">
        <v>1866</v>
      </c>
      <c r="O1132" s="7" t="s">
        <v>3920</v>
      </c>
      <c r="P1132" s="17" t="str">
        <f t="shared" ca="1" si="34"/>
        <v>75-99.9K</v>
      </c>
      <c r="Q1132" s="17">
        <v>8</v>
      </c>
      <c r="R1132">
        <v>5</v>
      </c>
      <c r="S1132">
        <v>5</v>
      </c>
      <c r="T1132">
        <v>1</v>
      </c>
      <c r="U1132">
        <v>6</v>
      </c>
      <c r="V1132" s="15">
        <f t="shared" ca="1" si="35"/>
        <v>5</v>
      </c>
    </row>
    <row r="1133" spans="1:22">
      <c r="A1133" t="s">
        <v>1631</v>
      </c>
      <c r="B1133" s="1">
        <v>41072.631504629629</v>
      </c>
      <c r="C1133" s="2">
        <v>156000</v>
      </c>
      <c r="D1133">
        <v>156000</v>
      </c>
      <c r="E1133" t="s">
        <v>1973</v>
      </c>
      <c r="F1133" s="5">
        <v>159105.90639881117</v>
      </c>
      <c r="G1133" s="5">
        <v>99236.641221374055</v>
      </c>
      <c r="H1133" s="5">
        <f ca="1">OFFSET(F1133,0,Brains!$D$1,1,1)</f>
        <v>99236.641221374055</v>
      </c>
      <c r="I1133" t="s">
        <v>1632</v>
      </c>
      <c r="J1133" t="s">
        <v>1876</v>
      </c>
      <c r="K1133" t="s">
        <v>1975</v>
      </c>
      <c r="L1133" t="s">
        <v>1975</v>
      </c>
      <c r="M1133" s="11" t="s">
        <v>3917</v>
      </c>
      <c r="N1133" t="s">
        <v>1873</v>
      </c>
      <c r="O1133" s="7" t="s">
        <v>3922</v>
      </c>
      <c r="P1133" s="17" t="str">
        <f t="shared" ca="1" si="34"/>
        <v>75-99.9K</v>
      </c>
      <c r="Q1133" s="17">
        <v>2.5</v>
      </c>
      <c r="R1133">
        <v>12</v>
      </c>
      <c r="S1133">
        <v>3</v>
      </c>
      <c r="T1133">
        <v>3</v>
      </c>
      <c r="U1133">
        <v>6</v>
      </c>
      <c r="V1133" s="15">
        <f t="shared" ca="1" si="35"/>
        <v>5</v>
      </c>
    </row>
    <row r="1134" spans="1:22">
      <c r="A1134" t="s">
        <v>1423</v>
      </c>
      <c r="B1134" s="1">
        <v>41065.801435185182</v>
      </c>
      <c r="C1134" s="2">
        <v>62000</v>
      </c>
      <c r="D1134">
        <v>62000</v>
      </c>
      <c r="E1134" t="s">
        <v>1856</v>
      </c>
      <c r="F1134" s="5">
        <v>62000</v>
      </c>
      <c r="G1134" s="5">
        <v>62000</v>
      </c>
      <c r="H1134" s="5">
        <f ca="1">OFFSET(F1134,0,Brains!$D$1,1,1)</f>
        <v>62000</v>
      </c>
      <c r="I1134" t="s">
        <v>1875</v>
      </c>
      <c r="J1134" t="s">
        <v>1876</v>
      </c>
      <c r="K1134" t="s">
        <v>1869</v>
      </c>
      <c r="L1134" t="s">
        <v>1869</v>
      </c>
      <c r="M1134" s="11" t="s">
        <v>3917</v>
      </c>
      <c r="N1134" t="s">
        <v>1873</v>
      </c>
      <c r="O1134" s="7" t="s">
        <v>3922</v>
      </c>
      <c r="P1134" s="17" t="str">
        <f t="shared" ca="1" si="34"/>
        <v>50-74.9K</v>
      </c>
      <c r="Q1134" s="17">
        <v>2.5</v>
      </c>
      <c r="R1134">
        <v>12</v>
      </c>
      <c r="S1134">
        <v>3</v>
      </c>
      <c r="T1134">
        <v>3</v>
      </c>
      <c r="U1134">
        <v>6</v>
      </c>
      <c r="V1134" s="15">
        <f t="shared" ca="1" si="35"/>
        <v>4</v>
      </c>
    </row>
    <row r="1135" spans="1:22">
      <c r="A1135" t="s">
        <v>1043</v>
      </c>
      <c r="B1135" s="1">
        <v>41059.821412037039</v>
      </c>
      <c r="C1135" s="2">
        <v>77000</v>
      </c>
      <c r="D1135">
        <v>77000</v>
      </c>
      <c r="E1135" t="s">
        <v>1856</v>
      </c>
      <c r="F1135" s="5">
        <v>77000</v>
      </c>
      <c r="G1135" s="5">
        <v>77000</v>
      </c>
      <c r="H1135" s="5">
        <f ca="1">OFFSET(F1135,0,Brains!$D$1,1,1)</f>
        <v>77000</v>
      </c>
      <c r="I1135" t="s">
        <v>1044</v>
      </c>
      <c r="J1135" t="s">
        <v>1876</v>
      </c>
      <c r="K1135" t="s">
        <v>1869</v>
      </c>
      <c r="L1135" t="s">
        <v>1869</v>
      </c>
      <c r="M1135" s="11" t="s">
        <v>3917</v>
      </c>
      <c r="N1135" t="s">
        <v>1873</v>
      </c>
      <c r="O1135" s="7" t="s">
        <v>3922</v>
      </c>
      <c r="P1135" s="17" t="str">
        <f t="shared" ca="1" si="34"/>
        <v>75-99.9K</v>
      </c>
      <c r="Q1135" s="17">
        <v>2.5</v>
      </c>
      <c r="R1135">
        <v>13</v>
      </c>
      <c r="S1135">
        <v>3</v>
      </c>
      <c r="T1135">
        <v>3</v>
      </c>
      <c r="U1135">
        <v>6</v>
      </c>
      <c r="V1135" s="15">
        <f t="shared" ca="1" si="35"/>
        <v>5</v>
      </c>
    </row>
    <row r="1136" spans="1:22">
      <c r="A1136" t="s">
        <v>309</v>
      </c>
      <c r="B1136" s="1">
        <v>41057.738159722219</v>
      </c>
      <c r="C1136" s="2">
        <v>50000</v>
      </c>
      <c r="D1136">
        <v>50000</v>
      </c>
      <c r="E1136" t="s">
        <v>1880</v>
      </c>
      <c r="F1136" s="5">
        <v>63519.971949580387</v>
      </c>
      <c r="G1136" s="5">
        <v>62809.967188073148</v>
      </c>
      <c r="H1136" s="5">
        <f ca="1">OFFSET(F1136,0,Brains!$D$1,1,1)</f>
        <v>62809.967188073148</v>
      </c>
      <c r="I1136" t="s">
        <v>310</v>
      </c>
      <c r="J1136" t="s">
        <v>1876</v>
      </c>
      <c r="K1136" t="s">
        <v>1892</v>
      </c>
      <c r="L1136" t="s">
        <v>1892</v>
      </c>
      <c r="M1136" s="11" t="s">
        <v>3917</v>
      </c>
      <c r="N1136" t="s">
        <v>1873</v>
      </c>
      <c r="O1136" s="7" t="s">
        <v>3922</v>
      </c>
      <c r="P1136" s="17" t="str">
        <f t="shared" ca="1" si="34"/>
        <v>50-74.9K</v>
      </c>
      <c r="Q1136" s="17">
        <v>2.5</v>
      </c>
      <c r="R1136">
        <v>14</v>
      </c>
      <c r="S1136">
        <v>3</v>
      </c>
      <c r="T1136">
        <v>3</v>
      </c>
      <c r="U1136">
        <v>6</v>
      </c>
      <c r="V1136" s="15">
        <f t="shared" ca="1" si="35"/>
        <v>4</v>
      </c>
    </row>
    <row r="1137" spans="1:22">
      <c r="A1137" t="s">
        <v>1051</v>
      </c>
      <c r="B1137" s="1">
        <v>41059.863043981481</v>
      </c>
      <c r="C1137" s="2" t="s">
        <v>1052</v>
      </c>
      <c r="D1137">
        <v>165000</v>
      </c>
      <c r="E1137" t="s">
        <v>1973</v>
      </c>
      <c r="F1137" s="5">
        <v>168285.09330643489</v>
      </c>
      <c r="G1137" s="5">
        <v>104961.83206106871</v>
      </c>
      <c r="H1137" s="5">
        <f ca="1">OFFSET(F1137,0,Brains!$D$1,1,1)</f>
        <v>104961.83206106871</v>
      </c>
      <c r="I1137" t="s">
        <v>1876</v>
      </c>
      <c r="J1137" t="s">
        <v>1876</v>
      </c>
      <c r="K1137" t="s">
        <v>1975</v>
      </c>
      <c r="L1137" t="s">
        <v>1975</v>
      </c>
      <c r="M1137" s="11" t="s">
        <v>3917</v>
      </c>
      <c r="N1137" t="s">
        <v>1873</v>
      </c>
      <c r="O1137" s="7" t="s">
        <v>3922</v>
      </c>
      <c r="P1137" s="17" t="str">
        <f t="shared" ca="1" si="34"/>
        <v>100-149.9K</v>
      </c>
      <c r="Q1137" s="17">
        <v>2.5</v>
      </c>
      <c r="R1137">
        <v>17</v>
      </c>
      <c r="S1137">
        <v>3</v>
      </c>
      <c r="T1137">
        <v>3</v>
      </c>
      <c r="U1137">
        <v>6</v>
      </c>
      <c r="V1137" s="15">
        <f t="shared" ca="1" si="35"/>
        <v>6</v>
      </c>
    </row>
    <row r="1138" spans="1:22">
      <c r="A1138" t="s">
        <v>1773</v>
      </c>
      <c r="B1138" s="1">
        <v>41078.237708333334</v>
      </c>
      <c r="C1138" s="2">
        <v>600000</v>
      </c>
      <c r="D1138">
        <v>600000</v>
      </c>
      <c r="E1138" t="s">
        <v>494</v>
      </c>
      <c r="F1138" s="5">
        <v>102542.54233725216</v>
      </c>
      <c r="G1138" s="5">
        <v>69076.675109371397</v>
      </c>
      <c r="H1138" s="5">
        <f ca="1">OFFSET(F1138,0,Brains!$D$1,1,1)</f>
        <v>69076.675109371397</v>
      </c>
      <c r="I1138" t="s">
        <v>1876</v>
      </c>
      <c r="J1138" t="s">
        <v>1876</v>
      </c>
      <c r="K1138" t="s">
        <v>1774</v>
      </c>
      <c r="L1138" t="s">
        <v>3478</v>
      </c>
      <c r="M1138" s="11" t="s">
        <v>3917</v>
      </c>
      <c r="N1138" t="s">
        <v>1873</v>
      </c>
      <c r="O1138" s="7" t="s">
        <v>3922</v>
      </c>
      <c r="P1138" s="17" t="str">
        <f t="shared" ca="1" si="34"/>
        <v>50-74.9K</v>
      </c>
      <c r="Q1138" s="17">
        <v>2.5</v>
      </c>
      <c r="R1138">
        <v>20</v>
      </c>
      <c r="S1138">
        <v>3</v>
      </c>
      <c r="T1138">
        <v>3</v>
      </c>
      <c r="U1138">
        <v>6</v>
      </c>
      <c r="V1138" s="15">
        <f t="shared" ca="1" si="35"/>
        <v>4</v>
      </c>
    </row>
    <row r="1139" spans="1:22">
      <c r="A1139" t="s">
        <v>737</v>
      </c>
      <c r="B1139" s="1">
        <v>41058.6953587963</v>
      </c>
      <c r="C1139" s="2" t="s">
        <v>738</v>
      </c>
      <c r="D1139">
        <v>41000</v>
      </c>
      <c r="E1139" t="s">
        <v>1880</v>
      </c>
      <c r="F1139" s="5">
        <v>52086.37699865592</v>
      </c>
      <c r="G1139" s="5">
        <v>51504.173094219979</v>
      </c>
      <c r="H1139" s="5">
        <f ca="1">OFFSET(F1139,0,Brains!$D$1,1,1)</f>
        <v>51504.173094219979</v>
      </c>
      <c r="I1139" t="s">
        <v>2796</v>
      </c>
      <c r="J1139" t="s">
        <v>1876</v>
      </c>
      <c r="K1139" t="s">
        <v>2957</v>
      </c>
      <c r="L1139" t="s">
        <v>2957</v>
      </c>
      <c r="M1139" s="11" t="s">
        <v>3918</v>
      </c>
      <c r="N1139" t="s">
        <v>1860</v>
      </c>
      <c r="O1139" s="7" t="s">
        <v>3922</v>
      </c>
      <c r="P1139" s="17" t="str">
        <f t="shared" ca="1" si="34"/>
        <v>50-74.9K</v>
      </c>
      <c r="Q1139" s="17">
        <v>5</v>
      </c>
      <c r="R1139">
        <v>12</v>
      </c>
      <c r="S1139">
        <v>4</v>
      </c>
      <c r="T1139">
        <v>3</v>
      </c>
      <c r="U1139">
        <v>6</v>
      </c>
      <c r="V1139" s="15">
        <f t="shared" ca="1" si="35"/>
        <v>4</v>
      </c>
    </row>
    <row r="1140" spans="1:22">
      <c r="A1140" t="s">
        <v>874</v>
      </c>
      <c r="B1140" s="1">
        <v>41058.941168981481</v>
      </c>
      <c r="C1140" s="2">
        <v>95000</v>
      </c>
      <c r="D1140">
        <v>95000</v>
      </c>
      <c r="E1140" t="s">
        <v>1856</v>
      </c>
      <c r="F1140" s="5">
        <v>95000</v>
      </c>
      <c r="G1140" s="5">
        <v>95000</v>
      </c>
      <c r="H1140" s="5">
        <f ca="1">OFFSET(F1140,0,Brains!$D$1,1,1)</f>
        <v>95000</v>
      </c>
      <c r="I1140" t="s">
        <v>875</v>
      </c>
      <c r="J1140" t="s">
        <v>1876</v>
      </c>
      <c r="K1140" t="s">
        <v>1869</v>
      </c>
      <c r="L1140" t="s">
        <v>1869</v>
      </c>
      <c r="M1140" s="11" t="s">
        <v>3918</v>
      </c>
      <c r="N1140" t="s">
        <v>1860</v>
      </c>
      <c r="O1140" s="7" t="s">
        <v>3922</v>
      </c>
      <c r="P1140" s="17" t="str">
        <f t="shared" ca="1" si="34"/>
        <v>75-99.9K</v>
      </c>
      <c r="Q1140" s="17">
        <v>5</v>
      </c>
      <c r="R1140">
        <v>14</v>
      </c>
      <c r="S1140">
        <v>4</v>
      </c>
      <c r="T1140">
        <v>3</v>
      </c>
      <c r="U1140">
        <v>6</v>
      </c>
      <c r="V1140" s="15">
        <f t="shared" ca="1" si="35"/>
        <v>5</v>
      </c>
    </row>
    <row r="1141" spans="1:22">
      <c r="A1141" t="s">
        <v>858</v>
      </c>
      <c r="B1141" s="1">
        <v>41058.916377314818</v>
      </c>
      <c r="C1141" s="2">
        <v>44000</v>
      </c>
      <c r="D1141">
        <v>44000</v>
      </c>
      <c r="E1141" t="s">
        <v>1856</v>
      </c>
      <c r="F1141" s="5">
        <v>44000</v>
      </c>
      <c r="G1141" s="5">
        <v>44000</v>
      </c>
      <c r="H1141" s="5">
        <f ca="1">OFFSET(F1141,0,Brains!$D$1,1,1)</f>
        <v>44000</v>
      </c>
      <c r="I1141" t="s">
        <v>859</v>
      </c>
      <c r="J1141" t="s">
        <v>1876</v>
      </c>
      <c r="K1141" t="s">
        <v>1869</v>
      </c>
      <c r="L1141" t="s">
        <v>1869</v>
      </c>
      <c r="M1141" s="11" t="s">
        <v>3918</v>
      </c>
      <c r="N1141" t="s">
        <v>1860</v>
      </c>
      <c r="O1141" s="7" t="s">
        <v>3922</v>
      </c>
      <c r="P1141" s="17" t="str">
        <f t="shared" ca="1" si="34"/>
        <v>30-49.9K</v>
      </c>
      <c r="Q1141" s="17">
        <v>5</v>
      </c>
      <c r="R1141">
        <v>15</v>
      </c>
      <c r="S1141">
        <v>4</v>
      </c>
      <c r="T1141">
        <v>3</v>
      </c>
      <c r="U1141">
        <v>6</v>
      </c>
      <c r="V1141" s="15">
        <f t="shared" ca="1" si="35"/>
        <v>3</v>
      </c>
    </row>
    <row r="1142" spans="1:22">
      <c r="A1142" t="s">
        <v>901</v>
      </c>
      <c r="B1142" s="1">
        <v>41059.009108796294</v>
      </c>
      <c r="C1142" s="2" t="s">
        <v>902</v>
      </c>
      <c r="D1142">
        <v>216000</v>
      </c>
      <c r="E1142" t="s">
        <v>903</v>
      </c>
      <c r="F1142" s="5">
        <v>57600</v>
      </c>
      <c r="G1142" s="5">
        <v>64884.349654550919</v>
      </c>
      <c r="H1142" s="5">
        <f ca="1">OFFSET(F1142,0,Brains!$D$1,1,1)</f>
        <v>64884.349654550919</v>
      </c>
      <c r="I1142" t="s">
        <v>904</v>
      </c>
      <c r="J1142" t="s">
        <v>1876</v>
      </c>
      <c r="K1142" t="s">
        <v>2064</v>
      </c>
      <c r="L1142" t="s">
        <v>2064</v>
      </c>
      <c r="M1142" s="11" t="s">
        <v>3918</v>
      </c>
      <c r="N1142" t="s">
        <v>1860</v>
      </c>
      <c r="O1142" s="7" t="s">
        <v>3922</v>
      </c>
      <c r="P1142" s="17" t="str">
        <f t="shared" ca="1" si="34"/>
        <v>50-74.9K</v>
      </c>
      <c r="Q1142" s="17">
        <v>5</v>
      </c>
      <c r="R1142">
        <v>20</v>
      </c>
      <c r="S1142">
        <v>4</v>
      </c>
      <c r="T1142">
        <v>3</v>
      </c>
      <c r="U1142">
        <v>6</v>
      </c>
      <c r="V1142" s="15">
        <f t="shared" ca="1" si="35"/>
        <v>4</v>
      </c>
    </row>
    <row r="1143" spans="1:22">
      <c r="A1143" t="s">
        <v>845</v>
      </c>
      <c r="B1143" s="1">
        <v>41058.905555555553</v>
      </c>
      <c r="C1143" s="2">
        <v>69960</v>
      </c>
      <c r="D1143">
        <v>69960</v>
      </c>
      <c r="E1143" t="s">
        <v>1856</v>
      </c>
      <c r="F1143" s="5">
        <v>69960</v>
      </c>
      <c r="G1143" s="5">
        <v>69960</v>
      </c>
      <c r="H1143" s="5">
        <f ca="1">OFFSET(F1143,0,Brains!$D$1,1,1)</f>
        <v>69960</v>
      </c>
      <c r="I1143" t="s">
        <v>846</v>
      </c>
      <c r="J1143" t="s">
        <v>1876</v>
      </c>
      <c r="K1143" t="s">
        <v>1869</v>
      </c>
      <c r="L1143" t="s">
        <v>1869</v>
      </c>
      <c r="M1143" s="11" t="s">
        <v>3917</v>
      </c>
      <c r="N1143" t="s">
        <v>1873</v>
      </c>
      <c r="O1143" s="7" t="s">
        <v>3923</v>
      </c>
      <c r="P1143" s="17" t="str">
        <f t="shared" ca="1" si="34"/>
        <v>50-74.9K</v>
      </c>
      <c r="Q1143" s="17">
        <v>2.5</v>
      </c>
      <c r="R1143">
        <v>22</v>
      </c>
      <c r="S1143">
        <v>3</v>
      </c>
      <c r="T1143">
        <v>4</v>
      </c>
      <c r="U1143">
        <v>6</v>
      </c>
      <c r="V1143" s="15">
        <f t="shared" ca="1" si="35"/>
        <v>4</v>
      </c>
    </row>
    <row r="1144" spans="1:22">
      <c r="A1144" t="s">
        <v>842</v>
      </c>
      <c r="B1144" s="1">
        <v>41058.901504629626</v>
      </c>
      <c r="C1144" s="2">
        <v>85000</v>
      </c>
      <c r="D1144">
        <v>85000</v>
      </c>
      <c r="E1144" t="s">
        <v>1856</v>
      </c>
      <c r="F1144" s="5">
        <v>85000</v>
      </c>
      <c r="G1144" s="5">
        <v>85000</v>
      </c>
      <c r="H1144" s="5">
        <f ca="1">OFFSET(F1144,0,Brains!$D$1,1,1)</f>
        <v>85000</v>
      </c>
      <c r="I1144" t="s">
        <v>843</v>
      </c>
      <c r="J1144" t="s">
        <v>1876</v>
      </c>
      <c r="K1144" t="s">
        <v>1869</v>
      </c>
      <c r="L1144" t="s">
        <v>1869</v>
      </c>
      <c r="M1144" s="11" t="s">
        <v>3917</v>
      </c>
      <c r="N1144" t="s">
        <v>1873</v>
      </c>
      <c r="O1144" s="7" t="s">
        <v>3923</v>
      </c>
      <c r="P1144" s="17" t="str">
        <f t="shared" ca="1" si="34"/>
        <v>75-99.9K</v>
      </c>
      <c r="Q1144" s="17">
        <v>2.5</v>
      </c>
      <c r="R1144">
        <v>25</v>
      </c>
      <c r="S1144">
        <v>3</v>
      </c>
      <c r="T1144">
        <v>4</v>
      </c>
      <c r="U1144">
        <v>6</v>
      </c>
      <c r="V1144" s="15">
        <f t="shared" ca="1" si="35"/>
        <v>5</v>
      </c>
    </row>
    <row r="1145" spans="1:22">
      <c r="A1145" t="s">
        <v>431</v>
      </c>
      <c r="B1145" s="1">
        <v>41057.955324074072</v>
      </c>
      <c r="C1145" s="2" t="s">
        <v>432</v>
      </c>
      <c r="D1145">
        <v>50000</v>
      </c>
      <c r="E1145" t="s">
        <v>1856</v>
      </c>
      <c r="F1145" s="5">
        <v>50000</v>
      </c>
      <c r="G1145" s="5">
        <v>50000</v>
      </c>
      <c r="H1145" s="5">
        <f ca="1">OFFSET(F1145,0,Brains!$D$1,1,1)</f>
        <v>50000</v>
      </c>
      <c r="I1145" t="s">
        <v>1876</v>
      </c>
      <c r="J1145" t="s">
        <v>1876</v>
      </c>
      <c r="K1145" t="s">
        <v>2344</v>
      </c>
      <c r="L1145" t="s">
        <v>2344</v>
      </c>
      <c r="M1145" s="11" t="s">
        <v>3917</v>
      </c>
      <c r="N1145" t="s">
        <v>1873</v>
      </c>
      <c r="O1145" s="7" t="s">
        <v>3923</v>
      </c>
      <c r="P1145" s="17" t="str">
        <f t="shared" ca="1" si="34"/>
        <v>50-74.9K</v>
      </c>
      <c r="Q1145" s="17">
        <v>2.5</v>
      </c>
      <c r="R1145">
        <v>25</v>
      </c>
      <c r="S1145">
        <v>3</v>
      </c>
      <c r="T1145">
        <v>4</v>
      </c>
      <c r="U1145">
        <v>6</v>
      </c>
      <c r="V1145" s="15">
        <f t="shared" ca="1" si="35"/>
        <v>4</v>
      </c>
    </row>
    <row r="1146" spans="1:22">
      <c r="A1146" t="s">
        <v>489</v>
      </c>
      <c r="B1146" s="1">
        <v>41058.017812500002</v>
      </c>
      <c r="C1146" s="2">
        <v>60000</v>
      </c>
      <c r="D1146">
        <v>60000</v>
      </c>
      <c r="E1146" t="s">
        <v>1856</v>
      </c>
      <c r="F1146" s="5">
        <v>60000</v>
      </c>
      <c r="G1146" s="5">
        <v>60000</v>
      </c>
      <c r="H1146" s="5">
        <f ca="1">OFFSET(F1146,0,Brains!$D$1,1,1)</f>
        <v>60000</v>
      </c>
      <c r="I1146" t="s">
        <v>490</v>
      </c>
      <c r="J1146" t="s">
        <v>1876</v>
      </c>
      <c r="K1146" t="s">
        <v>1869</v>
      </c>
      <c r="L1146" t="s">
        <v>1869</v>
      </c>
      <c r="M1146" s="11" t="s">
        <v>3916</v>
      </c>
      <c r="N1146" t="s">
        <v>1884</v>
      </c>
      <c r="O1146" s="7" t="s">
        <v>3921</v>
      </c>
      <c r="P1146" s="17" t="str">
        <f t="shared" ca="1" si="34"/>
        <v>50-74.9K</v>
      </c>
      <c r="Q1146" s="17">
        <v>1.5</v>
      </c>
      <c r="R1146">
        <v>6</v>
      </c>
      <c r="S1146">
        <v>2</v>
      </c>
      <c r="T1146">
        <v>2</v>
      </c>
      <c r="U1146">
        <v>6</v>
      </c>
      <c r="V1146" s="15">
        <f t="shared" ca="1" si="35"/>
        <v>4</v>
      </c>
    </row>
    <row r="1147" spans="1:22">
      <c r="A1147" t="s">
        <v>3450</v>
      </c>
      <c r="B1147" s="1">
        <v>41055.687222222223</v>
      </c>
      <c r="C1147" s="2">
        <v>36000</v>
      </c>
      <c r="D1147">
        <v>36000</v>
      </c>
      <c r="E1147" t="s">
        <v>1856</v>
      </c>
      <c r="F1147" s="5">
        <v>36000</v>
      </c>
      <c r="G1147" s="5">
        <v>36000</v>
      </c>
      <c r="H1147" s="5">
        <f ca="1">OFFSET(F1147,0,Brains!$D$1,1,1)</f>
        <v>36000</v>
      </c>
      <c r="I1147" t="s">
        <v>2728</v>
      </c>
      <c r="J1147" t="s">
        <v>1876</v>
      </c>
      <c r="K1147" t="s">
        <v>3372</v>
      </c>
      <c r="L1147" t="s">
        <v>2143</v>
      </c>
      <c r="M1147" s="11" t="s">
        <v>3916</v>
      </c>
      <c r="N1147" t="s">
        <v>1884</v>
      </c>
      <c r="O1147" s="7" t="s">
        <v>3921</v>
      </c>
      <c r="P1147" s="17" t="str">
        <f t="shared" ca="1" si="34"/>
        <v>30-49.9K</v>
      </c>
      <c r="Q1147" s="17">
        <v>1.5</v>
      </c>
      <c r="R1147">
        <v>7</v>
      </c>
      <c r="S1147">
        <v>2</v>
      </c>
      <c r="T1147">
        <v>2</v>
      </c>
      <c r="U1147">
        <v>6</v>
      </c>
      <c r="V1147" s="15">
        <f t="shared" ca="1" si="35"/>
        <v>3</v>
      </c>
    </row>
    <row r="1148" spans="1:22">
      <c r="A1148" t="s">
        <v>3451</v>
      </c>
      <c r="B1148" s="1">
        <v>41055.690254629626</v>
      </c>
      <c r="C1148" s="2">
        <v>20000</v>
      </c>
      <c r="D1148">
        <v>20000</v>
      </c>
      <c r="E1148" t="s">
        <v>1856</v>
      </c>
      <c r="F1148" s="5">
        <v>20000</v>
      </c>
      <c r="G1148" s="5">
        <v>20000</v>
      </c>
      <c r="H1148" s="5">
        <f ca="1">OFFSET(F1148,0,Brains!$D$1,1,1)</f>
        <v>20000</v>
      </c>
      <c r="I1148" t="s">
        <v>2796</v>
      </c>
      <c r="J1148" t="s">
        <v>1876</v>
      </c>
      <c r="K1148" t="s">
        <v>1859</v>
      </c>
      <c r="L1148" t="s">
        <v>1859</v>
      </c>
      <c r="M1148" s="11" t="s">
        <v>3916</v>
      </c>
      <c r="N1148" t="s">
        <v>1884</v>
      </c>
      <c r="O1148" s="7" t="s">
        <v>3921</v>
      </c>
      <c r="P1148" s="17" t="str">
        <f t="shared" ca="1" si="34"/>
        <v>15-29.9K</v>
      </c>
      <c r="Q1148" s="17">
        <v>1.5</v>
      </c>
      <c r="R1148">
        <v>7</v>
      </c>
      <c r="S1148">
        <v>2</v>
      </c>
      <c r="T1148">
        <v>2</v>
      </c>
      <c r="U1148">
        <v>6</v>
      </c>
      <c r="V1148" s="15">
        <f t="shared" ca="1" si="35"/>
        <v>2</v>
      </c>
    </row>
    <row r="1149" spans="1:22">
      <c r="A1149" t="s">
        <v>802</v>
      </c>
      <c r="B1149" s="1">
        <v>41058.799664351849</v>
      </c>
      <c r="C1149" s="2" t="s">
        <v>803</v>
      </c>
      <c r="D1149">
        <v>450000</v>
      </c>
      <c r="E1149" t="s">
        <v>1908</v>
      </c>
      <c r="F1149" s="5">
        <v>8013.5625093491553</v>
      </c>
      <c r="G1149" s="5">
        <v>22408.126680609501</v>
      </c>
      <c r="H1149" s="5">
        <f ca="1">OFFSET(F1149,0,Brains!$D$1,1,1)</f>
        <v>22408.126680609501</v>
      </c>
      <c r="I1149" t="s">
        <v>804</v>
      </c>
      <c r="J1149" t="s">
        <v>1876</v>
      </c>
      <c r="K1149" t="s">
        <v>1859</v>
      </c>
      <c r="L1149" t="s">
        <v>1859</v>
      </c>
      <c r="M1149" s="11" t="s">
        <v>3916</v>
      </c>
      <c r="N1149" t="s">
        <v>1884</v>
      </c>
      <c r="O1149" s="7" t="s">
        <v>3921</v>
      </c>
      <c r="P1149" s="17" t="str">
        <f t="shared" ca="1" si="34"/>
        <v>15-29.9K</v>
      </c>
      <c r="Q1149" s="17">
        <v>1.5</v>
      </c>
      <c r="R1149">
        <v>7</v>
      </c>
      <c r="S1149">
        <v>2</v>
      </c>
      <c r="T1149">
        <v>2</v>
      </c>
      <c r="U1149">
        <v>6</v>
      </c>
      <c r="V1149" s="15">
        <f t="shared" ca="1" si="35"/>
        <v>2</v>
      </c>
    </row>
    <row r="1150" spans="1:22">
      <c r="A1150" t="s">
        <v>1476</v>
      </c>
      <c r="B1150" s="1">
        <v>41066.829733796294</v>
      </c>
      <c r="C1150" s="2">
        <v>1200</v>
      </c>
      <c r="D1150">
        <v>14400</v>
      </c>
      <c r="E1150" t="s">
        <v>1856</v>
      </c>
      <c r="F1150" s="5">
        <v>14400</v>
      </c>
      <c r="G1150" s="5">
        <v>14400</v>
      </c>
      <c r="H1150" s="5">
        <f ca="1">OFFSET(F1150,0,Brains!$D$1,1,1)</f>
        <v>14400</v>
      </c>
      <c r="I1150" t="s">
        <v>1876</v>
      </c>
      <c r="J1150" t="s">
        <v>1876</v>
      </c>
      <c r="K1150" t="s">
        <v>1859</v>
      </c>
      <c r="L1150" t="s">
        <v>1859</v>
      </c>
      <c r="M1150" s="11" t="s">
        <v>3916</v>
      </c>
      <c r="N1150" t="s">
        <v>1884</v>
      </c>
      <c r="O1150" s="7" t="s">
        <v>3921</v>
      </c>
      <c r="P1150" s="17" t="str">
        <f t="shared" ca="1" si="34"/>
        <v>0-14.9K</v>
      </c>
      <c r="Q1150" s="17">
        <v>1.5</v>
      </c>
      <c r="R1150">
        <v>8</v>
      </c>
      <c r="S1150">
        <v>2</v>
      </c>
      <c r="T1150">
        <v>2</v>
      </c>
      <c r="U1150">
        <v>6</v>
      </c>
      <c r="V1150" s="15">
        <f t="shared" ca="1" si="35"/>
        <v>1</v>
      </c>
    </row>
    <row r="1151" spans="1:22">
      <c r="A1151" t="s">
        <v>1574</v>
      </c>
      <c r="B1151" s="1">
        <v>41070.104131944441</v>
      </c>
      <c r="C1151" s="2">
        <v>80000</v>
      </c>
      <c r="D1151">
        <v>80000</v>
      </c>
      <c r="E1151" t="s">
        <v>1856</v>
      </c>
      <c r="F1151" s="5">
        <v>80000</v>
      </c>
      <c r="G1151" s="5">
        <v>80000</v>
      </c>
      <c r="H1151" s="5">
        <f ca="1">OFFSET(F1151,0,Brains!$D$1,1,1)</f>
        <v>80000</v>
      </c>
      <c r="I1151" t="s">
        <v>1876</v>
      </c>
      <c r="J1151" t="s">
        <v>1876</v>
      </c>
      <c r="K1151" t="s">
        <v>2081</v>
      </c>
      <c r="L1151" t="s">
        <v>2081</v>
      </c>
      <c r="M1151" s="11" t="s">
        <v>3916</v>
      </c>
      <c r="N1151" t="s">
        <v>1884</v>
      </c>
      <c r="O1151" s="7" t="s">
        <v>3921</v>
      </c>
      <c r="P1151" s="17" t="str">
        <f t="shared" ca="1" si="34"/>
        <v>75-99.9K</v>
      </c>
      <c r="Q1151" s="17">
        <v>1.5</v>
      </c>
      <c r="R1151">
        <v>9</v>
      </c>
      <c r="S1151">
        <v>2</v>
      </c>
      <c r="T1151">
        <v>2</v>
      </c>
      <c r="U1151">
        <v>6</v>
      </c>
      <c r="V1151" s="15">
        <f t="shared" ca="1" si="35"/>
        <v>5</v>
      </c>
    </row>
    <row r="1152" spans="1:22">
      <c r="A1152" t="s">
        <v>3748</v>
      </c>
      <c r="B1152" s="1">
        <v>41056.570185185185</v>
      </c>
      <c r="C1152" s="2" t="s">
        <v>3749</v>
      </c>
      <c r="D1152">
        <v>400000</v>
      </c>
      <c r="E1152" t="s">
        <v>1908</v>
      </c>
      <c r="F1152" s="5">
        <v>7123.1666749770275</v>
      </c>
      <c r="G1152" s="5">
        <v>19918.334827208444</v>
      </c>
      <c r="H1152" s="5">
        <f ca="1">OFFSET(F1152,0,Brains!$D$1,1,1)</f>
        <v>19918.334827208444</v>
      </c>
      <c r="I1152" t="s">
        <v>2796</v>
      </c>
      <c r="J1152" t="s">
        <v>1876</v>
      </c>
      <c r="K1152" t="s">
        <v>1859</v>
      </c>
      <c r="L1152" t="s">
        <v>1859</v>
      </c>
      <c r="M1152" s="11" t="s">
        <v>3917</v>
      </c>
      <c r="N1152" t="s">
        <v>1873</v>
      </c>
      <c r="O1152" s="7" t="s">
        <v>3921</v>
      </c>
      <c r="P1152" s="17" t="str">
        <f t="shared" ca="1" si="34"/>
        <v>15-29.9K</v>
      </c>
      <c r="Q1152" s="17">
        <v>2.5</v>
      </c>
      <c r="R1152">
        <v>6</v>
      </c>
      <c r="S1152">
        <v>3</v>
      </c>
      <c r="T1152">
        <v>2</v>
      </c>
      <c r="U1152">
        <v>6</v>
      </c>
      <c r="V1152" s="15">
        <f t="shared" ca="1" si="35"/>
        <v>2</v>
      </c>
    </row>
    <row r="1153" spans="1:22">
      <c r="A1153" t="s">
        <v>1708</v>
      </c>
      <c r="B1153" s="1">
        <v>41075.160995370374</v>
      </c>
      <c r="C1153" s="2" t="s">
        <v>1709</v>
      </c>
      <c r="D1153">
        <v>33500</v>
      </c>
      <c r="E1153" t="s">
        <v>1954</v>
      </c>
      <c r="F1153" s="5">
        <v>52801.972114254015</v>
      </c>
      <c r="G1153" s="5">
        <v>49703.264094955484</v>
      </c>
      <c r="H1153" s="5">
        <f ca="1">OFFSET(F1153,0,Brains!$D$1,1,1)</f>
        <v>49703.264094955484</v>
      </c>
      <c r="I1153" t="s">
        <v>1710</v>
      </c>
      <c r="J1153" t="s">
        <v>1876</v>
      </c>
      <c r="K1153" t="s">
        <v>1956</v>
      </c>
      <c r="L1153" t="s">
        <v>1956</v>
      </c>
      <c r="M1153" s="11" t="s">
        <v>3917</v>
      </c>
      <c r="N1153" t="s">
        <v>1873</v>
      </c>
      <c r="O1153" s="7" t="s">
        <v>3921</v>
      </c>
      <c r="P1153" s="17" t="str">
        <f t="shared" ca="1" si="34"/>
        <v>30-49.9K</v>
      </c>
      <c r="Q1153" s="17">
        <v>2.5</v>
      </c>
      <c r="R1153">
        <v>7</v>
      </c>
      <c r="S1153">
        <v>3</v>
      </c>
      <c r="T1153">
        <v>2</v>
      </c>
      <c r="U1153">
        <v>6</v>
      </c>
      <c r="V1153" s="15">
        <f t="shared" ca="1" si="35"/>
        <v>3</v>
      </c>
    </row>
    <row r="1154" spans="1:22">
      <c r="A1154" t="s">
        <v>1579</v>
      </c>
      <c r="B1154" s="1">
        <v>41070.63890046296</v>
      </c>
      <c r="C1154" s="2">
        <v>1000</v>
      </c>
      <c r="D1154">
        <v>12000</v>
      </c>
      <c r="E1154" t="s">
        <v>1856</v>
      </c>
      <c r="F1154" s="5">
        <v>12000</v>
      </c>
      <c r="G1154" s="5">
        <v>12000</v>
      </c>
      <c r="H1154" s="5">
        <f ca="1">OFFSET(F1154,0,Brains!$D$1,1,1)</f>
        <v>12000</v>
      </c>
      <c r="I1154" t="s">
        <v>1580</v>
      </c>
      <c r="J1154" t="s">
        <v>1876</v>
      </c>
      <c r="K1154" t="s">
        <v>1859</v>
      </c>
      <c r="L1154" t="s">
        <v>1859</v>
      </c>
      <c r="M1154" s="11" t="s">
        <v>3917</v>
      </c>
      <c r="N1154" t="s">
        <v>1873</v>
      </c>
      <c r="O1154" s="7" t="s">
        <v>3921</v>
      </c>
      <c r="P1154" s="17" t="str">
        <f t="shared" ref="P1154:P1217" ca="1" si="36">IF(H1154&lt;15000,"0-14.9K",IF(H1154&lt;30000,"15-29.9K",IF(H1154&lt;50000,"30-49.9K",IF(H1154&lt;75000,"50-74.9K",IF(H1154&lt;100000,"75-99.9K",IF(H1154&lt;150000,"100-149.9K",IF(H1154&lt;250000,"150-249.9K","250K+")))))))</f>
        <v>0-14.9K</v>
      </c>
      <c r="Q1154" s="17">
        <v>2.5</v>
      </c>
      <c r="R1154">
        <v>7</v>
      </c>
      <c r="S1154">
        <v>3</v>
      </c>
      <c r="T1154">
        <v>2</v>
      </c>
      <c r="U1154">
        <v>6</v>
      </c>
      <c r="V1154" s="15">
        <f t="shared" ref="V1154:V1217" ca="1" si="37">IF(H1154&lt;15000,1,IF(H1154&lt;30000,2,IF(H1154&lt;50000,3,IF(H1154&lt;75000,4,IF(H1154&lt;100000,5,IF(H1154&lt;150000,6,IF(H1154&lt;250000,7,8)))))))</f>
        <v>1</v>
      </c>
    </row>
    <row r="1155" spans="1:22">
      <c r="A1155" t="s">
        <v>1047</v>
      </c>
      <c r="B1155" s="1">
        <v>41059.851504629631</v>
      </c>
      <c r="C1155" s="2">
        <v>146633</v>
      </c>
      <c r="D1155">
        <v>146633</v>
      </c>
      <c r="E1155" t="s">
        <v>1954</v>
      </c>
      <c r="F1155" s="5">
        <v>231119.74856804207</v>
      </c>
      <c r="G1155" s="5">
        <v>217556.37982195846</v>
      </c>
      <c r="H1155" s="5">
        <f ca="1">OFFSET(F1155,0,Brains!$D$1,1,1)</f>
        <v>217556.37982195846</v>
      </c>
      <c r="I1155" t="s">
        <v>1048</v>
      </c>
      <c r="J1155" t="s">
        <v>1876</v>
      </c>
      <c r="K1155" t="s">
        <v>1956</v>
      </c>
      <c r="L1155" t="s">
        <v>1956</v>
      </c>
      <c r="M1155" s="11" t="s">
        <v>3917</v>
      </c>
      <c r="N1155" t="s">
        <v>1873</v>
      </c>
      <c r="O1155" s="7" t="s">
        <v>3921</v>
      </c>
      <c r="P1155" s="17" t="str">
        <f t="shared" ca="1" si="36"/>
        <v>150-249.9K</v>
      </c>
      <c r="Q1155" s="17">
        <v>2.5</v>
      </c>
      <c r="R1155">
        <v>10</v>
      </c>
      <c r="S1155">
        <v>3</v>
      </c>
      <c r="T1155">
        <v>2</v>
      </c>
      <c r="U1155">
        <v>6</v>
      </c>
      <c r="V1155" s="15">
        <f t="shared" ca="1" si="37"/>
        <v>7</v>
      </c>
    </row>
    <row r="1156" spans="1:22">
      <c r="A1156" t="s">
        <v>97</v>
      </c>
      <c r="B1156" s="1">
        <v>41057.507048611114</v>
      </c>
      <c r="C1156" s="2">
        <v>7265</v>
      </c>
      <c r="D1156">
        <v>7265</v>
      </c>
      <c r="E1156" t="s">
        <v>1856</v>
      </c>
      <c r="F1156" s="5">
        <v>7265</v>
      </c>
      <c r="G1156" s="5">
        <v>7265</v>
      </c>
      <c r="H1156" s="5">
        <f ca="1">OFFSET(F1156,0,Brains!$D$1,1,1)</f>
        <v>7265</v>
      </c>
      <c r="I1156" t="s">
        <v>98</v>
      </c>
      <c r="J1156" t="s">
        <v>1876</v>
      </c>
      <c r="K1156" t="s">
        <v>1859</v>
      </c>
      <c r="L1156" t="s">
        <v>1859</v>
      </c>
      <c r="M1156" s="11" t="s">
        <v>3918</v>
      </c>
      <c r="N1156" t="s">
        <v>1860</v>
      </c>
      <c r="O1156" s="7" t="s">
        <v>3921</v>
      </c>
      <c r="P1156" s="17" t="str">
        <f t="shared" ca="1" si="36"/>
        <v>0-14.9K</v>
      </c>
      <c r="Q1156" s="17">
        <v>5</v>
      </c>
      <c r="R1156">
        <v>6</v>
      </c>
      <c r="S1156">
        <v>4</v>
      </c>
      <c r="T1156">
        <v>2</v>
      </c>
      <c r="U1156">
        <v>6</v>
      </c>
      <c r="V1156" s="15">
        <f t="shared" ca="1" si="37"/>
        <v>1</v>
      </c>
    </row>
    <row r="1157" spans="1:22">
      <c r="A1157" t="s">
        <v>1171</v>
      </c>
      <c r="B1157" s="1">
        <v>41060.906284722223</v>
      </c>
      <c r="C1157" s="2" t="s">
        <v>1172</v>
      </c>
      <c r="D1157">
        <v>60000</v>
      </c>
      <c r="E1157" t="s">
        <v>1880</v>
      </c>
      <c r="F1157" s="5">
        <v>76223.966339496474</v>
      </c>
      <c r="G1157" s="5">
        <v>75371.960625687774</v>
      </c>
      <c r="H1157" s="5">
        <f ca="1">OFFSET(F1157,0,Brains!$D$1,1,1)</f>
        <v>75371.960625687774</v>
      </c>
      <c r="I1157" t="s">
        <v>1173</v>
      </c>
      <c r="J1157" t="s">
        <v>1876</v>
      </c>
      <c r="K1157" t="s">
        <v>2998</v>
      </c>
      <c r="L1157" t="s">
        <v>2998</v>
      </c>
      <c r="M1157" s="11" t="s">
        <v>3918</v>
      </c>
      <c r="N1157" t="s">
        <v>1860</v>
      </c>
      <c r="O1157" s="7" t="s">
        <v>3921</v>
      </c>
      <c r="P1157" s="17" t="str">
        <f t="shared" ca="1" si="36"/>
        <v>75-99.9K</v>
      </c>
      <c r="Q1157" s="17">
        <v>5</v>
      </c>
      <c r="R1157">
        <v>7</v>
      </c>
      <c r="S1157">
        <v>4</v>
      </c>
      <c r="T1157">
        <v>2</v>
      </c>
      <c r="U1157">
        <v>6</v>
      </c>
      <c r="V1157" s="15">
        <f t="shared" ca="1" si="37"/>
        <v>5</v>
      </c>
    </row>
    <row r="1158" spans="1:22">
      <c r="A1158" t="s">
        <v>1311</v>
      </c>
      <c r="B1158" s="1">
        <v>41063.067164351851</v>
      </c>
      <c r="C1158" s="2" t="s">
        <v>1312</v>
      </c>
      <c r="D1158">
        <v>288000</v>
      </c>
      <c r="E1158" t="s">
        <v>1313</v>
      </c>
      <c r="F1158" s="5">
        <v>9376.2513877177607</v>
      </c>
      <c r="G1158" s="5">
        <v>16628.175519630484</v>
      </c>
      <c r="H1158" s="5">
        <f ca="1">OFFSET(F1158,0,Brains!$D$1,1,1)</f>
        <v>16628.175519630484</v>
      </c>
      <c r="I1158" t="s">
        <v>1314</v>
      </c>
      <c r="J1158" t="s">
        <v>1876</v>
      </c>
      <c r="K1158" t="s">
        <v>1315</v>
      </c>
      <c r="L1158" t="s">
        <v>1315</v>
      </c>
      <c r="M1158" s="11" t="s">
        <v>3918</v>
      </c>
      <c r="N1158" t="s">
        <v>1860</v>
      </c>
      <c r="O1158" s="7" t="s">
        <v>3921</v>
      </c>
      <c r="P1158" s="17" t="str">
        <f t="shared" ca="1" si="36"/>
        <v>15-29.9K</v>
      </c>
      <c r="Q1158" s="17">
        <v>5</v>
      </c>
      <c r="R1158">
        <v>7</v>
      </c>
      <c r="S1158">
        <v>4</v>
      </c>
      <c r="T1158">
        <v>2</v>
      </c>
      <c r="U1158">
        <v>6</v>
      </c>
      <c r="V1158" s="15">
        <f t="shared" ca="1" si="37"/>
        <v>2</v>
      </c>
    </row>
    <row r="1159" spans="1:22">
      <c r="A1159" t="s">
        <v>930</v>
      </c>
      <c r="B1159" s="1">
        <v>41059.081921296296</v>
      </c>
      <c r="C1159" s="2">
        <v>77000</v>
      </c>
      <c r="D1159">
        <v>77000</v>
      </c>
      <c r="E1159" t="s">
        <v>1856</v>
      </c>
      <c r="F1159" s="5">
        <v>77000</v>
      </c>
      <c r="G1159" s="5">
        <v>77000</v>
      </c>
      <c r="H1159" s="5">
        <f ca="1">OFFSET(F1159,0,Brains!$D$1,1,1)</f>
        <v>77000</v>
      </c>
      <c r="I1159" t="s">
        <v>931</v>
      </c>
      <c r="J1159" t="s">
        <v>1876</v>
      </c>
      <c r="K1159" t="s">
        <v>1869</v>
      </c>
      <c r="L1159" t="s">
        <v>1869</v>
      </c>
      <c r="M1159" s="11" t="s">
        <v>3918</v>
      </c>
      <c r="N1159" t="s">
        <v>1860</v>
      </c>
      <c r="O1159" s="7" t="s">
        <v>3921</v>
      </c>
      <c r="P1159" s="17" t="str">
        <f t="shared" ca="1" si="36"/>
        <v>75-99.9K</v>
      </c>
      <c r="Q1159" s="17">
        <v>5</v>
      </c>
      <c r="R1159">
        <v>10</v>
      </c>
      <c r="S1159">
        <v>4</v>
      </c>
      <c r="T1159">
        <v>2</v>
      </c>
      <c r="U1159">
        <v>6</v>
      </c>
      <c r="V1159" s="15">
        <f t="shared" ca="1" si="37"/>
        <v>5</v>
      </c>
    </row>
    <row r="1160" spans="1:22">
      <c r="A1160" t="s">
        <v>3261</v>
      </c>
      <c r="B1160" s="1">
        <v>41055.521863425929</v>
      </c>
      <c r="C1160" s="2">
        <v>37000</v>
      </c>
      <c r="D1160">
        <v>37000</v>
      </c>
      <c r="E1160" t="s">
        <v>1856</v>
      </c>
      <c r="F1160" s="5">
        <v>37000</v>
      </c>
      <c r="G1160" s="5">
        <v>37000</v>
      </c>
      <c r="H1160" s="5">
        <f ca="1">OFFSET(F1160,0,Brains!$D$1,1,1)</f>
        <v>37000</v>
      </c>
      <c r="I1160" t="s">
        <v>3262</v>
      </c>
      <c r="J1160" t="s">
        <v>1876</v>
      </c>
      <c r="K1160" t="s">
        <v>1859</v>
      </c>
      <c r="L1160" t="s">
        <v>1859</v>
      </c>
      <c r="M1160" s="11" t="s">
        <v>3918</v>
      </c>
      <c r="N1160" t="s">
        <v>1860</v>
      </c>
      <c r="O1160" s="7" t="s">
        <v>3921</v>
      </c>
      <c r="P1160" s="17" t="str">
        <f t="shared" ca="1" si="36"/>
        <v>30-49.9K</v>
      </c>
      <c r="Q1160" s="17">
        <v>5</v>
      </c>
      <c r="R1160">
        <v>10</v>
      </c>
      <c r="S1160">
        <v>4</v>
      </c>
      <c r="T1160">
        <v>2</v>
      </c>
      <c r="U1160">
        <v>6</v>
      </c>
      <c r="V1160" s="15">
        <f t="shared" ca="1" si="37"/>
        <v>3</v>
      </c>
    </row>
    <row r="1161" spans="1:22">
      <c r="A1161" t="s">
        <v>2802</v>
      </c>
      <c r="B1161" s="1">
        <v>41055.106944444444</v>
      </c>
      <c r="C1161" s="2" t="s">
        <v>2803</v>
      </c>
      <c r="D1161">
        <v>6629</v>
      </c>
      <c r="E1161" t="s">
        <v>1856</v>
      </c>
      <c r="F1161" s="5">
        <v>6629</v>
      </c>
      <c r="G1161" s="5">
        <v>6629</v>
      </c>
      <c r="H1161" s="5">
        <f ca="1">OFFSET(F1161,0,Brains!$D$1,1,1)</f>
        <v>6629</v>
      </c>
      <c r="I1161" t="s">
        <v>1876</v>
      </c>
      <c r="J1161" t="s">
        <v>1876</v>
      </c>
      <c r="K1161" t="s">
        <v>2804</v>
      </c>
      <c r="L1161" t="s">
        <v>2804</v>
      </c>
      <c r="M1161" s="7" t="s">
        <v>3941</v>
      </c>
      <c r="N1161" t="s">
        <v>1866</v>
      </c>
      <c r="P1161" s="15" t="str">
        <f t="shared" ca="1" si="36"/>
        <v>0-14.9K</v>
      </c>
      <c r="Q1161" s="15">
        <v>8</v>
      </c>
      <c r="S1161">
        <v>5</v>
      </c>
      <c r="U1161">
        <v>6</v>
      </c>
      <c r="V1161" s="15">
        <f t="shared" ca="1" si="37"/>
        <v>1</v>
      </c>
    </row>
    <row r="1162" spans="1:22">
      <c r="A1162" t="s">
        <v>2900</v>
      </c>
      <c r="B1162" s="1">
        <v>41055.140219907407</v>
      </c>
      <c r="C1162" s="2">
        <v>92000</v>
      </c>
      <c r="D1162">
        <v>92000</v>
      </c>
      <c r="E1162" t="s">
        <v>1856</v>
      </c>
      <c r="F1162" s="5">
        <v>92000</v>
      </c>
      <c r="G1162" s="5">
        <v>92000</v>
      </c>
      <c r="H1162" s="5">
        <f ca="1">OFFSET(F1162,0,Brains!$D$1,1,1)</f>
        <v>92000</v>
      </c>
      <c r="I1162" t="s">
        <v>2901</v>
      </c>
      <c r="J1162" t="s">
        <v>1876</v>
      </c>
      <c r="K1162" t="s">
        <v>1869</v>
      </c>
      <c r="L1162" t="s">
        <v>1869</v>
      </c>
      <c r="M1162" s="11" t="s">
        <v>3916</v>
      </c>
      <c r="N1162" t="s">
        <v>1884</v>
      </c>
      <c r="P1162" s="15" t="str">
        <f t="shared" ca="1" si="36"/>
        <v>75-99.9K</v>
      </c>
      <c r="Q1162" s="15">
        <v>1.5</v>
      </c>
      <c r="S1162">
        <v>2</v>
      </c>
      <c r="U1162">
        <v>6</v>
      </c>
      <c r="V1162" s="15">
        <f t="shared" ca="1" si="37"/>
        <v>5</v>
      </c>
    </row>
    <row r="1163" spans="1:22">
      <c r="A1163" t="s">
        <v>1912</v>
      </c>
      <c r="B1163" s="1">
        <v>41054.162060185183</v>
      </c>
      <c r="C1163" s="2">
        <v>85000</v>
      </c>
      <c r="D1163">
        <v>85000</v>
      </c>
      <c r="E1163" t="s">
        <v>1856</v>
      </c>
      <c r="F1163" s="5">
        <v>85000</v>
      </c>
      <c r="G1163" s="5">
        <v>85000</v>
      </c>
      <c r="H1163" s="5">
        <f ca="1">OFFSET(F1163,0,Brains!$D$1,1,1)</f>
        <v>85000</v>
      </c>
      <c r="I1163" t="s">
        <v>1913</v>
      </c>
      <c r="J1163" t="s">
        <v>1876</v>
      </c>
      <c r="K1163" t="s">
        <v>1869</v>
      </c>
      <c r="L1163" t="s">
        <v>1869</v>
      </c>
      <c r="M1163" s="11" t="s">
        <v>3916</v>
      </c>
      <c r="N1163" t="s">
        <v>1884</v>
      </c>
      <c r="P1163" s="15" t="str">
        <f t="shared" ca="1" si="36"/>
        <v>75-99.9K</v>
      </c>
      <c r="Q1163" s="15">
        <v>1.5</v>
      </c>
      <c r="S1163">
        <v>2</v>
      </c>
      <c r="U1163">
        <v>6</v>
      </c>
      <c r="V1163" s="15">
        <f t="shared" ca="1" si="37"/>
        <v>5</v>
      </c>
    </row>
    <row r="1164" spans="1:22">
      <c r="A1164" t="s">
        <v>2540</v>
      </c>
      <c r="B1164" s="1">
        <v>41055.058368055557</v>
      </c>
      <c r="C1164" s="2" t="s">
        <v>2541</v>
      </c>
      <c r="D1164">
        <v>20000</v>
      </c>
      <c r="E1164" t="s">
        <v>1954</v>
      </c>
      <c r="F1164" s="5">
        <v>31523.565441345683</v>
      </c>
      <c r="G1164" s="5">
        <v>29673.590504451036</v>
      </c>
      <c r="H1164" s="5">
        <f ca="1">OFFSET(F1164,0,Brains!$D$1,1,1)</f>
        <v>29673.590504451036</v>
      </c>
      <c r="I1164" t="s">
        <v>2542</v>
      </c>
      <c r="J1164" t="s">
        <v>1876</v>
      </c>
      <c r="K1164" t="s">
        <v>1956</v>
      </c>
      <c r="L1164" t="s">
        <v>1956</v>
      </c>
      <c r="M1164" s="11" t="s">
        <v>3916</v>
      </c>
      <c r="N1164" t="s">
        <v>1884</v>
      </c>
      <c r="P1164" s="15" t="str">
        <f t="shared" ca="1" si="36"/>
        <v>15-29.9K</v>
      </c>
      <c r="Q1164" s="15">
        <v>1.5</v>
      </c>
      <c r="S1164">
        <v>2</v>
      </c>
      <c r="U1164">
        <v>6</v>
      </c>
      <c r="V1164" s="15">
        <f t="shared" ca="1" si="37"/>
        <v>2</v>
      </c>
    </row>
    <row r="1165" spans="1:22">
      <c r="A1165" t="s">
        <v>2795</v>
      </c>
      <c r="B1165" s="1">
        <v>41055.105138888888</v>
      </c>
      <c r="C1165" s="2">
        <v>24</v>
      </c>
      <c r="D1165">
        <v>24000</v>
      </c>
      <c r="E1165" t="s">
        <v>1856</v>
      </c>
      <c r="F1165" s="5">
        <v>24000</v>
      </c>
      <c r="G1165" s="5">
        <v>24000</v>
      </c>
      <c r="H1165" s="5">
        <f ca="1">OFFSET(F1165,0,Brains!$D$1,1,1)</f>
        <v>24000</v>
      </c>
      <c r="I1165" t="s">
        <v>2796</v>
      </c>
      <c r="J1165" t="s">
        <v>1876</v>
      </c>
      <c r="K1165" t="s">
        <v>1869</v>
      </c>
      <c r="L1165" t="s">
        <v>1869</v>
      </c>
      <c r="M1165" s="11" t="s">
        <v>3916</v>
      </c>
      <c r="N1165" t="s">
        <v>1884</v>
      </c>
      <c r="P1165" s="15" t="str">
        <f t="shared" ca="1" si="36"/>
        <v>15-29.9K</v>
      </c>
      <c r="Q1165" s="15">
        <v>1.5</v>
      </c>
      <c r="S1165">
        <v>2</v>
      </c>
      <c r="U1165">
        <v>6</v>
      </c>
      <c r="V1165" s="15">
        <f t="shared" ca="1" si="37"/>
        <v>2</v>
      </c>
    </row>
    <row r="1166" spans="1:22">
      <c r="A1166" t="s">
        <v>1941</v>
      </c>
      <c r="B1166" s="1">
        <v>41054.203043981484</v>
      </c>
      <c r="C1166" s="2" t="s">
        <v>1942</v>
      </c>
      <c r="D1166">
        <v>900000</v>
      </c>
      <c r="E1166" t="s">
        <v>1908</v>
      </c>
      <c r="F1166" s="5">
        <v>16027.125018698311</v>
      </c>
      <c r="G1166" s="5">
        <v>44816.253361219002</v>
      </c>
      <c r="H1166" s="5">
        <f ca="1">OFFSET(F1166,0,Brains!$D$1,1,1)</f>
        <v>44816.253361219002</v>
      </c>
      <c r="I1166" t="s">
        <v>1943</v>
      </c>
      <c r="J1166" t="s">
        <v>1876</v>
      </c>
      <c r="K1166" t="s">
        <v>1859</v>
      </c>
      <c r="L1166" t="s">
        <v>1859</v>
      </c>
      <c r="M1166" s="11" t="s">
        <v>3916</v>
      </c>
      <c r="N1166" t="s">
        <v>1884</v>
      </c>
      <c r="P1166" s="15" t="str">
        <f t="shared" ca="1" si="36"/>
        <v>30-49.9K</v>
      </c>
      <c r="Q1166" s="15">
        <v>1.5</v>
      </c>
      <c r="S1166">
        <v>2</v>
      </c>
      <c r="U1166">
        <v>6</v>
      </c>
      <c r="V1166" s="15">
        <f t="shared" ca="1" si="37"/>
        <v>3</v>
      </c>
    </row>
    <row r="1167" spans="1:22">
      <c r="A1167" t="s">
        <v>2738</v>
      </c>
      <c r="B1167" s="1">
        <v>41055.089004629626</v>
      </c>
      <c r="C1167" s="2">
        <v>300000</v>
      </c>
      <c r="D1167">
        <v>300000</v>
      </c>
      <c r="E1167" t="s">
        <v>1908</v>
      </c>
      <c r="F1167" s="5">
        <v>5342.3750062327708</v>
      </c>
      <c r="G1167" s="5">
        <v>14938.751120406334</v>
      </c>
      <c r="H1167" s="5">
        <f ca="1">OFFSET(F1167,0,Brains!$D$1,1,1)</f>
        <v>14938.751120406334</v>
      </c>
      <c r="I1167" t="s">
        <v>2739</v>
      </c>
      <c r="J1167" t="s">
        <v>1876</v>
      </c>
      <c r="K1167" t="s">
        <v>1859</v>
      </c>
      <c r="L1167" t="s">
        <v>1859</v>
      </c>
      <c r="M1167" s="11" t="s">
        <v>3916</v>
      </c>
      <c r="N1167" t="s">
        <v>1884</v>
      </c>
      <c r="P1167" s="15" t="str">
        <f t="shared" ca="1" si="36"/>
        <v>0-14.9K</v>
      </c>
      <c r="Q1167" s="15">
        <v>1.5</v>
      </c>
      <c r="S1167">
        <v>2</v>
      </c>
      <c r="U1167">
        <v>6</v>
      </c>
      <c r="V1167" s="15">
        <f t="shared" ca="1" si="37"/>
        <v>1</v>
      </c>
    </row>
    <row r="1168" spans="1:22">
      <c r="A1168" t="s">
        <v>2082</v>
      </c>
      <c r="B1168" s="1">
        <v>41055.010613425926</v>
      </c>
      <c r="C1168" s="2">
        <v>110000</v>
      </c>
      <c r="D1168">
        <v>110000</v>
      </c>
      <c r="E1168" t="s">
        <v>1856</v>
      </c>
      <c r="F1168" s="5">
        <v>110000</v>
      </c>
      <c r="G1168" s="5">
        <v>110000</v>
      </c>
      <c r="H1168" s="5">
        <f ca="1">OFFSET(F1168,0,Brains!$D$1,1,1)</f>
        <v>110000</v>
      </c>
      <c r="I1168" t="s">
        <v>2083</v>
      </c>
      <c r="J1168" t="s">
        <v>1876</v>
      </c>
      <c r="K1168" t="s">
        <v>1869</v>
      </c>
      <c r="L1168" t="s">
        <v>1869</v>
      </c>
      <c r="M1168" s="11" t="s">
        <v>3917</v>
      </c>
      <c r="N1168" t="s">
        <v>1873</v>
      </c>
      <c r="P1168" s="15" t="str">
        <f t="shared" ca="1" si="36"/>
        <v>100-149.9K</v>
      </c>
      <c r="Q1168" s="15">
        <v>2.5</v>
      </c>
      <c r="S1168">
        <v>3</v>
      </c>
      <c r="U1168">
        <v>6</v>
      </c>
      <c r="V1168" s="15">
        <f t="shared" ca="1" si="37"/>
        <v>6</v>
      </c>
    </row>
    <row r="1169" spans="1:22">
      <c r="A1169" t="s">
        <v>2727</v>
      </c>
      <c r="B1169" s="1">
        <v>41055.086875000001</v>
      </c>
      <c r="C1169" s="2">
        <v>85000</v>
      </c>
      <c r="D1169">
        <v>85000</v>
      </c>
      <c r="E1169" t="s">
        <v>1856</v>
      </c>
      <c r="F1169" s="5">
        <v>85000</v>
      </c>
      <c r="G1169" s="5">
        <v>85000</v>
      </c>
      <c r="H1169" s="5">
        <f ca="1">OFFSET(F1169,0,Brains!$D$1,1,1)</f>
        <v>85000</v>
      </c>
      <c r="I1169" t="s">
        <v>2728</v>
      </c>
      <c r="J1169" t="s">
        <v>1876</v>
      </c>
      <c r="K1169" t="s">
        <v>1869</v>
      </c>
      <c r="L1169" t="s">
        <v>1869</v>
      </c>
      <c r="M1169" s="11" t="s">
        <v>3917</v>
      </c>
      <c r="N1169" t="s">
        <v>1873</v>
      </c>
      <c r="P1169" s="15" t="str">
        <f t="shared" ca="1" si="36"/>
        <v>75-99.9K</v>
      </c>
      <c r="Q1169" s="15">
        <v>2.5</v>
      </c>
      <c r="S1169">
        <v>3</v>
      </c>
      <c r="U1169">
        <v>6</v>
      </c>
      <c r="V1169" s="15">
        <f t="shared" ca="1" si="37"/>
        <v>5</v>
      </c>
    </row>
    <row r="1170" spans="1:22">
      <c r="A1170" t="s">
        <v>2637</v>
      </c>
      <c r="B1170" s="1">
        <v>41055.071145833332</v>
      </c>
      <c r="C1170" s="2">
        <v>72500</v>
      </c>
      <c r="D1170">
        <v>72500</v>
      </c>
      <c r="E1170" t="s">
        <v>1856</v>
      </c>
      <c r="F1170" s="5">
        <v>72500</v>
      </c>
      <c r="G1170" s="5">
        <v>72500</v>
      </c>
      <c r="H1170" s="5">
        <f ca="1">OFFSET(F1170,0,Brains!$D$1,1,1)</f>
        <v>72500</v>
      </c>
      <c r="I1170" t="s">
        <v>2638</v>
      </c>
      <c r="J1170" t="s">
        <v>1876</v>
      </c>
      <c r="K1170" t="s">
        <v>1869</v>
      </c>
      <c r="L1170" t="s">
        <v>1869</v>
      </c>
      <c r="M1170" s="11" t="s">
        <v>3917</v>
      </c>
      <c r="N1170" t="s">
        <v>1873</v>
      </c>
      <c r="P1170" s="15" t="str">
        <f t="shared" ca="1" si="36"/>
        <v>50-74.9K</v>
      </c>
      <c r="Q1170" s="15">
        <v>2.5</v>
      </c>
      <c r="S1170">
        <v>3</v>
      </c>
      <c r="U1170">
        <v>6</v>
      </c>
      <c r="V1170" s="15">
        <f t="shared" ca="1" si="37"/>
        <v>4</v>
      </c>
    </row>
    <row r="1171" spans="1:22">
      <c r="A1171" t="s">
        <v>1978</v>
      </c>
      <c r="B1171" s="1">
        <v>41054.229618055557</v>
      </c>
      <c r="C1171" s="2">
        <v>70000</v>
      </c>
      <c r="D1171">
        <v>70000</v>
      </c>
      <c r="E1171" t="s">
        <v>1979</v>
      </c>
      <c r="F1171" s="5">
        <v>68835.306612122877</v>
      </c>
      <c r="G1171" s="5">
        <v>56044.83586869495</v>
      </c>
      <c r="H1171" s="5">
        <f ca="1">OFFSET(F1171,0,Brains!$D$1,1,1)</f>
        <v>56044.83586869495</v>
      </c>
      <c r="I1171" t="s">
        <v>1980</v>
      </c>
      <c r="J1171" t="s">
        <v>1876</v>
      </c>
      <c r="K1171" t="s">
        <v>1981</v>
      </c>
      <c r="L1171" t="s">
        <v>1981</v>
      </c>
      <c r="M1171" s="11" t="s">
        <v>3917</v>
      </c>
      <c r="N1171" t="s">
        <v>1873</v>
      </c>
      <c r="P1171" s="15" t="str">
        <f t="shared" ca="1" si="36"/>
        <v>50-74.9K</v>
      </c>
      <c r="Q1171" s="15">
        <v>2.5</v>
      </c>
      <c r="S1171">
        <v>3</v>
      </c>
      <c r="U1171">
        <v>6</v>
      </c>
      <c r="V1171" s="15">
        <f t="shared" ca="1" si="37"/>
        <v>4</v>
      </c>
    </row>
    <row r="1172" spans="1:22">
      <c r="A1172" t="s">
        <v>2497</v>
      </c>
      <c r="B1172" s="1">
        <v>41055.054571759261</v>
      </c>
      <c r="C1172" s="2" t="s">
        <v>2498</v>
      </c>
      <c r="D1172">
        <v>31000</v>
      </c>
      <c r="E1172" t="s">
        <v>1954</v>
      </c>
      <c r="F1172" s="5">
        <v>48861.526434085805</v>
      </c>
      <c r="G1172" s="5">
        <v>45994.065281899108</v>
      </c>
      <c r="H1172" s="5">
        <f ca="1">OFFSET(F1172,0,Brains!$D$1,1,1)</f>
        <v>45994.065281899108</v>
      </c>
      <c r="I1172" t="s">
        <v>2499</v>
      </c>
      <c r="J1172" t="s">
        <v>1876</v>
      </c>
      <c r="K1172" t="s">
        <v>1956</v>
      </c>
      <c r="L1172" t="s">
        <v>1956</v>
      </c>
      <c r="M1172" s="11" t="s">
        <v>3917</v>
      </c>
      <c r="N1172" t="s">
        <v>1873</v>
      </c>
      <c r="P1172" s="15" t="str">
        <f t="shared" ca="1" si="36"/>
        <v>30-49.9K</v>
      </c>
      <c r="Q1172" s="15">
        <v>2.5</v>
      </c>
      <c r="S1172">
        <v>3</v>
      </c>
      <c r="U1172">
        <v>6</v>
      </c>
      <c r="V1172" s="15">
        <f t="shared" ca="1" si="37"/>
        <v>3</v>
      </c>
    </row>
    <row r="1173" spans="1:22">
      <c r="A1173" t="s">
        <v>2898</v>
      </c>
      <c r="B1173" s="1">
        <v>41055.139884259261</v>
      </c>
      <c r="C1173" s="2">
        <v>2000</v>
      </c>
      <c r="D1173">
        <v>24000</v>
      </c>
      <c r="E1173" t="s">
        <v>1856</v>
      </c>
      <c r="F1173" s="5">
        <v>24000</v>
      </c>
      <c r="G1173" s="5">
        <v>24000</v>
      </c>
      <c r="H1173" s="5">
        <f ca="1">OFFSET(F1173,0,Brains!$D$1,1,1)</f>
        <v>24000</v>
      </c>
      <c r="I1173" t="s">
        <v>2796</v>
      </c>
      <c r="J1173" t="s">
        <v>1876</v>
      </c>
      <c r="K1173" t="s">
        <v>2899</v>
      </c>
      <c r="L1173" t="s">
        <v>3915</v>
      </c>
      <c r="M1173" s="11" t="s">
        <v>3917</v>
      </c>
      <c r="N1173" t="s">
        <v>1873</v>
      </c>
      <c r="P1173" s="15" t="str">
        <f t="shared" ca="1" si="36"/>
        <v>15-29.9K</v>
      </c>
      <c r="Q1173" s="15">
        <v>2.5</v>
      </c>
      <c r="S1173">
        <v>3</v>
      </c>
      <c r="U1173">
        <v>6</v>
      </c>
      <c r="V1173" s="15">
        <f t="shared" ca="1" si="37"/>
        <v>2</v>
      </c>
    </row>
    <row r="1174" spans="1:22">
      <c r="A1174" t="s">
        <v>2366</v>
      </c>
      <c r="B1174" s="1">
        <v>41055.040185185186</v>
      </c>
      <c r="C1174" s="2" t="s">
        <v>2367</v>
      </c>
      <c r="D1174">
        <v>138000</v>
      </c>
      <c r="E1174" t="s">
        <v>1856</v>
      </c>
      <c r="F1174" s="5">
        <v>138000</v>
      </c>
      <c r="G1174" s="5">
        <v>138000</v>
      </c>
      <c r="H1174" s="5">
        <f ca="1">OFFSET(F1174,0,Brains!$D$1,1,1)</f>
        <v>138000</v>
      </c>
      <c r="I1174" t="s">
        <v>2368</v>
      </c>
      <c r="J1174" t="s">
        <v>1876</v>
      </c>
      <c r="K1174" t="s">
        <v>2369</v>
      </c>
      <c r="L1174" t="s">
        <v>2369</v>
      </c>
      <c r="M1174" s="11" t="s">
        <v>3918</v>
      </c>
      <c r="N1174" t="s">
        <v>1860</v>
      </c>
      <c r="P1174" s="15" t="str">
        <f t="shared" ca="1" si="36"/>
        <v>100-149.9K</v>
      </c>
      <c r="Q1174" s="15">
        <v>5</v>
      </c>
      <c r="S1174">
        <v>4</v>
      </c>
      <c r="U1174">
        <v>6</v>
      </c>
      <c r="V1174" s="15">
        <f t="shared" ca="1" si="37"/>
        <v>6</v>
      </c>
    </row>
    <row r="1175" spans="1:22">
      <c r="A1175" t="s">
        <v>2627</v>
      </c>
      <c r="B1175" s="1">
        <v>41055.070034722223</v>
      </c>
      <c r="C1175" s="2">
        <v>130000</v>
      </c>
      <c r="D1175">
        <v>130000</v>
      </c>
      <c r="E1175" t="s">
        <v>1856</v>
      </c>
      <c r="F1175" s="5">
        <v>130000</v>
      </c>
      <c r="G1175" s="5">
        <v>130000</v>
      </c>
      <c r="H1175" s="5">
        <f ca="1">OFFSET(F1175,0,Brains!$D$1,1,1)</f>
        <v>130000</v>
      </c>
      <c r="I1175" t="s">
        <v>2628</v>
      </c>
      <c r="J1175" t="s">
        <v>1876</v>
      </c>
      <c r="K1175" t="s">
        <v>1869</v>
      </c>
      <c r="L1175" t="s">
        <v>1869</v>
      </c>
      <c r="M1175" s="11" t="s">
        <v>3918</v>
      </c>
      <c r="N1175" t="s">
        <v>1860</v>
      </c>
      <c r="P1175" s="15" t="str">
        <f t="shared" ca="1" si="36"/>
        <v>100-149.9K</v>
      </c>
      <c r="Q1175" s="15">
        <v>5</v>
      </c>
      <c r="S1175">
        <v>4</v>
      </c>
      <c r="U1175">
        <v>6</v>
      </c>
      <c r="V1175" s="15">
        <f t="shared" ca="1" si="37"/>
        <v>6</v>
      </c>
    </row>
    <row r="1176" spans="1:22">
      <c r="A1176" t="s">
        <v>2272</v>
      </c>
      <c r="B1176" s="1">
        <v>41055.034236111111</v>
      </c>
      <c r="C1176" s="2">
        <v>92000</v>
      </c>
      <c r="D1176">
        <v>92000</v>
      </c>
      <c r="E1176" t="s">
        <v>1856</v>
      </c>
      <c r="F1176" s="5">
        <v>92000</v>
      </c>
      <c r="G1176" s="5">
        <v>92000</v>
      </c>
      <c r="H1176" s="5">
        <f ca="1">OFFSET(F1176,0,Brains!$D$1,1,1)</f>
        <v>92000</v>
      </c>
      <c r="I1176" t="s">
        <v>2273</v>
      </c>
      <c r="J1176" t="s">
        <v>1876</v>
      </c>
      <c r="K1176" t="s">
        <v>1869</v>
      </c>
      <c r="L1176" t="s">
        <v>1869</v>
      </c>
      <c r="M1176" s="11" t="s">
        <v>3918</v>
      </c>
      <c r="N1176" t="s">
        <v>1860</v>
      </c>
      <c r="P1176" s="15" t="str">
        <f t="shared" ca="1" si="36"/>
        <v>75-99.9K</v>
      </c>
      <c r="Q1176" s="15">
        <v>5</v>
      </c>
      <c r="S1176">
        <v>4</v>
      </c>
      <c r="U1176">
        <v>6</v>
      </c>
      <c r="V1176" s="15">
        <f t="shared" ca="1" si="37"/>
        <v>5</v>
      </c>
    </row>
    <row r="1177" spans="1:22">
      <c r="A1177" t="s">
        <v>2837</v>
      </c>
      <c r="B1177" s="1">
        <v>41055.120474537034</v>
      </c>
      <c r="C1177" s="2">
        <v>74000</v>
      </c>
      <c r="D1177">
        <v>74000</v>
      </c>
      <c r="E1177" t="s">
        <v>1856</v>
      </c>
      <c r="F1177" s="5">
        <v>74000</v>
      </c>
      <c r="G1177" s="5">
        <v>74000</v>
      </c>
      <c r="H1177" s="5">
        <f ca="1">OFFSET(F1177,0,Brains!$D$1,1,1)</f>
        <v>74000</v>
      </c>
      <c r="I1177" t="s">
        <v>1876</v>
      </c>
      <c r="J1177" t="s">
        <v>1876</v>
      </c>
      <c r="K1177" t="s">
        <v>1869</v>
      </c>
      <c r="L1177" t="s">
        <v>1869</v>
      </c>
      <c r="M1177" s="11" t="s">
        <v>3918</v>
      </c>
      <c r="N1177" t="s">
        <v>1860</v>
      </c>
      <c r="P1177" s="15" t="str">
        <f t="shared" ca="1" si="36"/>
        <v>50-74.9K</v>
      </c>
      <c r="Q1177" s="15">
        <v>5</v>
      </c>
      <c r="S1177">
        <v>4</v>
      </c>
      <c r="U1177">
        <v>6</v>
      </c>
      <c r="V1177" s="15">
        <f t="shared" ca="1" si="37"/>
        <v>4</v>
      </c>
    </row>
    <row r="1178" spans="1:22">
      <c r="A1178" t="s">
        <v>1965</v>
      </c>
      <c r="B1178" s="1">
        <v>41054.215613425928</v>
      </c>
      <c r="C1178" s="2">
        <v>69000</v>
      </c>
      <c r="D1178">
        <v>69000</v>
      </c>
      <c r="E1178" t="s">
        <v>1856</v>
      </c>
      <c r="F1178" s="5">
        <v>69000</v>
      </c>
      <c r="G1178" s="5">
        <v>69000</v>
      </c>
      <c r="H1178" s="5">
        <f ca="1">OFFSET(F1178,0,Brains!$D$1,1,1)</f>
        <v>69000</v>
      </c>
      <c r="I1178" t="s">
        <v>1966</v>
      </c>
      <c r="J1178" t="s">
        <v>1876</v>
      </c>
      <c r="K1178" t="s">
        <v>1869</v>
      </c>
      <c r="L1178" t="s">
        <v>1869</v>
      </c>
      <c r="M1178" s="11" t="s">
        <v>3918</v>
      </c>
      <c r="N1178" t="s">
        <v>1860</v>
      </c>
      <c r="P1178" s="15" t="str">
        <f t="shared" ca="1" si="36"/>
        <v>50-74.9K</v>
      </c>
      <c r="Q1178" s="15">
        <v>5</v>
      </c>
      <c r="S1178">
        <v>4</v>
      </c>
      <c r="U1178">
        <v>6</v>
      </c>
      <c r="V1178" s="15">
        <f t="shared" ca="1" si="37"/>
        <v>4</v>
      </c>
    </row>
    <row r="1179" spans="1:22">
      <c r="A1179" t="s">
        <v>2205</v>
      </c>
      <c r="B1179" s="1">
        <v>41055.030578703707</v>
      </c>
      <c r="C1179" s="2">
        <v>57000</v>
      </c>
      <c r="D1179">
        <v>57000</v>
      </c>
      <c r="E1179" t="s">
        <v>1856</v>
      </c>
      <c r="F1179" s="5">
        <v>57000</v>
      </c>
      <c r="G1179" s="5">
        <v>57000</v>
      </c>
      <c r="H1179" s="5">
        <f ca="1">OFFSET(F1179,0,Brains!$D$1,1,1)</f>
        <v>57000</v>
      </c>
      <c r="I1179" t="s">
        <v>2206</v>
      </c>
      <c r="J1179" t="s">
        <v>1876</v>
      </c>
      <c r="K1179" t="s">
        <v>1869</v>
      </c>
      <c r="L1179" t="s">
        <v>1869</v>
      </c>
      <c r="M1179" s="11" t="s">
        <v>3918</v>
      </c>
      <c r="N1179" t="s">
        <v>1860</v>
      </c>
      <c r="P1179" s="15" t="str">
        <f t="shared" ca="1" si="36"/>
        <v>50-74.9K</v>
      </c>
      <c r="Q1179" s="15">
        <v>5</v>
      </c>
      <c r="S1179">
        <v>4</v>
      </c>
      <c r="U1179">
        <v>6</v>
      </c>
      <c r="V1179" s="15">
        <f t="shared" ca="1" si="37"/>
        <v>4</v>
      </c>
    </row>
    <row r="1180" spans="1:22">
      <c r="A1180" t="s">
        <v>3035</v>
      </c>
      <c r="B1180" s="1">
        <v>41055.229305555556</v>
      </c>
      <c r="C1180" s="2">
        <v>1500</v>
      </c>
      <c r="D1180">
        <v>18000</v>
      </c>
      <c r="E1180" t="s">
        <v>1856</v>
      </c>
      <c r="F1180" s="5">
        <v>18000</v>
      </c>
      <c r="G1180" s="5">
        <v>18000</v>
      </c>
      <c r="H1180" s="5">
        <f ca="1">OFFSET(F1180,0,Brains!$D$1,1,1)</f>
        <v>18000</v>
      </c>
      <c r="I1180" t="s">
        <v>1876</v>
      </c>
      <c r="J1180" t="s">
        <v>1876</v>
      </c>
      <c r="K1180" t="s">
        <v>2081</v>
      </c>
      <c r="L1180" t="s">
        <v>2081</v>
      </c>
      <c r="M1180" s="11" t="s">
        <v>3918</v>
      </c>
      <c r="N1180" t="s">
        <v>1860</v>
      </c>
      <c r="P1180" s="15" t="str">
        <f t="shared" ca="1" si="36"/>
        <v>15-29.9K</v>
      </c>
      <c r="Q1180" s="15">
        <v>5</v>
      </c>
      <c r="S1180">
        <v>4</v>
      </c>
      <c r="U1180">
        <v>6</v>
      </c>
      <c r="V1180" s="15">
        <f t="shared" ca="1" si="37"/>
        <v>2</v>
      </c>
    </row>
    <row r="1181" spans="1:22">
      <c r="A1181" t="s">
        <v>1903</v>
      </c>
      <c r="B1181" s="1">
        <v>41054.155509259261</v>
      </c>
      <c r="C1181" s="2">
        <v>14000</v>
      </c>
      <c r="D1181">
        <v>14000</v>
      </c>
      <c r="E1181" t="s">
        <v>1856</v>
      </c>
      <c r="F1181" s="5">
        <v>14000</v>
      </c>
      <c r="G1181" s="5">
        <v>14000</v>
      </c>
      <c r="H1181" s="5">
        <f ca="1">OFFSET(F1181,0,Brains!$D$1,1,1)</f>
        <v>14000</v>
      </c>
      <c r="I1181" t="s">
        <v>1904</v>
      </c>
      <c r="J1181" t="s">
        <v>1876</v>
      </c>
      <c r="K1181" t="s">
        <v>1905</v>
      </c>
      <c r="L1181" t="s">
        <v>1905</v>
      </c>
      <c r="M1181" s="11" t="s">
        <v>3918</v>
      </c>
      <c r="N1181" t="s">
        <v>1860</v>
      </c>
      <c r="P1181" s="15" t="str">
        <f t="shared" ca="1" si="36"/>
        <v>0-14.9K</v>
      </c>
      <c r="Q1181" s="15">
        <v>5</v>
      </c>
      <c r="S1181">
        <v>4</v>
      </c>
      <c r="U1181">
        <v>6</v>
      </c>
      <c r="V1181" s="15">
        <f t="shared" ca="1" si="37"/>
        <v>1</v>
      </c>
    </row>
    <row r="1182" spans="1:22">
      <c r="A1182" t="s">
        <v>2686</v>
      </c>
      <c r="B1182" s="1">
        <v>41055.082881944443</v>
      </c>
      <c r="C1182" s="2" t="s">
        <v>2687</v>
      </c>
      <c r="D1182">
        <v>540000</v>
      </c>
      <c r="E1182" t="s">
        <v>1908</v>
      </c>
      <c r="F1182" s="5">
        <v>9616.275011218986</v>
      </c>
      <c r="G1182" s="5">
        <v>26889.7520167314</v>
      </c>
      <c r="H1182" s="5">
        <f ca="1">OFFSET(F1182,0,Brains!$D$1,1,1)</f>
        <v>26889.7520167314</v>
      </c>
      <c r="I1182" t="s">
        <v>2688</v>
      </c>
      <c r="J1182" t="s">
        <v>1876</v>
      </c>
      <c r="K1182" t="s">
        <v>1859</v>
      </c>
      <c r="L1182" t="s">
        <v>1859</v>
      </c>
      <c r="M1182" s="11" t="s">
        <v>3918</v>
      </c>
      <c r="N1182" t="s">
        <v>1860</v>
      </c>
      <c r="P1182" s="15" t="str">
        <f t="shared" ca="1" si="36"/>
        <v>15-29.9K</v>
      </c>
      <c r="Q1182" s="15">
        <v>5</v>
      </c>
      <c r="S1182">
        <v>4</v>
      </c>
      <c r="U1182">
        <v>6</v>
      </c>
      <c r="V1182" s="15">
        <f t="shared" ca="1" si="37"/>
        <v>2</v>
      </c>
    </row>
    <row r="1183" spans="1:22">
      <c r="A1183" t="s">
        <v>1914</v>
      </c>
      <c r="B1183" s="1">
        <v>41054.164351851854</v>
      </c>
      <c r="C1183" s="2">
        <v>75000</v>
      </c>
      <c r="D1183">
        <v>75000</v>
      </c>
      <c r="E1183" t="s">
        <v>1856</v>
      </c>
      <c r="F1183" s="5">
        <v>75000</v>
      </c>
      <c r="G1183" s="5">
        <v>75000</v>
      </c>
      <c r="H1183" s="5">
        <f ca="1">OFFSET(F1183,0,Brains!$D$1,1,1)</f>
        <v>75000</v>
      </c>
      <c r="I1183" t="s">
        <v>1915</v>
      </c>
      <c r="J1183" t="s">
        <v>1876</v>
      </c>
      <c r="K1183" t="s">
        <v>1869</v>
      </c>
      <c r="L1183" t="s">
        <v>1869</v>
      </c>
      <c r="M1183" t="s">
        <v>3941</v>
      </c>
      <c r="N1183" t="s">
        <v>1866</v>
      </c>
      <c r="P1183" s="15" t="str">
        <f t="shared" ca="1" si="36"/>
        <v>75-99.9K</v>
      </c>
      <c r="Q1183" s="15">
        <v>8</v>
      </c>
      <c r="S1183">
        <v>5</v>
      </c>
      <c r="U1183">
        <v>6</v>
      </c>
      <c r="V1183" s="15">
        <f t="shared" ca="1" si="37"/>
        <v>5</v>
      </c>
    </row>
    <row r="1184" spans="1:22">
      <c r="A1184" t="s">
        <v>2479</v>
      </c>
      <c r="B1184" s="1">
        <v>41055.052141203705</v>
      </c>
      <c r="C1184" s="2">
        <v>70000</v>
      </c>
      <c r="D1184">
        <v>70000</v>
      </c>
      <c r="E1184" t="s">
        <v>1856</v>
      </c>
      <c r="F1184" s="5">
        <v>70000</v>
      </c>
      <c r="G1184" s="5">
        <v>70000</v>
      </c>
      <c r="H1184" s="5">
        <f ca="1">OFFSET(F1184,0,Brains!$D$1,1,1)</f>
        <v>70000</v>
      </c>
      <c r="I1184" t="s">
        <v>2480</v>
      </c>
      <c r="J1184" t="s">
        <v>1876</v>
      </c>
      <c r="K1184" t="s">
        <v>1869</v>
      </c>
      <c r="L1184" t="s">
        <v>1869</v>
      </c>
      <c r="M1184" t="s">
        <v>3941</v>
      </c>
      <c r="N1184" t="s">
        <v>1866</v>
      </c>
      <c r="P1184" s="15" t="str">
        <f t="shared" ca="1" si="36"/>
        <v>50-74.9K</v>
      </c>
      <c r="Q1184" s="15">
        <v>8</v>
      </c>
      <c r="S1184">
        <v>5</v>
      </c>
      <c r="U1184">
        <v>6</v>
      </c>
      <c r="V1184" s="15">
        <f t="shared" ca="1" si="37"/>
        <v>4</v>
      </c>
    </row>
    <row r="1185" spans="1:22">
      <c r="A1185" t="s">
        <v>1874</v>
      </c>
      <c r="B1185" s="1">
        <v>41054.143796296295</v>
      </c>
      <c r="C1185" s="2">
        <v>54000</v>
      </c>
      <c r="D1185">
        <v>54000</v>
      </c>
      <c r="E1185" t="s">
        <v>1856</v>
      </c>
      <c r="F1185" s="5">
        <v>54000</v>
      </c>
      <c r="G1185" s="5">
        <v>54000</v>
      </c>
      <c r="H1185" s="5">
        <f ca="1">OFFSET(F1185,0,Brains!$D$1,1,1)</f>
        <v>54000</v>
      </c>
      <c r="I1185" t="s">
        <v>1875</v>
      </c>
      <c r="J1185" t="s">
        <v>1876</v>
      </c>
      <c r="K1185" t="s">
        <v>1869</v>
      </c>
      <c r="L1185" t="s">
        <v>1869</v>
      </c>
      <c r="M1185" t="s">
        <v>3941</v>
      </c>
      <c r="N1185" t="s">
        <v>1866</v>
      </c>
      <c r="P1185" s="15" t="str">
        <f t="shared" ca="1" si="36"/>
        <v>50-74.9K</v>
      </c>
      <c r="Q1185" s="15">
        <v>8</v>
      </c>
      <c r="S1185">
        <v>5</v>
      </c>
      <c r="U1185">
        <v>6</v>
      </c>
      <c r="V1185" s="15">
        <f t="shared" ca="1" si="37"/>
        <v>4</v>
      </c>
    </row>
    <row r="1186" spans="1:22">
      <c r="A1186" t="s">
        <v>3906</v>
      </c>
      <c r="B1186" s="1">
        <v>41057.286168981482</v>
      </c>
      <c r="C1186" s="2">
        <v>43000</v>
      </c>
      <c r="D1186">
        <v>43000</v>
      </c>
      <c r="E1186" t="s">
        <v>1973</v>
      </c>
      <c r="F1186" s="5">
        <v>43856.11522531334</v>
      </c>
      <c r="G1186" s="5">
        <v>27353.689567430025</v>
      </c>
      <c r="H1186" s="5">
        <f ca="1">OFFSET(F1186,0,Brains!$D$1,1,1)</f>
        <v>27353.689567430025</v>
      </c>
      <c r="I1186" t="s">
        <v>0</v>
      </c>
      <c r="J1186" t="s">
        <v>1882</v>
      </c>
      <c r="K1186" t="s">
        <v>1975</v>
      </c>
      <c r="L1186" t="s">
        <v>1975</v>
      </c>
      <c r="M1186" s="7" t="s">
        <v>3941</v>
      </c>
      <c r="N1186" t="s">
        <v>1866</v>
      </c>
      <c r="O1186" s="7" t="s">
        <v>3920</v>
      </c>
      <c r="P1186" s="17" t="str">
        <f t="shared" ca="1" si="36"/>
        <v>15-29.9K</v>
      </c>
      <c r="Q1186" s="17">
        <v>8</v>
      </c>
      <c r="R1186">
        <v>1</v>
      </c>
      <c r="S1186">
        <v>5</v>
      </c>
      <c r="T1186">
        <v>1</v>
      </c>
      <c r="U1186">
        <v>7</v>
      </c>
      <c r="V1186" s="15">
        <f t="shared" ca="1" si="37"/>
        <v>2</v>
      </c>
    </row>
    <row r="1187" spans="1:22">
      <c r="A1187" t="s">
        <v>3232</v>
      </c>
      <c r="B1187" s="1">
        <v>41055.498877314814</v>
      </c>
      <c r="C1187" s="2">
        <v>8000</v>
      </c>
      <c r="D1187">
        <v>8000</v>
      </c>
      <c r="E1187" t="s">
        <v>1856</v>
      </c>
      <c r="F1187" s="5">
        <v>8000</v>
      </c>
      <c r="G1187" s="5">
        <v>8000</v>
      </c>
      <c r="H1187" s="5">
        <f ca="1">OFFSET(F1187,0,Brains!$D$1,1,1)</f>
        <v>8000</v>
      </c>
      <c r="I1187" t="s">
        <v>3233</v>
      </c>
      <c r="J1187" t="s">
        <v>1882</v>
      </c>
      <c r="K1187" t="s">
        <v>3234</v>
      </c>
      <c r="L1187" t="s">
        <v>2369</v>
      </c>
      <c r="M1187" s="7" t="s">
        <v>3941</v>
      </c>
      <c r="N1187" t="s">
        <v>1866</v>
      </c>
      <c r="O1187" s="7" t="s">
        <v>3920</v>
      </c>
      <c r="P1187" s="17" t="str">
        <f t="shared" ca="1" si="36"/>
        <v>0-14.9K</v>
      </c>
      <c r="Q1187" s="17">
        <v>8</v>
      </c>
      <c r="R1187">
        <v>1</v>
      </c>
      <c r="S1187">
        <v>5</v>
      </c>
      <c r="T1187">
        <v>1</v>
      </c>
      <c r="U1187">
        <v>7</v>
      </c>
      <c r="V1187" s="15">
        <f t="shared" ca="1" si="37"/>
        <v>1</v>
      </c>
    </row>
    <row r="1188" spans="1:22">
      <c r="A1188" t="s">
        <v>3613</v>
      </c>
      <c r="B1188" s="1">
        <v>41055.959722222222</v>
      </c>
      <c r="C1188" s="2" t="s">
        <v>3614</v>
      </c>
      <c r="D1188">
        <v>1700000</v>
      </c>
      <c r="E1188" t="s">
        <v>1908</v>
      </c>
      <c r="F1188" s="5">
        <v>30273.458368652366</v>
      </c>
      <c r="G1188" s="5">
        <v>84652.923015635897</v>
      </c>
      <c r="H1188" s="5">
        <f ca="1">OFFSET(F1188,0,Brains!$D$1,1,1)</f>
        <v>84652.923015635897</v>
      </c>
      <c r="I1188" t="s">
        <v>3615</v>
      </c>
      <c r="J1188" t="s">
        <v>1882</v>
      </c>
      <c r="K1188" t="s">
        <v>1859</v>
      </c>
      <c r="L1188" t="s">
        <v>1859</v>
      </c>
      <c r="M1188" s="7" t="s">
        <v>3941</v>
      </c>
      <c r="N1188" t="s">
        <v>1866</v>
      </c>
      <c r="O1188" s="7" t="s">
        <v>3920</v>
      </c>
      <c r="P1188" s="17" t="str">
        <f t="shared" ca="1" si="36"/>
        <v>75-99.9K</v>
      </c>
      <c r="Q1188" s="17">
        <v>8</v>
      </c>
      <c r="R1188">
        <v>1.1000000000000001</v>
      </c>
      <c r="S1188">
        <v>5</v>
      </c>
      <c r="T1188">
        <v>1</v>
      </c>
      <c r="U1188">
        <v>7</v>
      </c>
      <c r="V1188" s="15">
        <f t="shared" ca="1" si="37"/>
        <v>5</v>
      </c>
    </row>
    <row r="1189" spans="1:22">
      <c r="A1189" t="s">
        <v>3540</v>
      </c>
      <c r="B1189" s="1">
        <v>41055.847615740742</v>
      </c>
      <c r="C1189" s="2" t="s">
        <v>3541</v>
      </c>
      <c r="D1189">
        <v>450000</v>
      </c>
      <c r="E1189" t="s">
        <v>1908</v>
      </c>
      <c r="F1189" s="5">
        <v>8013.5625093491553</v>
      </c>
      <c r="G1189" s="5">
        <v>22408.126680609501</v>
      </c>
      <c r="H1189" s="5">
        <f ca="1">OFFSET(F1189,0,Brains!$D$1,1,1)</f>
        <v>22408.126680609501</v>
      </c>
      <c r="I1189" t="s">
        <v>3542</v>
      </c>
      <c r="J1189" t="s">
        <v>1882</v>
      </c>
      <c r="K1189" t="s">
        <v>1859</v>
      </c>
      <c r="L1189" t="s">
        <v>1859</v>
      </c>
      <c r="M1189" s="7" t="s">
        <v>3941</v>
      </c>
      <c r="N1189" t="s">
        <v>1866</v>
      </c>
      <c r="O1189" s="7" t="s">
        <v>3920</v>
      </c>
      <c r="P1189" s="17" t="str">
        <f t="shared" ca="1" si="36"/>
        <v>15-29.9K</v>
      </c>
      <c r="Q1189" s="17">
        <v>8</v>
      </c>
      <c r="R1189">
        <v>1.5</v>
      </c>
      <c r="S1189">
        <v>5</v>
      </c>
      <c r="T1189">
        <v>1</v>
      </c>
      <c r="U1189">
        <v>7</v>
      </c>
      <c r="V1189" s="15">
        <f t="shared" ca="1" si="37"/>
        <v>2</v>
      </c>
    </row>
    <row r="1190" spans="1:22">
      <c r="A1190" t="s">
        <v>513</v>
      </c>
      <c r="B1190" s="1">
        <v>41058.055162037039</v>
      </c>
      <c r="C1190" s="2" t="s">
        <v>514</v>
      </c>
      <c r="D1190">
        <v>450000</v>
      </c>
      <c r="E1190" t="s">
        <v>1908</v>
      </c>
      <c r="F1190" s="5">
        <v>8013.5625093491553</v>
      </c>
      <c r="G1190" s="5">
        <v>22408.126680609501</v>
      </c>
      <c r="H1190" s="5">
        <f ca="1">OFFSET(F1190,0,Brains!$D$1,1,1)</f>
        <v>22408.126680609501</v>
      </c>
      <c r="I1190" t="s">
        <v>515</v>
      </c>
      <c r="J1190" t="s">
        <v>1882</v>
      </c>
      <c r="K1190" t="s">
        <v>1859</v>
      </c>
      <c r="L1190" t="s">
        <v>1859</v>
      </c>
      <c r="M1190" s="7" t="s">
        <v>3941</v>
      </c>
      <c r="N1190" t="s">
        <v>1866</v>
      </c>
      <c r="O1190" s="7" t="s">
        <v>3920</v>
      </c>
      <c r="P1190" s="17" t="str">
        <f t="shared" ca="1" si="36"/>
        <v>15-29.9K</v>
      </c>
      <c r="Q1190" s="17">
        <v>8</v>
      </c>
      <c r="R1190">
        <v>2</v>
      </c>
      <c r="S1190">
        <v>5</v>
      </c>
      <c r="T1190">
        <v>1</v>
      </c>
      <c r="U1190">
        <v>7</v>
      </c>
      <c r="V1190" s="15">
        <f t="shared" ca="1" si="37"/>
        <v>2</v>
      </c>
    </row>
    <row r="1191" spans="1:22">
      <c r="A1191" t="s">
        <v>3387</v>
      </c>
      <c r="B1191" s="1">
        <v>41055.623437499999</v>
      </c>
      <c r="C1191" s="2" t="s">
        <v>3388</v>
      </c>
      <c r="D1191">
        <v>204000</v>
      </c>
      <c r="E1191" t="s">
        <v>1895</v>
      </c>
      <c r="F1191" s="5">
        <v>2165.2740982270229</v>
      </c>
      <c r="G1191" s="5">
        <v>4989.8490815253281</v>
      </c>
      <c r="H1191" s="5">
        <f ca="1">OFFSET(F1191,0,Brains!$D$1,1,1)</f>
        <v>4989.8490815253281</v>
      </c>
      <c r="I1191" t="s">
        <v>3389</v>
      </c>
      <c r="J1191" t="s">
        <v>1882</v>
      </c>
      <c r="K1191" t="s">
        <v>1872</v>
      </c>
      <c r="L1191" t="s">
        <v>1872</v>
      </c>
      <c r="M1191" s="7" t="s">
        <v>3941</v>
      </c>
      <c r="N1191" t="s">
        <v>1866</v>
      </c>
      <c r="O1191" s="7" t="s">
        <v>3920</v>
      </c>
      <c r="P1191" s="17" t="str">
        <f t="shared" ca="1" si="36"/>
        <v>0-14.9K</v>
      </c>
      <c r="Q1191" s="17">
        <v>8</v>
      </c>
      <c r="R1191">
        <v>2</v>
      </c>
      <c r="S1191">
        <v>5</v>
      </c>
      <c r="T1191">
        <v>1</v>
      </c>
      <c r="U1191">
        <v>7</v>
      </c>
      <c r="V1191" s="15">
        <f t="shared" ca="1" si="37"/>
        <v>1</v>
      </c>
    </row>
    <row r="1192" spans="1:22">
      <c r="A1192" t="s">
        <v>88</v>
      </c>
      <c r="B1192" s="1">
        <v>41057.499062499999</v>
      </c>
      <c r="C1192" s="2" t="s">
        <v>89</v>
      </c>
      <c r="D1192">
        <v>308500</v>
      </c>
      <c r="E1192" t="s">
        <v>2912</v>
      </c>
      <c r="F1192" s="5">
        <v>37612.869087708088</v>
      </c>
      <c r="G1192" s="5">
        <v>54389.985895627644</v>
      </c>
      <c r="H1192" s="5">
        <f ca="1">OFFSET(F1192,0,Brains!$D$1,1,1)</f>
        <v>54389.985895627644</v>
      </c>
      <c r="I1192" t="s">
        <v>90</v>
      </c>
      <c r="J1192" t="s">
        <v>1882</v>
      </c>
      <c r="K1192" t="s">
        <v>1922</v>
      </c>
      <c r="L1192" t="s">
        <v>1922</v>
      </c>
      <c r="M1192" s="7" t="s">
        <v>3941</v>
      </c>
      <c r="N1192" t="s">
        <v>1866</v>
      </c>
      <c r="O1192" s="7" t="s">
        <v>3920</v>
      </c>
      <c r="P1192" s="17" t="str">
        <f t="shared" ca="1" si="36"/>
        <v>50-74.9K</v>
      </c>
      <c r="Q1192" s="17">
        <v>8</v>
      </c>
      <c r="R1192">
        <v>3</v>
      </c>
      <c r="S1192">
        <v>5</v>
      </c>
      <c r="T1192">
        <v>1</v>
      </c>
      <c r="U1192">
        <v>7</v>
      </c>
      <c r="V1192" s="15">
        <f t="shared" ca="1" si="37"/>
        <v>4</v>
      </c>
    </row>
    <row r="1193" spans="1:22">
      <c r="A1193" t="s">
        <v>41</v>
      </c>
      <c r="B1193" s="1">
        <v>41057.40289351852</v>
      </c>
      <c r="C1193" s="2" t="s">
        <v>42</v>
      </c>
      <c r="D1193">
        <v>12000</v>
      </c>
      <c r="E1193" t="s">
        <v>1856</v>
      </c>
      <c r="F1193" s="5">
        <v>12000</v>
      </c>
      <c r="G1193" s="5">
        <v>12000</v>
      </c>
      <c r="H1193" s="5">
        <f ca="1">OFFSET(F1193,0,Brains!$D$1,1,1)</f>
        <v>12000</v>
      </c>
      <c r="I1193" t="s">
        <v>1882</v>
      </c>
      <c r="J1193" t="s">
        <v>1882</v>
      </c>
      <c r="K1193" t="s">
        <v>43</v>
      </c>
      <c r="L1193" t="s">
        <v>43</v>
      </c>
      <c r="M1193" s="7" t="s">
        <v>3941</v>
      </c>
      <c r="N1193" t="s">
        <v>1866</v>
      </c>
      <c r="O1193" s="7" t="s">
        <v>3920</v>
      </c>
      <c r="P1193" s="17" t="str">
        <f t="shared" ca="1" si="36"/>
        <v>0-14.9K</v>
      </c>
      <c r="Q1193" s="17">
        <v>8</v>
      </c>
      <c r="R1193">
        <v>3</v>
      </c>
      <c r="S1193">
        <v>5</v>
      </c>
      <c r="T1193">
        <v>1</v>
      </c>
      <c r="U1193">
        <v>7</v>
      </c>
      <c r="V1193" s="15">
        <f t="shared" ca="1" si="37"/>
        <v>1</v>
      </c>
    </row>
    <row r="1194" spans="1:22">
      <c r="A1194" t="s">
        <v>3594</v>
      </c>
      <c r="B1194" s="1">
        <v>41055.936990740738</v>
      </c>
      <c r="C1194" s="2" t="s">
        <v>3595</v>
      </c>
      <c r="D1194">
        <v>504000</v>
      </c>
      <c r="E1194" t="s">
        <v>1908</v>
      </c>
      <c r="F1194" s="5">
        <v>8975.1900104710548</v>
      </c>
      <c r="G1194" s="5">
        <v>25097.101882282641</v>
      </c>
      <c r="H1194" s="5">
        <f ca="1">OFFSET(F1194,0,Brains!$D$1,1,1)</f>
        <v>25097.101882282641</v>
      </c>
      <c r="I1194" t="s">
        <v>3596</v>
      </c>
      <c r="J1194" t="s">
        <v>1882</v>
      </c>
      <c r="K1194" t="s">
        <v>1859</v>
      </c>
      <c r="L1194" t="s">
        <v>1859</v>
      </c>
      <c r="M1194" s="7" t="s">
        <v>3941</v>
      </c>
      <c r="N1194" t="s">
        <v>1866</v>
      </c>
      <c r="O1194" s="7" t="s">
        <v>3920</v>
      </c>
      <c r="P1194" s="17" t="str">
        <f t="shared" ca="1" si="36"/>
        <v>15-29.9K</v>
      </c>
      <c r="Q1194" s="17">
        <v>8</v>
      </c>
      <c r="R1194">
        <v>3</v>
      </c>
      <c r="S1194">
        <v>5</v>
      </c>
      <c r="T1194">
        <v>1</v>
      </c>
      <c r="U1194">
        <v>7</v>
      </c>
      <c r="V1194" s="15">
        <f t="shared" ca="1" si="37"/>
        <v>2</v>
      </c>
    </row>
    <row r="1195" spans="1:22">
      <c r="A1195" t="s">
        <v>649</v>
      </c>
      <c r="B1195" s="1">
        <v>41058.51425925926</v>
      </c>
      <c r="C1195" s="2" t="s">
        <v>650</v>
      </c>
      <c r="D1195">
        <v>400000</v>
      </c>
      <c r="E1195" t="s">
        <v>1908</v>
      </c>
      <c r="F1195" s="5">
        <v>7123.1666749770275</v>
      </c>
      <c r="G1195" s="5">
        <v>19918.334827208444</v>
      </c>
      <c r="H1195" s="5">
        <f ca="1">OFFSET(F1195,0,Brains!$D$1,1,1)</f>
        <v>19918.334827208444</v>
      </c>
      <c r="I1195" t="s">
        <v>3270</v>
      </c>
      <c r="J1195" t="s">
        <v>1882</v>
      </c>
      <c r="K1195" t="s">
        <v>1859</v>
      </c>
      <c r="L1195" t="s">
        <v>1859</v>
      </c>
      <c r="M1195" s="7" t="s">
        <v>3941</v>
      </c>
      <c r="N1195" t="s">
        <v>1866</v>
      </c>
      <c r="O1195" s="7" t="s">
        <v>3920</v>
      </c>
      <c r="P1195" s="17" t="str">
        <f t="shared" ca="1" si="36"/>
        <v>15-29.9K</v>
      </c>
      <c r="Q1195" s="17">
        <v>8</v>
      </c>
      <c r="R1195">
        <v>3</v>
      </c>
      <c r="S1195">
        <v>5</v>
      </c>
      <c r="T1195">
        <v>1</v>
      </c>
      <c r="U1195">
        <v>7</v>
      </c>
      <c r="V1195" s="15">
        <f t="shared" ca="1" si="37"/>
        <v>2</v>
      </c>
    </row>
    <row r="1196" spans="1:22">
      <c r="A1196" t="s">
        <v>3246</v>
      </c>
      <c r="B1196" s="1">
        <v>41055.513969907406</v>
      </c>
      <c r="C1196" s="2">
        <v>450</v>
      </c>
      <c r="D1196">
        <v>5400</v>
      </c>
      <c r="E1196" t="s">
        <v>1856</v>
      </c>
      <c r="F1196" s="5">
        <v>5400</v>
      </c>
      <c r="G1196" s="5">
        <v>5400</v>
      </c>
      <c r="H1196" s="5">
        <f ca="1">OFFSET(F1196,0,Brains!$D$1,1,1)</f>
        <v>5400</v>
      </c>
      <c r="I1196" t="s">
        <v>3012</v>
      </c>
      <c r="J1196" t="s">
        <v>1882</v>
      </c>
      <c r="K1196" t="s">
        <v>1859</v>
      </c>
      <c r="L1196" t="s">
        <v>1859</v>
      </c>
      <c r="M1196" s="7" t="s">
        <v>3941</v>
      </c>
      <c r="N1196" t="s">
        <v>1866</v>
      </c>
      <c r="O1196" s="7" t="s">
        <v>3920</v>
      </c>
      <c r="P1196" s="17" t="str">
        <f t="shared" ca="1" si="36"/>
        <v>0-14.9K</v>
      </c>
      <c r="Q1196" s="17">
        <v>8</v>
      </c>
      <c r="R1196">
        <v>3</v>
      </c>
      <c r="S1196">
        <v>5</v>
      </c>
      <c r="T1196">
        <v>1</v>
      </c>
      <c r="U1196">
        <v>7</v>
      </c>
      <c r="V1196" s="15">
        <f t="shared" ca="1" si="37"/>
        <v>1</v>
      </c>
    </row>
    <row r="1197" spans="1:22">
      <c r="A1197" t="s">
        <v>1644</v>
      </c>
      <c r="B1197" s="1">
        <v>41072.915520833332</v>
      </c>
      <c r="C1197" s="2">
        <v>4800</v>
      </c>
      <c r="D1197">
        <v>4800</v>
      </c>
      <c r="E1197" t="s">
        <v>1856</v>
      </c>
      <c r="F1197" s="5">
        <v>4800</v>
      </c>
      <c r="G1197" s="5">
        <v>4800</v>
      </c>
      <c r="H1197" s="5">
        <f ca="1">OFFSET(F1197,0,Brains!$D$1,1,1)</f>
        <v>4800</v>
      </c>
      <c r="I1197" t="s">
        <v>1645</v>
      </c>
      <c r="J1197" t="s">
        <v>1882</v>
      </c>
      <c r="K1197" t="s">
        <v>1859</v>
      </c>
      <c r="L1197" t="s">
        <v>1859</v>
      </c>
      <c r="M1197" s="7" t="s">
        <v>3941</v>
      </c>
      <c r="N1197" t="s">
        <v>1866</v>
      </c>
      <c r="O1197" s="7" t="s">
        <v>3920</v>
      </c>
      <c r="P1197" s="17" t="str">
        <f t="shared" ca="1" si="36"/>
        <v>0-14.9K</v>
      </c>
      <c r="Q1197" s="17">
        <v>8</v>
      </c>
      <c r="R1197">
        <v>3</v>
      </c>
      <c r="S1197">
        <v>5</v>
      </c>
      <c r="T1197">
        <v>1</v>
      </c>
      <c r="U1197">
        <v>7</v>
      </c>
      <c r="V1197" s="15">
        <f t="shared" ca="1" si="37"/>
        <v>1</v>
      </c>
    </row>
    <row r="1198" spans="1:22">
      <c r="A1198" t="s">
        <v>1320</v>
      </c>
      <c r="B1198" s="1">
        <v>41063.17690972222</v>
      </c>
      <c r="C1198" s="2" t="s">
        <v>1321</v>
      </c>
      <c r="D1198">
        <v>3700000</v>
      </c>
      <c r="E1198" t="s">
        <v>1908</v>
      </c>
      <c r="F1198" s="5">
        <v>65889.291743537498</v>
      </c>
      <c r="G1198" s="5">
        <v>184244.59715167811</v>
      </c>
      <c r="H1198" s="5">
        <f ca="1">OFFSET(F1198,0,Brains!$D$1,1,1)</f>
        <v>184244.59715167811</v>
      </c>
      <c r="I1198" t="s">
        <v>1322</v>
      </c>
      <c r="J1198" t="s">
        <v>1882</v>
      </c>
      <c r="K1198" t="s">
        <v>1859</v>
      </c>
      <c r="L1198" t="s">
        <v>1859</v>
      </c>
      <c r="M1198" s="7" t="s">
        <v>3941</v>
      </c>
      <c r="N1198" t="s">
        <v>1866</v>
      </c>
      <c r="O1198" s="7" t="s">
        <v>3920</v>
      </c>
      <c r="P1198" s="17" t="str">
        <f t="shared" ca="1" si="36"/>
        <v>150-249.9K</v>
      </c>
      <c r="Q1198" s="17">
        <v>8</v>
      </c>
      <c r="R1198">
        <v>4</v>
      </c>
      <c r="S1198">
        <v>5</v>
      </c>
      <c r="T1198">
        <v>1</v>
      </c>
      <c r="U1198">
        <v>7</v>
      </c>
      <c r="V1198" s="15">
        <f t="shared" ca="1" si="37"/>
        <v>7</v>
      </c>
    </row>
    <row r="1199" spans="1:22">
      <c r="A1199" t="s">
        <v>1061</v>
      </c>
      <c r="B1199" s="1">
        <v>41059.893101851849</v>
      </c>
      <c r="C1199" s="2">
        <v>5000</v>
      </c>
      <c r="D1199">
        <v>5000</v>
      </c>
      <c r="E1199" t="s">
        <v>1856</v>
      </c>
      <c r="F1199" s="5">
        <v>5000</v>
      </c>
      <c r="G1199" s="5">
        <v>5000</v>
      </c>
      <c r="H1199" s="5">
        <f ca="1">OFFSET(F1199,0,Brains!$D$1,1,1)</f>
        <v>5000</v>
      </c>
      <c r="I1199" t="s">
        <v>1062</v>
      </c>
      <c r="J1199" t="s">
        <v>1882</v>
      </c>
      <c r="K1199" t="s">
        <v>1859</v>
      </c>
      <c r="L1199" t="s">
        <v>1859</v>
      </c>
      <c r="M1199" s="7" t="s">
        <v>3941</v>
      </c>
      <c r="N1199" t="s">
        <v>1866</v>
      </c>
      <c r="O1199" s="7" t="s">
        <v>3920</v>
      </c>
      <c r="P1199" s="17" t="str">
        <f t="shared" ca="1" si="36"/>
        <v>0-14.9K</v>
      </c>
      <c r="Q1199" s="17">
        <v>8</v>
      </c>
      <c r="R1199">
        <v>4</v>
      </c>
      <c r="S1199">
        <v>5</v>
      </c>
      <c r="T1199">
        <v>1</v>
      </c>
      <c r="U1199">
        <v>7</v>
      </c>
      <c r="V1199" s="15">
        <f t="shared" ca="1" si="37"/>
        <v>1</v>
      </c>
    </row>
    <row r="1200" spans="1:22">
      <c r="A1200" t="s">
        <v>739</v>
      </c>
      <c r="B1200" s="1">
        <v>41058.701203703706</v>
      </c>
      <c r="C1200" s="2">
        <v>275000</v>
      </c>
      <c r="D1200">
        <v>275000</v>
      </c>
      <c r="E1200" t="s">
        <v>1908</v>
      </c>
      <c r="F1200" s="5">
        <v>4897.177089046706</v>
      </c>
      <c r="G1200" s="5">
        <v>13693.855193705806</v>
      </c>
      <c r="H1200" s="5">
        <f ca="1">OFFSET(F1200,0,Brains!$D$1,1,1)</f>
        <v>13693.855193705806</v>
      </c>
      <c r="I1200" t="s">
        <v>740</v>
      </c>
      <c r="J1200" t="s">
        <v>1882</v>
      </c>
      <c r="K1200" t="s">
        <v>1859</v>
      </c>
      <c r="L1200" t="s">
        <v>1859</v>
      </c>
      <c r="M1200" s="7" t="s">
        <v>3941</v>
      </c>
      <c r="N1200" t="s">
        <v>1866</v>
      </c>
      <c r="O1200" s="7" t="s">
        <v>3920</v>
      </c>
      <c r="P1200" s="17" t="str">
        <f t="shared" ca="1" si="36"/>
        <v>0-14.9K</v>
      </c>
      <c r="Q1200" s="17">
        <v>8</v>
      </c>
      <c r="R1200">
        <v>4</v>
      </c>
      <c r="S1200">
        <v>5</v>
      </c>
      <c r="T1200">
        <v>1</v>
      </c>
      <c r="U1200">
        <v>7</v>
      </c>
      <c r="V1200" s="15">
        <f t="shared" ca="1" si="37"/>
        <v>1</v>
      </c>
    </row>
    <row r="1201" spans="1:22">
      <c r="A1201" t="s">
        <v>3741</v>
      </c>
      <c r="B1201" s="1">
        <v>41056.560636574075</v>
      </c>
      <c r="C1201" s="2" t="s">
        <v>3742</v>
      </c>
      <c r="D1201">
        <v>420000</v>
      </c>
      <c r="E1201" t="s">
        <v>1895</v>
      </c>
      <c r="F1201" s="5">
        <v>4457.9172610556352</v>
      </c>
      <c r="G1201" s="5">
        <v>10273.218697258029</v>
      </c>
      <c r="H1201" s="5">
        <f ca="1">OFFSET(F1201,0,Brains!$D$1,1,1)</f>
        <v>10273.218697258029</v>
      </c>
      <c r="I1201" t="s">
        <v>3743</v>
      </c>
      <c r="J1201" t="s">
        <v>1882</v>
      </c>
      <c r="K1201" t="s">
        <v>1872</v>
      </c>
      <c r="L1201" t="s">
        <v>1872</v>
      </c>
      <c r="M1201" s="7" t="s">
        <v>3941</v>
      </c>
      <c r="N1201" t="s">
        <v>1866</v>
      </c>
      <c r="O1201" s="7" t="s">
        <v>3920</v>
      </c>
      <c r="P1201" s="17" t="str">
        <f t="shared" ca="1" si="36"/>
        <v>0-14.9K</v>
      </c>
      <c r="Q1201" s="17">
        <v>8</v>
      </c>
      <c r="R1201">
        <v>4</v>
      </c>
      <c r="S1201">
        <v>5</v>
      </c>
      <c r="T1201">
        <v>1</v>
      </c>
      <c r="U1201">
        <v>7</v>
      </c>
      <c r="V1201" s="15">
        <f t="shared" ca="1" si="37"/>
        <v>1</v>
      </c>
    </row>
    <row r="1202" spans="1:22">
      <c r="A1202" t="s">
        <v>3458</v>
      </c>
      <c r="B1202" s="1">
        <v>41055.701481481483</v>
      </c>
      <c r="C1202" s="2" t="s">
        <v>3459</v>
      </c>
      <c r="D1202">
        <v>11000</v>
      </c>
      <c r="E1202" t="s">
        <v>1856</v>
      </c>
      <c r="F1202" s="5">
        <v>11000</v>
      </c>
      <c r="G1202" s="5">
        <v>11000</v>
      </c>
      <c r="H1202" s="5">
        <f ca="1">OFFSET(F1202,0,Brains!$D$1,1,1)</f>
        <v>11000</v>
      </c>
      <c r="I1202" t="s">
        <v>3460</v>
      </c>
      <c r="J1202" t="s">
        <v>1882</v>
      </c>
      <c r="K1202" t="s">
        <v>3169</v>
      </c>
      <c r="L1202" t="s">
        <v>3169</v>
      </c>
      <c r="M1202" s="7" t="s">
        <v>3941</v>
      </c>
      <c r="N1202" t="s">
        <v>1866</v>
      </c>
      <c r="O1202" s="7" t="s">
        <v>3920</v>
      </c>
      <c r="P1202" s="17" t="str">
        <f t="shared" ca="1" si="36"/>
        <v>0-14.9K</v>
      </c>
      <c r="Q1202" s="17">
        <v>8</v>
      </c>
      <c r="R1202">
        <v>4.5</v>
      </c>
      <c r="S1202">
        <v>5</v>
      </c>
      <c r="T1202">
        <v>1</v>
      </c>
      <c r="U1202">
        <v>7</v>
      </c>
      <c r="V1202" s="15">
        <f t="shared" ca="1" si="37"/>
        <v>1</v>
      </c>
    </row>
    <row r="1203" spans="1:22">
      <c r="A1203" t="s">
        <v>131</v>
      </c>
      <c r="B1203" s="1">
        <v>41057.546261574076</v>
      </c>
      <c r="C1203" s="2">
        <v>3500</v>
      </c>
      <c r="D1203">
        <v>42000</v>
      </c>
      <c r="E1203" t="s">
        <v>1856</v>
      </c>
      <c r="F1203" s="5">
        <v>42000</v>
      </c>
      <c r="G1203" s="5">
        <v>42000</v>
      </c>
      <c r="H1203" s="5">
        <f ca="1">OFFSET(F1203,0,Brains!$D$1,1,1)</f>
        <v>42000</v>
      </c>
      <c r="I1203" t="s">
        <v>132</v>
      </c>
      <c r="J1203" t="s">
        <v>1882</v>
      </c>
      <c r="K1203" t="s">
        <v>133</v>
      </c>
      <c r="L1203" t="s">
        <v>133</v>
      </c>
      <c r="M1203" s="7" t="s">
        <v>3941</v>
      </c>
      <c r="N1203" t="s">
        <v>1866</v>
      </c>
      <c r="O1203" s="7" t="s">
        <v>3920</v>
      </c>
      <c r="P1203" s="17" t="str">
        <f t="shared" ca="1" si="36"/>
        <v>30-49.9K</v>
      </c>
      <c r="Q1203" s="17">
        <v>8</v>
      </c>
      <c r="R1203">
        <v>5</v>
      </c>
      <c r="S1203">
        <v>5</v>
      </c>
      <c r="T1203">
        <v>1</v>
      </c>
      <c r="U1203">
        <v>7</v>
      </c>
      <c r="V1203" s="15">
        <f t="shared" ca="1" si="37"/>
        <v>3</v>
      </c>
    </row>
    <row r="1204" spans="1:22">
      <c r="A1204" t="s">
        <v>3795</v>
      </c>
      <c r="B1204" s="1">
        <v>41056.701967592591</v>
      </c>
      <c r="C1204" s="2" t="s">
        <v>3796</v>
      </c>
      <c r="D1204">
        <v>1050000</v>
      </c>
      <c r="E1204" t="s">
        <v>1908</v>
      </c>
      <c r="F1204" s="5">
        <v>18698.312521814696</v>
      </c>
      <c r="G1204" s="5">
        <v>52285.628921422169</v>
      </c>
      <c r="H1204" s="5">
        <f ca="1">OFFSET(F1204,0,Brains!$D$1,1,1)</f>
        <v>52285.628921422169</v>
      </c>
      <c r="I1204" t="s">
        <v>3797</v>
      </c>
      <c r="J1204" t="s">
        <v>1882</v>
      </c>
      <c r="K1204" t="s">
        <v>1859</v>
      </c>
      <c r="L1204" t="s">
        <v>1859</v>
      </c>
      <c r="M1204" s="7" t="s">
        <v>3941</v>
      </c>
      <c r="N1204" t="s">
        <v>1866</v>
      </c>
      <c r="O1204" s="7" t="s">
        <v>3920</v>
      </c>
      <c r="P1204" s="17" t="str">
        <f t="shared" ca="1" si="36"/>
        <v>50-74.9K</v>
      </c>
      <c r="Q1204" s="17">
        <v>8</v>
      </c>
      <c r="R1204">
        <v>5</v>
      </c>
      <c r="S1204">
        <v>5</v>
      </c>
      <c r="T1204">
        <v>1</v>
      </c>
      <c r="U1204">
        <v>7</v>
      </c>
      <c r="V1204" s="15">
        <f t="shared" ca="1" si="37"/>
        <v>4</v>
      </c>
    </row>
    <row r="1205" spans="1:22">
      <c r="A1205" t="s">
        <v>112</v>
      </c>
      <c r="B1205" s="1">
        <v>41057.528078703705</v>
      </c>
      <c r="C1205" s="2">
        <v>900</v>
      </c>
      <c r="D1205">
        <v>10800</v>
      </c>
      <c r="E1205" t="s">
        <v>1856</v>
      </c>
      <c r="F1205" s="5">
        <v>10800</v>
      </c>
      <c r="G1205" s="5">
        <v>10800</v>
      </c>
      <c r="H1205" s="5">
        <f ca="1">OFFSET(F1205,0,Brains!$D$1,1,1)</f>
        <v>10800</v>
      </c>
      <c r="I1205" t="s">
        <v>113</v>
      </c>
      <c r="J1205" t="s">
        <v>1882</v>
      </c>
      <c r="K1205" t="s">
        <v>1872</v>
      </c>
      <c r="L1205" t="s">
        <v>1872</v>
      </c>
      <c r="M1205" s="7" t="s">
        <v>3941</v>
      </c>
      <c r="N1205" t="s">
        <v>1866</v>
      </c>
      <c r="O1205" s="7" t="s">
        <v>3920</v>
      </c>
      <c r="P1205" s="17" t="str">
        <f t="shared" ca="1" si="36"/>
        <v>0-14.9K</v>
      </c>
      <c r="Q1205" s="17">
        <v>8</v>
      </c>
      <c r="R1205">
        <v>5</v>
      </c>
      <c r="S1205">
        <v>5</v>
      </c>
      <c r="T1205">
        <v>1</v>
      </c>
      <c r="U1205">
        <v>7</v>
      </c>
      <c r="V1205" s="15">
        <f t="shared" ca="1" si="37"/>
        <v>1</v>
      </c>
    </row>
    <row r="1206" spans="1:22">
      <c r="A1206" t="s">
        <v>3739</v>
      </c>
      <c r="B1206" s="1">
        <v>41056.546412037038</v>
      </c>
      <c r="C1206" s="2">
        <v>600000</v>
      </c>
      <c r="D1206">
        <v>600000</v>
      </c>
      <c r="E1206" t="s">
        <v>1908</v>
      </c>
      <c r="F1206" s="5">
        <v>10684.750012465542</v>
      </c>
      <c r="G1206" s="5">
        <v>29877.502240812668</v>
      </c>
      <c r="H1206" s="5">
        <f ca="1">OFFSET(F1206,0,Brains!$D$1,1,1)</f>
        <v>29877.502240812668</v>
      </c>
      <c r="I1206" t="s">
        <v>3740</v>
      </c>
      <c r="J1206" t="s">
        <v>1882</v>
      </c>
      <c r="K1206" t="s">
        <v>1859</v>
      </c>
      <c r="L1206" t="s">
        <v>1859</v>
      </c>
      <c r="M1206" s="7" t="s">
        <v>3941</v>
      </c>
      <c r="N1206" t="s">
        <v>1866</v>
      </c>
      <c r="O1206" s="7" t="s">
        <v>3920</v>
      </c>
      <c r="P1206" s="17" t="str">
        <f t="shared" ca="1" si="36"/>
        <v>15-29.9K</v>
      </c>
      <c r="Q1206" s="17">
        <v>8</v>
      </c>
      <c r="R1206">
        <v>5</v>
      </c>
      <c r="S1206">
        <v>5</v>
      </c>
      <c r="T1206">
        <v>1</v>
      </c>
      <c r="U1206">
        <v>7</v>
      </c>
      <c r="V1206" s="15">
        <f t="shared" ca="1" si="37"/>
        <v>2</v>
      </c>
    </row>
    <row r="1207" spans="1:22">
      <c r="A1207" t="s">
        <v>722</v>
      </c>
      <c r="B1207" s="1">
        <v>41058.659502314818</v>
      </c>
      <c r="C1207" s="2">
        <v>314000</v>
      </c>
      <c r="D1207">
        <v>314000</v>
      </c>
      <c r="E1207" t="s">
        <v>1908</v>
      </c>
      <c r="F1207" s="5">
        <v>5591.6858398569666</v>
      </c>
      <c r="G1207" s="5">
        <v>15635.892839358628</v>
      </c>
      <c r="H1207" s="5">
        <f ca="1">OFFSET(F1207,0,Brains!$D$1,1,1)</f>
        <v>15635.892839358628</v>
      </c>
      <c r="I1207" t="s">
        <v>723</v>
      </c>
      <c r="J1207" t="s">
        <v>1882</v>
      </c>
      <c r="K1207" t="s">
        <v>1859</v>
      </c>
      <c r="L1207" t="s">
        <v>1859</v>
      </c>
      <c r="M1207" s="11" t="s">
        <v>3916</v>
      </c>
      <c r="N1207" t="s">
        <v>1884</v>
      </c>
      <c r="O1207" s="7" t="s">
        <v>3920</v>
      </c>
      <c r="P1207" s="17" t="str">
        <f t="shared" ca="1" si="36"/>
        <v>15-29.9K</v>
      </c>
      <c r="Q1207" s="17">
        <v>1.5</v>
      </c>
      <c r="R1207">
        <v>0.1</v>
      </c>
      <c r="S1207">
        <v>2</v>
      </c>
      <c r="T1207">
        <v>1</v>
      </c>
      <c r="U1207">
        <v>7</v>
      </c>
      <c r="V1207" s="15">
        <f t="shared" ca="1" si="37"/>
        <v>2</v>
      </c>
    </row>
    <row r="1208" spans="1:22">
      <c r="A1208" t="s">
        <v>1305</v>
      </c>
      <c r="B1208" s="1">
        <v>41062.904652777775</v>
      </c>
      <c r="C1208" s="2" t="s">
        <v>1306</v>
      </c>
      <c r="D1208">
        <v>680000</v>
      </c>
      <c r="E1208" t="s">
        <v>1908</v>
      </c>
      <c r="F1208" s="5">
        <v>12109.383347460946</v>
      </c>
      <c r="G1208" s="5">
        <v>33861.169206254359</v>
      </c>
      <c r="H1208" s="5">
        <f ca="1">OFFSET(F1208,0,Brains!$D$1,1,1)</f>
        <v>33861.169206254359</v>
      </c>
      <c r="I1208" t="s">
        <v>3590</v>
      </c>
      <c r="J1208" t="s">
        <v>1882</v>
      </c>
      <c r="K1208" t="s">
        <v>1859</v>
      </c>
      <c r="L1208" t="s">
        <v>1859</v>
      </c>
      <c r="M1208" s="11" t="s">
        <v>3916</v>
      </c>
      <c r="N1208" t="s">
        <v>1884</v>
      </c>
      <c r="O1208" s="7" t="s">
        <v>3920</v>
      </c>
      <c r="P1208" s="17" t="str">
        <f t="shared" ca="1" si="36"/>
        <v>30-49.9K</v>
      </c>
      <c r="Q1208" s="17">
        <v>1.5</v>
      </c>
      <c r="R1208">
        <v>2</v>
      </c>
      <c r="S1208">
        <v>2</v>
      </c>
      <c r="T1208">
        <v>1</v>
      </c>
      <c r="U1208">
        <v>7</v>
      </c>
      <c r="V1208" s="15">
        <f t="shared" ca="1" si="37"/>
        <v>3</v>
      </c>
    </row>
    <row r="1209" spans="1:22">
      <c r="A1209" t="s">
        <v>3351</v>
      </c>
      <c r="B1209" s="1">
        <v>41055.584027777775</v>
      </c>
      <c r="C1209" s="2">
        <v>600000</v>
      </c>
      <c r="D1209">
        <v>600000</v>
      </c>
      <c r="E1209" t="s">
        <v>1908</v>
      </c>
      <c r="F1209" s="5">
        <v>10684.750012465542</v>
      </c>
      <c r="G1209" s="5">
        <v>29877.502240812668</v>
      </c>
      <c r="H1209" s="5">
        <f ca="1">OFFSET(F1209,0,Brains!$D$1,1,1)</f>
        <v>29877.502240812668</v>
      </c>
      <c r="I1209" t="s">
        <v>3352</v>
      </c>
      <c r="J1209" t="s">
        <v>1882</v>
      </c>
      <c r="K1209" t="s">
        <v>1859</v>
      </c>
      <c r="L1209" t="s">
        <v>1859</v>
      </c>
      <c r="M1209" s="11" t="s">
        <v>3916</v>
      </c>
      <c r="N1209" t="s">
        <v>1884</v>
      </c>
      <c r="O1209" s="7" t="s">
        <v>3920</v>
      </c>
      <c r="P1209" s="17" t="str">
        <f t="shared" ca="1" si="36"/>
        <v>15-29.9K</v>
      </c>
      <c r="Q1209" s="17">
        <v>1.5</v>
      </c>
      <c r="R1209">
        <v>2</v>
      </c>
      <c r="S1209">
        <v>2</v>
      </c>
      <c r="T1209">
        <v>1</v>
      </c>
      <c r="U1209">
        <v>7</v>
      </c>
      <c r="V1209" s="15">
        <f t="shared" ca="1" si="37"/>
        <v>2</v>
      </c>
    </row>
    <row r="1210" spans="1:22">
      <c r="A1210" t="s">
        <v>1583</v>
      </c>
      <c r="B1210" s="1">
        <v>41070.723009259258</v>
      </c>
      <c r="C1210" s="2">
        <v>72000</v>
      </c>
      <c r="D1210">
        <v>72000</v>
      </c>
      <c r="E1210" t="s">
        <v>1880</v>
      </c>
      <c r="F1210" s="5">
        <v>91468.759607395754</v>
      </c>
      <c r="G1210" s="5">
        <v>90446.352750825332</v>
      </c>
      <c r="H1210" s="5">
        <f ca="1">OFFSET(F1210,0,Brains!$D$1,1,1)</f>
        <v>90446.352750825332</v>
      </c>
      <c r="I1210" t="s">
        <v>1584</v>
      </c>
      <c r="J1210" t="s">
        <v>1882</v>
      </c>
      <c r="K1210" t="s">
        <v>1585</v>
      </c>
      <c r="L1210" t="s">
        <v>3585</v>
      </c>
      <c r="M1210" s="11" t="s">
        <v>3916</v>
      </c>
      <c r="N1210" t="s">
        <v>1884</v>
      </c>
      <c r="O1210" s="7" t="s">
        <v>3920</v>
      </c>
      <c r="P1210" s="17" t="str">
        <f t="shared" ca="1" si="36"/>
        <v>75-99.9K</v>
      </c>
      <c r="Q1210" s="17">
        <v>1.5</v>
      </c>
      <c r="R1210">
        <v>3</v>
      </c>
      <c r="S1210">
        <v>2</v>
      </c>
      <c r="T1210">
        <v>1</v>
      </c>
      <c r="U1210">
        <v>7</v>
      </c>
      <c r="V1210" s="15">
        <f t="shared" ca="1" si="37"/>
        <v>5</v>
      </c>
    </row>
    <row r="1211" spans="1:22">
      <c r="A1211" t="s">
        <v>1396</v>
      </c>
      <c r="B1211" s="1">
        <v>41065.015439814815</v>
      </c>
      <c r="C1211" s="2">
        <v>59000</v>
      </c>
      <c r="D1211">
        <v>59000</v>
      </c>
      <c r="E1211" t="s">
        <v>1856</v>
      </c>
      <c r="F1211" s="5">
        <v>59000</v>
      </c>
      <c r="G1211" s="5">
        <v>59000</v>
      </c>
      <c r="H1211" s="5">
        <f ca="1">OFFSET(F1211,0,Brains!$D$1,1,1)</f>
        <v>59000</v>
      </c>
      <c r="I1211" t="s">
        <v>1397</v>
      </c>
      <c r="J1211" t="s">
        <v>1882</v>
      </c>
      <c r="K1211" t="s">
        <v>1869</v>
      </c>
      <c r="L1211" t="s">
        <v>1869</v>
      </c>
      <c r="M1211" s="11" t="s">
        <v>3916</v>
      </c>
      <c r="N1211" t="s">
        <v>1884</v>
      </c>
      <c r="O1211" s="7" t="s">
        <v>3920</v>
      </c>
      <c r="P1211" s="17" t="str">
        <f t="shared" ca="1" si="36"/>
        <v>50-74.9K</v>
      </c>
      <c r="Q1211" s="17">
        <v>1.5</v>
      </c>
      <c r="R1211">
        <v>3</v>
      </c>
      <c r="S1211">
        <v>2</v>
      </c>
      <c r="T1211">
        <v>1</v>
      </c>
      <c r="U1211">
        <v>7</v>
      </c>
      <c r="V1211" s="15">
        <f t="shared" ca="1" si="37"/>
        <v>4</v>
      </c>
    </row>
    <row r="1212" spans="1:22">
      <c r="A1212" t="s">
        <v>25</v>
      </c>
      <c r="B1212" s="1">
        <v>41057.361030092594</v>
      </c>
      <c r="C1212" s="2">
        <v>3000</v>
      </c>
      <c r="D1212">
        <v>36000</v>
      </c>
      <c r="E1212" t="s">
        <v>1856</v>
      </c>
      <c r="F1212" s="5">
        <v>36000</v>
      </c>
      <c r="G1212" s="5">
        <v>36000</v>
      </c>
      <c r="H1212" s="5">
        <f ca="1">OFFSET(F1212,0,Brains!$D$1,1,1)</f>
        <v>36000</v>
      </c>
      <c r="I1212" t="s">
        <v>2129</v>
      </c>
      <c r="J1212" t="s">
        <v>1882</v>
      </c>
      <c r="K1212" t="s">
        <v>26</v>
      </c>
      <c r="L1212" t="s">
        <v>53</v>
      </c>
      <c r="M1212" s="11" t="s">
        <v>3916</v>
      </c>
      <c r="N1212" t="s">
        <v>1884</v>
      </c>
      <c r="O1212" s="7" t="s">
        <v>3920</v>
      </c>
      <c r="P1212" s="17" t="str">
        <f t="shared" ca="1" si="36"/>
        <v>30-49.9K</v>
      </c>
      <c r="Q1212" s="17">
        <v>1.5</v>
      </c>
      <c r="R1212">
        <v>3</v>
      </c>
      <c r="S1212">
        <v>2</v>
      </c>
      <c r="T1212">
        <v>1</v>
      </c>
      <c r="U1212">
        <v>7</v>
      </c>
      <c r="V1212" s="15">
        <f t="shared" ca="1" si="37"/>
        <v>3</v>
      </c>
    </row>
    <row r="1213" spans="1:22">
      <c r="A1213" t="s">
        <v>3792</v>
      </c>
      <c r="B1213" s="1">
        <v>41056.683912037035</v>
      </c>
      <c r="C1213" s="2">
        <v>1300000</v>
      </c>
      <c r="D1213">
        <v>1300000</v>
      </c>
      <c r="E1213" t="s">
        <v>1908</v>
      </c>
      <c r="F1213" s="5">
        <v>23150.291693675339</v>
      </c>
      <c r="G1213" s="5">
        <v>64734.588188427442</v>
      </c>
      <c r="H1213" s="5">
        <f ca="1">OFFSET(F1213,0,Brains!$D$1,1,1)</f>
        <v>64734.588188427442</v>
      </c>
      <c r="I1213" t="s">
        <v>3793</v>
      </c>
      <c r="J1213" t="s">
        <v>1882</v>
      </c>
      <c r="K1213" t="s">
        <v>1859</v>
      </c>
      <c r="L1213" t="s">
        <v>1859</v>
      </c>
      <c r="M1213" s="11" t="s">
        <v>3916</v>
      </c>
      <c r="N1213" t="s">
        <v>1884</v>
      </c>
      <c r="O1213" s="7" t="s">
        <v>3920</v>
      </c>
      <c r="P1213" s="17" t="str">
        <f t="shared" ca="1" si="36"/>
        <v>50-74.9K</v>
      </c>
      <c r="Q1213" s="17">
        <v>1.5</v>
      </c>
      <c r="R1213">
        <v>3</v>
      </c>
      <c r="S1213">
        <v>2</v>
      </c>
      <c r="T1213">
        <v>1</v>
      </c>
      <c r="U1213">
        <v>7</v>
      </c>
      <c r="V1213" s="15">
        <f t="shared" ca="1" si="37"/>
        <v>4</v>
      </c>
    </row>
    <row r="1214" spans="1:22">
      <c r="A1214" t="s">
        <v>3132</v>
      </c>
      <c r="B1214" s="1">
        <v>41055.368796296294</v>
      </c>
      <c r="C1214" s="2" t="s">
        <v>3133</v>
      </c>
      <c r="D1214">
        <v>400000</v>
      </c>
      <c r="E1214" t="s">
        <v>1908</v>
      </c>
      <c r="F1214" s="5">
        <v>7123.1666749770275</v>
      </c>
      <c r="G1214" s="5">
        <v>19918.334827208444</v>
      </c>
      <c r="H1214" s="5">
        <f ca="1">OFFSET(F1214,0,Brains!$D$1,1,1)</f>
        <v>19918.334827208444</v>
      </c>
      <c r="I1214" t="s">
        <v>3134</v>
      </c>
      <c r="J1214" t="s">
        <v>1882</v>
      </c>
      <c r="K1214" t="s">
        <v>1859</v>
      </c>
      <c r="L1214" t="s">
        <v>1859</v>
      </c>
      <c r="M1214" s="11" t="s">
        <v>3916</v>
      </c>
      <c r="N1214" t="s">
        <v>1884</v>
      </c>
      <c r="O1214" s="7" t="s">
        <v>3920</v>
      </c>
      <c r="P1214" s="17" t="str">
        <f t="shared" ca="1" si="36"/>
        <v>15-29.9K</v>
      </c>
      <c r="Q1214" s="17">
        <v>1.5</v>
      </c>
      <c r="R1214">
        <v>3</v>
      </c>
      <c r="S1214">
        <v>2</v>
      </c>
      <c r="T1214">
        <v>1</v>
      </c>
      <c r="U1214">
        <v>7</v>
      </c>
      <c r="V1214" s="15">
        <f t="shared" ca="1" si="37"/>
        <v>2</v>
      </c>
    </row>
    <row r="1215" spans="1:22">
      <c r="A1215" t="s">
        <v>3275</v>
      </c>
      <c r="B1215" s="1">
        <v>41055.534814814811</v>
      </c>
      <c r="C1215" s="2" t="s">
        <v>3276</v>
      </c>
      <c r="D1215">
        <v>276000</v>
      </c>
      <c r="E1215" t="s">
        <v>1908</v>
      </c>
      <c r="F1215" s="5">
        <v>4914.9850057341491</v>
      </c>
      <c r="G1215" s="5">
        <v>13743.651030773826</v>
      </c>
      <c r="H1215" s="5">
        <f ca="1">OFFSET(F1215,0,Brains!$D$1,1,1)</f>
        <v>13743.651030773826</v>
      </c>
      <c r="I1215" t="s">
        <v>3277</v>
      </c>
      <c r="J1215" t="s">
        <v>1882</v>
      </c>
      <c r="K1215" t="s">
        <v>1872</v>
      </c>
      <c r="L1215" t="s">
        <v>1872</v>
      </c>
      <c r="M1215" s="11" t="s">
        <v>3916</v>
      </c>
      <c r="N1215" t="s">
        <v>1884</v>
      </c>
      <c r="O1215" s="7" t="s">
        <v>3920</v>
      </c>
      <c r="P1215" s="17" t="str">
        <f t="shared" ca="1" si="36"/>
        <v>0-14.9K</v>
      </c>
      <c r="Q1215" s="17">
        <v>1.5</v>
      </c>
      <c r="R1215">
        <v>3</v>
      </c>
      <c r="S1215">
        <v>2</v>
      </c>
      <c r="T1215">
        <v>1</v>
      </c>
      <c r="U1215">
        <v>7</v>
      </c>
      <c r="V1215" s="15">
        <f t="shared" ca="1" si="37"/>
        <v>1</v>
      </c>
    </row>
    <row r="1216" spans="1:22">
      <c r="A1216" t="s">
        <v>303</v>
      </c>
      <c r="B1216" s="1">
        <v>41057.737627314818</v>
      </c>
      <c r="C1216" s="2">
        <v>5000</v>
      </c>
      <c r="D1216">
        <v>60000</v>
      </c>
      <c r="E1216" t="s">
        <v>1880</v>
      </c>
      <c r="F1216" s="5">
        <v>76223.966339496474</v>
      </c>
      <c r="G1216" s="5">
        <v>75371.960625687774</v>
      </c>
      <c r="H1216" s="5">
        <f ca="1">OFFSET(F1216,0,Brains!$D$1,1,1)</f>
        <v>75371.960625687774</v>
      </c>
      <c r="I1216" t="s">
        <v>304</v>
      </c>
      <c r="J1216" t="s">
        <v>1882</v>
      </c>
      <c r="K1216" t="s">
        <v>2785</v>
      </c>
      <c r="L1216" t="s">
        <v>2785</v>
      </c>
      <c r="M1216" s="11" t="s">
        <v>3916</v>
      </c>
      <c r="N1216" t="s">
        <v>1884</v>
      </c>
      <c r="O1216" s="7" t="s">
        <v>3920</v>
      </c>
      <c r="P1216" s="17" t="str">
        <f t="shared" ca="1" si="36"/>
        <v>75-99.9K</v>
      </c>
      <c r="Q1216" s="17">
        <v>1.5</v>
      </c>
      <c r="R1216">
        <v>4</v>
      </c>
      <c r="S1216">
        <v>2</v>
      </c>
      <c r="T1216">
        <v>1</v>
      </c>
      <c r="U1216">
        <v>7</v>
      </c>
      <c r="V1216" s="15">
        <f t="shared" ca="1" si="37"/>
        <v>5</v>
      </c>
    </row>
    <row r="1217" spans="1:22">
      <c r="A1217" t="s">
        <v>1166</v>
      </c>
      <c r="B1217" s="1">
        <v>41060.878495370373</v>
      </c>
      <c r="C1217" s="2" t="s">
        <v>1167</v>
      </c>
      <c r="D1217">
        <v>55000</v>
      </c>
      <c r="E1217" t="s">
        <v>1880</v>
      </c>
      <c r="F1217" s="5">
        <v>69871.969144538423</v>
      </c>
      <c r="G1217" s="5">
        <v>69090.963906880454</v>
      </c>
      <c r="H1217" s="5">
        <f ca="1">OFFSET(F1217,0,Brains!$D$1,1,1)</f>
        <v>69090.963906880454</v>
      </c>
      <c r="I1217" t="s">
        <v>1168</v>
      </c>
      <c r="J1217" t="s">
        <v>1882</v>
      </c>
      <c r="K1217" t="s">
        <v>1996</v>
      </c>
      <c r="L1217" t="s">
        <v>2998</v>
      </c>
      <c r="M1217" s="11" t="s">
        <v>3916</v>
      </c>
      <c r="N1217" t="s">
        <v>1884</v>
      </c>
      <c r="O1217" s="7" t="s">
        <v>3920</v>
      </c>
      <c r="P1217" s="17" t="str">
        <f t="shared" ca="1" si="36"/>
        <v>50-74.9K</v>
      </c>
      <c r="Q1217" s="17">
        <v>1.5</v>
      </c>
      <c r="R1217">
        <v>5</v>
      </c>
      <c r="S1217">
        <v>2</v>
      </c>
      <c r="T1217">
        <v>1</v>
      </c>
      <c r="U1217">
        <v>7</v>
      </c>
      <c r="V1217" s="15">
        <f t="shared" ca="1" si="37"/>
        <v>4</v>
      </c>
    </row>
    <row r="1218" spans="1:22">
      <c r="A1218" t="s">
        <v>1401</v>
      </c>
      <c r="B1218" s="1">
        <v>41065.159745370373</v>
      </c>
      <c r="C1218" s="2">
        <v>3300</v>
      </c>
      <c r="D1218">
        <v>39600</v>
      </c>
      <c r="E1218" t="s">
        <v>1880</v>
      </c>
      <c r="F1218" s="5">
        <v>50307.817784067665</v>
      </c>
      <c r="G1218" s="5">
        <v>49745.494012953932</v>
      </c>
      <c r="H1218" s="5">
        <f ca="1">OFFSET(F1218,0,Brains!$D$1,1,1)</f>
        <v>49745.494012953932</v>
      </c>
      <c r="I1218" t="s">
        <v>1402</v>
      </c>
      <c r="J1218" t="s">
        <v>1882</v>
      </c>
      <c r="K1218" t="s">
        <v>864</v>
      </c>
      <c r="L1218" t="s">
        <v>864</v>
      </c>
      <c r="M1218" s="11" t="s">
        <v>3916</v>
      </c>
      <c r="N1218" t="s">
        <v>1884</v>
      </c>
      <c r="O1218" s="7" t="s">
        <v>3920</v>
      </c>
      <c r="P1218" s="17" t="str">
        <f t="shared" ref="P1218:P1281" ca="1" si="38">IF(H1218&lt;15000,"0-14.9K",IF(H1218&lt;30000,"15-29.9K",IF(H1218&lt;50000,"30-49.9K",IF(H1218&lt;75000,"50-74.9K",IF(H1218&lt;100000,"75-99.9K",IF(H1218&lt;150000,"100-149.9K",IF(H1218&lt;250000,"150-249.9K","250K+")))))))</f>
        <v>30-49.9K</v>
      </c>
      <c r="Q1218" s="17">
        <v>1.5</v>
      </c>
      <c r="R1218">
        <v>5</v>
      </c>
      <c r="S1218">
        <v>2</v>
      </c>
      <c r="T1218">
        <v>1</v>
      </c>
      <c r="U1218">
        <v>7</v>
      </c>
      <c r="V1218" s="15">
        <f t="shared" ref="V1218:V1281" ca="1" si="39">IF(H1218&lt;15000,1,IF(H1218&lt;30000,2,IF(H1218&lt;50000,3,IF(H1218&lt;75000,4,IF(H1218&lt;100000,5,IF(H1218&lt;150000,6,IF(H1218&lt;250000,7,8)))))))</f>
        <v>3</v>
      </c>
    </row>
    <row r="1219" spans="1:22">
      <c r="A1219" t="s">
        <v>397</v>
      </c>
      <c r="B1219" s="1">
        <v>41057.943483796298</v>
      </c>
      <c r="C1219" s="2" t="s">
        <v>398</v>
      </c>
      <c r="D1219">
        <v>50000</v>
      </c>
      <c r="E1219" t="s">
        <v>1856</v>
      </c>
      <c r="F1219" s="5">
        <v>50000</v>
      </c>
      <c r="G1219" s="5">
        <v>50000</v>
      </c>
      <c r="H1219" s="5">
        <f ca="1">OFFSET(F1219,0,Brains!$D$1,1,1)</f>
        <v>50000</v>
      </c>
      <c r="I1219" t="s">
        <v>2874</v>
      </c>
      <c r="J1219" t="s">
        <v>1882</v>
      </c>
      <c r="K1219" t="s">
        <v>1981</v>
      </c>
      <c r="L1219" t="s">
        <v>1981</v>
      </c>
      <c r="M1219" s="11" t="s">
        <v>3916</v>
      </c>
      <c r="N1219" t="s">
        <v>1884</v>
      </c>
      <c r="O1219" s="7" t="s">
        <v>3920</v>
      </c>
      <c r="P1219" s="17" t="str">
        <f t="shared" ca="1" si="38"/>
        <v>50-74.9K</v>
      </c>
      <c r="Q1219" s="17">
        <v>1.5</v>
      </c>
      <c r="R1219">
        <v>5</v>
      </c>
      <c r="S1219">
        <v>2</v>
      </c>
      <c r="T1219">
        <v>1</v>
      </c>
      <c r="U1219">
        <v>7</v>
      </c>
      <c r="V1219" s="15">
        <f t="shared" ca="1" si="39"/>
        <v>4</v>
      </c>
    </row>
    <row r="1220" spans="1:22">
      <c r="A1220" t="s">
        <v>3753</v>
      </c>
      <c r="B1220" s="1">
        <v>41056.571006944447</v>
      </c>
      <c r="C1220" s="2" t="s">
        <v>3754</v>
      </c>
      <c r="D1220">
        <v>500000</v>
      </c>
      <c r="E1220" t="s">
        <v>1908</v>
      </c>
      <c r="F1220" s="5">
        <v>8903.9583437212841</v>
      </c>
      <c r="G1220" s="5">
        <v>24897.918534010558</v>
      </c>
      <c r="H1220" s="5">
        <f ca="1">OFFSET(F1220,0,Brains!$D$1,1,1)</f>
        <v>24897.918534010558</v>
      </c>
      <c r="I1220" t="s">
        <v>3755</v>
      </c>
      <c r="J1220" t="s">
        <v>1882</v>
      </c>
      <c r="K1220" t="s">
        <v>1859</v>
      </c>
      <c r="L1220" t="s">
        <v>1859</v>
      </c>
      <c r="M1220" s="11" t="s">
        <v>3916</v>
      </c>
      <c r="N1220" t="s">
        <v>1884</v>
      </c>
      <c r="O1220" s="7" t="s">
        <v>3920</v>
      </c>
      <c r="P1220" s="17" t="str">
        <f t="shared" ca="1" si="38"/>
        <v>15-29.9K</v>
      </c>
      <c r="Q1220" s="17">
        <v>1.5</v>
      </c>
      <c r="R1220">
        <v>5</v>
      </c>
      <c r="S1220">
        <v>2</v>
      </c>
      <c r="T1220">
        <v>1</v>
      </c>
      <c r="U1220">
        <v>7</v>
      </c>
      <c r="V1220" s="15">
        <f t="shared" ca="1" si="39"/>
        <v>2</v>
      </c>
    </row>
    <row r="1221" spans="1:22">
      <c r="A1221" t="s">
        <v>3225</v>
      </c>
      <c r="B1221" s="1">
        <v>41055.493090277778</v>
      </c>
      <c r="C1221" s="2" t="s">
        <v>3226</v>
      </c>
      <c r="D1221">
        <v>400000</v>
      </c>
      <c r="E1221" t="s">
        <v>1908</v>
      </c>
      <c r="F1221" s="5">
        <v>7123.1666749770275</v>
      </c>
      <c r="G1221" s="5">
        <v>19918.334827208444</v>
      </c>
      <c r="H1221" s="5">
        <f ca="1">OFFSET(F1221,0,Brains!$D$1,1,1)</f>
        <v>19918.334827208444</v>
      </c>
      <c r="I1221" t="s">
        <v>3227</v>
      </c>
      <c r="J1221" t="s">
        <v>1882</v>
      </c>
      <c r="K1221" t="s">
        <v>1859</v>
      </c>
      <c r="L1221" t="s">
        <v>1859</v>
      </c>
      <c r="M1221" s="11" t="s">
        <v>3916</v>
      </c>
      <c r="N1221" t="s">
        <v>1884</v>
      </c>
      <c r="O1221" s="7" t="s">
        <v>3920</v>
      </c>
      <c r="P1221" s="17" t="str">
        <f t="shared" ca="1" si="38"/>
        <v>15-29.9K</v>
      </c>
      <c r="Q1221" s="17">
        <v>1.5</v>
      </c>
      <c r="R1221">
        <v>5</v>
      </c>
      <c r="S1221">
        <v>2</v>
      </c>
      <c r="T1221">
        <v>1</v>
      </c>
      <c r="U1221">
        <v>7</v>
      </c>
      <c r="V1221" s="15">
        <f t="shared" ca="1" si="39"/>
        <v>2</v>
      </c>
    </row>
    <row r="1222" spans="1:22">
      <c r="A1222" t="s">
        <v>1539</v>
      </c>
      <c r="B1222" s="1">
        <v>41068.655046296299</v>
      </c>
      <c r="C1222" s="2" t="s">
        <v>1540</v>
      </c>
      <c r="D1222">
        <v>800000</v>
      </c>
      <c r="E1222" t="s">
        <v>1908</v>
      </c>
      <c r="F1222" s="5">
        <v>14246.333349954055</v>
      </c>
      <c r="G1222" s="5">
        <v>39836.669654416888</v>
      </c>
      <c r="H1222" s="5">
        <f ca="1">OFFSET(F1222,0,Brains!$D$1,1,1)</f>
        <v>39836.669654416888</v>
      </c>
      <c r="I1222" t="s">
        <v>3248</v>
      </c>
      <c r="J1222" t="s">
        <v>1882</v>
      </c>
      <c r="K1222" t="s">
        <v>1859</v>
      </c>
      <c r="L1222" t="s">
        <v>1859</v>
      </c>
      <c r="M1222" s="11" t="s">
        <v>3917</v>
      </c>
      <c r="N1222" t="s">
        <v>1873</v>
      </c>
      <c r="O1222" s="7" t="s">
        <v>3920</v>
      </c>
      <c r="P1222" s="17" t="str">
        <f t="shared" ca="1" si="38"/>
        <v>30-49.9K</v>
      </c>
      <c r="Q1222" s="17">
        <v>2.5</v>
      </c>
      <c r="R1222">
        <v>0</v>
      </c>
      <c r="S1222">
        <v>3</v>
      </c>
      <c r="T1222">
        <v>1</v>
      </c>
      <c r="U1222">
        <v>7</v>
      </c>
      <c r="V1222" s="15">
        <f t="shared" ca="1" si="39"/>
        <v>3</v>
      </c>
    </row>
    <row r="1223" spans="1:22">
      <c r="A1223" t="s">
        <v>1541</v>
      </c>
      <c r="B1223" s="1">
        <v>41068.656412037039</v>
      </c>
      <c r="C1223" s="2">
        <v>800000</v>
      </c>
      <c r="D1223">
        <v>800000</v>
      </c>
      <c r="E1223" t="s">
        <v>1908</v>
      </c>
      <c r="F1223" s="5">
        <v>14246.333349954055</v>
      </c>
      <c r="G1223" s="5">
        <v>39836.669654416888</v>
      </c>
      <c r="H1223" s="5">
        <f ca="1">OFFSET(F1223,0,Brains!$D$1,1,1)</f>
        <v>39836.669654416888</v>
      </c>
      <c r="I1223" t="s">
        <v>3248</v>
      </c>
      <c r="J1223" t="s">
        <v>1882</v>
      </c>
      <c r="K1223" t="s">
        <v>1859</v>
      </c>
      <c r="L1223" t="s">
        <v>1859</v>
      </c>
      <c r="M1223" s="11" t="s">
        <v>3917</v>
      </c>
      <c r="N1223" t="s">
        <v>1873</v>
      </c>
      <c r="O1223" s="7" t="s">
        <v>3920</v>
      </c>
      <c r="P1223" s="17" t="str">
        <f t="shared" ca="1" si="38"/>
        <v>30-49.9K</v>
      </c>
      <c r="Q1223" s="17">
        <v>2.5</v>
      </c>
      <c r="R1223">
        <v>0</v>
      </c>
      <c r="S1223">
        <v>3</v>
      </c>
      <c r="T1223">
        <v>1</v>
      </c>
      <c r="U1223">
        <v>7</v>
      </c>
      <c r="V1223" s="15">
        <f t="shared" ca="1" si="39"/>
        <v>3</v>
      </c>
    </row>
    <row r="1224" spans="1:22">
      <c r="A1224" t="s">
        <v>972</v>
      </c>
      <c r="B1224" s="1">
        <v>41059.556319444448</v>
      </c>
      <c r="C1224" s="2">
        <v>500000</v>
      </c>
      <c r="D1224">
        <v>500000</v>
      </c>
      <c r="E1224" t="s">
        <v>1908</v>
      </c>
      <c r="F1224" s="5">
        <v>8903.9583437212841</v>
      </c>
      <c r="G1224" s="5">
        <v>24897.918534010558</v>
      </c>
      <c r="H1224" s="5">
        <f ca="1">OFFSET(F1224,0,Brains!$D$1,1,1)</f>
        <v>24897.918534010558</v>
      </c>
      <c r="I1224" t="s">
        <v>973</v>
      </c>
      <c r="J1224" t="s">
        <v>1882</v>
      </c>
      <c r="K1224" t="s">
        <v>1859</v>
      </c>
      <c r="L1224" t="s">
        <v>1859</v>
      </c>
      <c r="M1224" s="11" t="s">
        <v>3917</v>
      </c>
      <c r="N1224" t="s">
        <v>1873</v>
      </c>
      <c r="O1224" s="7" t="s">
        <v>3920</v>
      </c>
      <c r="P1224" s="17" t="str">
        <f t="shared" ca="1" si="38"/>
        <v>15-29.9K</v>
      </c>
      <c r="Q1224" s="17">
        <v>2.5</v>
      </c>
      <c r="R1224">
        <v>0</v>
      </c>
      <c r="S1224">
        <v>3</v>
      </c>
      <c r="T1224">
        <v>1</v>
      </c>
      <c r="U1224">
        <v>7</v>
      </c>
      <c r="V1224" s="15">
        <f t="shared" ca="1" si="39"/>
        <v>2</v>
      </c>
    </row>
    <row r="1225" spans="1:22">
      <c r="A1225" t="s">
        <v>73</v>
      </c>
      <c r="B1225" s="1">
        <v>41057.466585648152</v>
      </c>
      <c r="C1225" s="2">
        <v>650000</v>
      </c>
      <c r="D1225">
        <v>650000</v>
      </c>
      <c r="E1225" t="s">
        <v>1908</v>
      </c>
      <c r="F1225" s="5">
        <v>11575.14584683767</v>
      </c>
      <c r="G1225" s="5">
        <v>32367.294094213721</v>
      </c>
      <c r="H1225" s="5">
        <f ca="1">OFFSET(F1225,0,Brains!$D$1,1,1)</f>
        <v>32367.294094213721</v>
      </c>
      <c r="I1225" t="s">
        <v>74</v>
      </c>
      <c r="J1225" t="s">
        <v>1882</v>
      </c>
      <c r="K1225" t="s">
        <v>1859</v>
      </c>
      <c r="L1225" t="s">
        <v>1859</v>
      </c>
      <c r="M1225" s="11" t="s">
        <v>3917</v>
      </c>
      <c r="N1225" t="s">
        <v>1873</v>
      </c>
      <c r="O1225" s="7" t="s">
        <v>3920</v>
      </c>
      <c r="P1225" s="17" t="str">
        <f t="shared" ca="1" si="38"/>
        <v>30-49.9K</v>
      </c>
      <c r="Q1225" s="17">
        <v>2.5</v>
      </c>
      <c r="R1225">
        <v>1</v>
      </c>
      <c r="S1225">
        <v>3</v>
      </c>
      <c r="T1225">
        <v>1</v>
      </c>
      <c r="U1225">
        <v>7</v>
      </c>
      <c r="V1225" s="15">
        <f t="shared" ca="1" si="39"/>
        <v>3</v>
      </c>
    </row>
    <row r="1226" spans="1:22">
      <c r="A1226" t="s">
        <v>4</v>
      </c>
      <c r="B1226" s="1">
        <v>41057.306388888886</v>
      </c>
      <c r="C1226" s="2">
        <v>56600</v>
      </c>
      <c r="D1226">
        <v>56600</v>
      </c>
      <c r="E1226" t="s">
        <v>1973</v>
      </c>
      <c r="F1226" s="5">
        <v>57726.886552389187</v>
      </c>
      <c r="G1226" s="5">
        <v>36005.089058524172</v>
      </c>
      <c r="H1226" s="5">
        <f ca="1">OFFSET(F1226,0,Brains!$D$1,1,1)</f>
        <v>36005.089058524172</v>
      </c>
      <c r="I1226" t="s">
        <v>5</v>
      </c>
      <c r="J1226" t="s">
        <v>1882</v>
      </c>
      <c r="K1226" t="s">
        <v>1975</v>
      </c>
      <c r="L1226" t="s">
        <v>1975</v>
      </c>
      <c r="M1226" s="11" t="s">
        <v>3917</v>
      </c>
      <c r="N1226" t="s">
        <v>1873</v>
      </c>
      <c r="O1226" s="7" t="s">
        <v>3920</v>
      </c>
      <c r="P1226" s="17" t="str">
        <f t="shared" ca="1" si="38"/>
        <v>30-49.9K</v>
      </c>
      <c r="Q1226" s="17">
        <v>2.5</v>
      </c>
      <c r="R1226">
        <v>2</v>
      </c>
      <c r="S1226">
        <v>3</v>
      </c>
      <c r="T1226">
        <v>1</v>
      </c>
      <c r="U1226">
        <v>7</v>
      </c>
      <c r="V1226" s="15">
        <f t="shared" ca="1" si="39"/>
        <v>3</v>
      </c>
    </row>
    <row r="1227" spans="1:22">
      <c r="A1227" t="s">
        <v>165</v>
      </c>
      <c r="B1227" s="1">
        <v>41057.592268518521</v>
      </c>
      <c r="C1227" s="2" t="s">
        <v>166</v>
      </c>
      <c r="D1227">
        <v>1200000</v>
      </c>
      <c r="E1227" t="s">
        <v>1908</v>
      </c>
      <c r="F1227" s="5">
        <v>21369.500024931083</v>
      </c>
      <c r="G1227" s="5">
        <v>59755.004481625336</v>
      </c>
      <c r="H1227" s="5">
        <f ca="1">OFFSET(F1227,0,Brains!$D$1,1,1)</f>
        <v>59755.004481625336</v>
      </c>
      <c r="I1227" t="s">
        <v>3593</v>
      </c>
      <c r="J1227" t="s">
        <v>1882</v>
      </c>
      <c r="K1227" t="s">
        <v>1859</v>
      </c>
      <c r="L1227" t="s">
        <v>1859</v>
      </c>
      <c r="M1227" s="11" t="s">
        <v>3917</v>
      </c>
      <c r="N1227" t="s">
        <v>1873</v>
      </c>
      <c r="O1227" s="7" t="s">
        <v>3920</v>
      </c>
      <c r="P1227" s="17" t="str">
        <f t="shared" ca="1" si="38"/>
        <v>50-74.9K</v>
      </c>
      <c r="Q1227" s="17">
        <v>2.5</v>
      </c>
      <c r="R1227">
        <v>2</v>
      </c>
      <c r="S1227">
        <v>3</v>
      </c>
      <c r="T1227">
        <v>1</v>
      </c>
      <c r="U1227">
        <v>7</v>
      </c>
      <c r="V1227" s="15">
        <f t="shared" ca="1" si="39"/>
        <v>4</v>
      </c>
    </row>
    <row r="1228" spans="1:22">
      <c r="A1228" t="s">
        <v>666</v>
      </c>
      <c r="B1228" s="1">
        <v>41058.558159722219</v>
      </c>
      <c r="C1228" s="2" t="s">
        <v>667</v>
      </c>
      <c r="D1228">
        <v>600000</v>
      </c>
      <c r="E1228" t="s">
        <v>1908</v>
      </c>
      <c r="F1228" s="5">
        <v>10684.750012465542</v>
      </c>
      <c r="G1228" s="5">
        <v>29877.502240812668</v>
      </c>
      <c r="H1228" s="5">
        <f ca="1">OFFSET(F1228,0,Brains!$D$1,1,1)</f>
        <v>29877.502240812668</v>
      </c>
      <c r="I1228" t="s">
        <v>668</v>
      </c>
      <c r="J1228" t="s">
        <v>1882</v>
      </c>
      <c r="K1228" t="s">
        <v>1859</v>
      </c>
      <c r="L1228" t="s">
        <v>1859</v>
      </c>
      <c r="M1228" s="11" t="s">
        <v>3917</v>
      </c>
      <c r="N1228" t="s">
        <v>1873</v>
      </c>
      <c r="O1228" s="7" t="s">
        <v>3920</v>
      </c>
      <c r="P1228" s="17" t="str">
        <f t="shared" ca="1" si="38"/>
        <v>15-29.9K</v>
      </c>
      <c r="Q1228" s="17">
        <v>2.5</v>
      </c>
      <c r="R1228">
        <v>2</v>
      </c>
      <c r="S1228">
        <v>3</v>
      </c>
      <c r="T1228">
        <v>1</v>
      </c>
      <c r="U1228">
        <v>7</v>
      </c>
      <c r="V1228" s="15">
        <f t="shared" ca="1" si="39"/>
        <v>2</v>
      </c>
    </row>
    <row r="1229" spans="1:22">
      <c r="A1229" t="s">
        <v>3859</v>
      </c>
      <c r="B1229" s="1">
        <v>41057.020092592589</v>
      </c>
      <c r="C1229" s="2" t="s">
        <v>3513</v>
      </c>
      <c r="D1229">
        <v>480000</v>
      </c>
      <c r="E1229" t="s">
        <v>1908</v>
      </c>
      <c r="F1229" s="5">
        <v>8547.8000099724322</v>
      </c>
      <c r="G1229" s="5">
        <v>23902.001792650135</v>
      </c>
      <c r="H1229" s="5">
        <f ca="1">OFFSET(F1229,0,Brains!$D$1,1,1)</f>
        <v>23902.001792650135</v>
      </c>
      <c r="I1229" t="s">
        <v>1882</v>
      </c>
      <c r="J1229" t="s">
        <v>1882</v>
      </c>
      <c r="K1229" t="s">
        <v>1859</v>
      </c>
      <c r="L1229" t="s">
        <v>1859</v>
      </c>
      <c r="M1229" s="11" t="s">
        <v>3917</v>
      </c>
      <c r="N1229" t="s">
        <v>1873</v>
      </c>
      <c r="O1229" s="7" t="s">
        <v>3920</v>
      </c>
      <c r="P1229" s="17" t="str">
        <f t="shared" ca="1" si="38"/>
        <v>15-29.9K</v>
      </c>
      <c r="Q1229" s="17">
        <v>2.5</v>
      </c>
      <c r="R1229">
        <v>2</v>
      </c>
      <c r="S1229">
        <v>3</v>
      </c>
      <c r="T1229">
        <v>1</v>
      </c>
      <c r="U1229">
        <v>7</v>
      </c>
      <c r="V1229" s="15">
        <f t="shared" ca="1" si="39"/>
        <v>2</v>
      </c>
    </row>
    <row r="1230" spans="1:22">
      <c r="A1230" t="s">
        <v>3904</v>
      </c>
      <c r="B1230" s="1">
        <v>41057.286041666666</v>
      </c>
      <c r="C1230" s="2">
        <v>60000</v>
      </c>
      <c r="D1230">
        <v>60000</v>
      </c>
      <c r="E1230" t="s">
        <v>1856</v>
      </c>
      <c r="F1230" s="5">
        <v>60000</v>
      </c>
      <c r="G1230" s="5">
        <v>60000</v>
      </c>
      <c r="H1230" s="5">
        <f ca="1">OFFSET(F1230,0,Brains!$D$1,1,1)</f>
        <v>60000</v>
      </c>
      <c r="I1230" t="s">
        <v>3905</v>
      </c>
      <c r="J1230" t="s">
        <v>1882</v>
      </c>
      <c r="K1230" t="s">
        <v>1869</v>
      </c>
      <c r="L1230" t="s">
        <v>1869</v>
      </c>
      <c r="M1230" s="11" t="s">
        <v>3917</v>
      </c>
      <c r="N1230" t="s">
        <v>1873</v>
      </c>
      <c r="O1230" s="7" t="s">
        <v>3920</v>
      </c>
      <c r="P1230" s="17" t="str">
        <f t="shared" ca="1" si="38"/>
        <v>50-74.9K</v>
      </c>
      <c r="Q1230" s="17">
        <v>2.5</v>
      </c>
      <c r="R1230">
        <v>3</v>
      </c>
      <c r="S1230">
        <v>3</v>
      </c>
      <c r="T1230">
        <v>1</v>
      </c>
      <c r="U1230">
        <v>7</v>
      </c>
      <c r="V1230" s="15">
        <f t="shared" ca="1" si="39"/>
        <v>4</v>
      </c>
    </row>
    <row r="1231" spans="1:22">
      <c r="A1231" t="s">
        <v>613</v>
      </c>
      <c r="B1231" s="1">
        <v>41058.408182870371</v>
      </c>
      <c r="C1231" s="2">
        <v>30000</v>
      </c>
      <c r="D1231">
        <v>30000</v>
      </c>
      <c r="E1231" t="s">
        <v>1856</v>
      </c>
      <c r="F1231" s="5">
        <v>30000</v>
      </c>
      <c r="G1231" s="5">
        <v>30000</v>
      </c>
      <c r="H1231" s="5">
        <f ca="1">OFFSET(F1231,0,Brains!$D$1,1,1)</f>
        <v>30000</v>
      </c>
      <c r="I1231" t="s">
        <v>614</v>
      </c>
      <c r="J1231" t="s">
        <v>1882</v>
      </c>
      <c r="K1231" t="s">
        <v>1859</v>
      </c>
      <c r="L1231" t="s">
        <v>1859</v>
      </c>
      <c r="M1231" s="11" t="s">
        <v>3917</v>
      </c>
      <c r="N1231" t="s">
        <v>1873</v>
      </c>
      <c r="O1231" s="7" t="s">
        <v>3920</v>
      </c>
      <c r="P1231" s="17" t="str">
        <f t="shared" ca="1" si="38"/>
        <v>30-49.9K</v>
      </c>
      <c r="Q1231" s="17">
        <v>2.5</v>
      </c>
      <c r="R1231">
        <v>3</v>
      </c>
      <c r="S1231">
        <v>3</v>
      </c>
      <c r="T1231">
        <v>1</v>
      </c>
      <c r="U1231">
        <v>7</v>
      </c>
      <c r="V1231" s="15">
        <f t="shared" ca="1" si="39"/>
        <v>3</v>
      </c>
    </row>
    <row r="1232" spans="1:22">
      <c r="A1232" t="s">
        <v>3774</v>
      </c>
      <c r="B1232" s="1">
        <v>41056.621874999997</v>
      </c>
      <c r="C1232" s="2" t="s">
        <v>3171</v>
      </c>
      <c r="D1232">
        <v>850000</v>
      </c>
      <c r="E1232" t="s">
        <v>1908</v>
      </c>
      <c r="F1232" s="5">
        <v>15136.729184326183</v>
      </c>
      <c r="G1232" s="5">
        <v>42326.461507817949</v>
      </c>
      <c r="H1232" s="5">
        <f ca="1">OFFSET(F1232,0,Brains!$D$1,1,1)</f>
        <v>42326.461507817949</v>
      </c>
      <c r="I1232" t="s">
        <v>3743</v>
      </c>
      <c r="J1232" t="s">
        <v>1882</v>
      </c>
      <c r="K1232" t="s">
        <v>1859</v>
      </c>
      <c r="L1232" t="s">
        <v>1859</v>
      </c>
      <c r="M1232" s="11" t="s">
        <v>3917</v>
      </c>
      <c r="N1232" t="s">
        <v>1873</v>
      </c>
      <c r="O1232" s="7" t="s">
        <v>3920</v>
      </c>
      <c r="P1232" s="17" t="str">
        <f t="shared" ca="1" si="38"/>
        <v>30-49.9K</v>
      </c>
      <c r="Q1232" s="17">
        <v>2.5</v>
      </c>
      <c r="R1232">
        <v>3</v>
      </c>
      <c r="S1232">
        <v>3</v>
      </c>
      <c r="T1232">
        <v>1</v>
      </c>
      <c r="U1232">
        <v>7</v>
      </c>
      <c r="V1232" s="15">
        <f t="shared" ca="1" si="39"/>
        <v>3</v>
      </c>
    </row>
    <row r="1233" spans="1:22">
      <c r="A1233" t="s">
        <v>501</v>
      </c>
      <c r="B1233" s="1">
        <v>41058.022627314815</v>
      </c>
      <c r="C1233" s="2" t="s">
        <v>502</v>
      </c>
      <c r="D1233">
        <v>750000</v>
      </c>
      <c r="E1233" t="s">
        <v>1908</v>
      </c>
      <c r="F1233" s="5">
        <v>13355.937515581925</v>
      </c>
      <c r="G1233" s="5">
        <v>37346.877801015835</v>
      </c>
      <c r="H1233" s="5">
        <f ca="1">OFFSET(F1233,0,Brains!$D$1,1,1)</f>
        <v>37346.877801015835</v>
      </c>
      <c r="I1233" t="s">
        <v>3743</v>
      </c>
      <c r="J1233" t="s">
        <v>1882</v>
      </c>
      <c r="K1233" t="s">
        <v>1859</v>
      </c>
      <c r="L1233" t="s">
        <v>1859</v>
      </c>
      <c r="M1233" s="11" t="s">
        <v>3917</v>
      </c>
      <c r="N1233" t="s">
        <v>1873</v>
      </c>
      <c r="O1233" s="7" t="s">
        <v>3920</v>
      </c>
      <c r="P1233" s="17" t="str">
        <f t="shared" ca="1" si="38"/>
        <v>30-49.9K</v>
      </c>
      <c r="Q1233" s="17">
        <v>2.5</v>
      </c>
      <c r="R1233">
        <v>3</v>
      </c>
      <c r="S1233">
        <v>3</v>
      </c>
      <c r="T1233">
        <v>1</v>
      </c>
      <c r="U1233">
        <v>7</v>
      </c>
      <c r="V1233" s="15">
        <f t="shared" ca="1" si="39"/>
        <v>3</v>
      </c>
    </row>
    <row r="1234" spans="1:22">
      <c r="A1234" t="s">
        <v>3319</v>
      </c>
      <c r="B1234" s="1">
        <v>41055.557442129626</v>
      </c>
      <c r="C1234" s="2">
        <v>300000</v>
      </c>
      <c r="D1234">
        <v>300000</v>
      </c>
      <c r="E1234" t="s">
        <v>1908</v>
      </c>
      <c r="F1234" s="5">
        <v>5342.3750062327708</v>
      </c>
      <c r="G1234" s="5">
        <v>14938.751120406334</v>
      </c>
      <c r="H1234" s="5">
        <f ca="1">OFFSET(F1234,0,Brains!$D$1,1,1)</f>
        <v>14938.751120406334</v>
      </c>
      <c r="I1234" t="s">
        <v>3320</v>
      </c>
      <c r="J1234" t="s">
        <v>1882</v>
      </c>
      <c r="K1234" t="s">
        <v>1859</v>
      </c>
      <c r="L1234" t="s">
        <v>1859</v>
      </c>
      <c r="M1234" s="11" t="s">
        <v>3917</v>
      </c>
      <c r="N1234" t="s">
        <v>1873</v>
      </c>
      <c r="O1234" s="7" t="s">
        <v>3920</v>
      </c>
      <c r="P1234" s="17" t="str">
        <f t="shared" ca="1" si="38"/>
        <v>0-14.9K</v>
      </c>
      <c r="Q1234" s="17">
        <v>2.5</v>
      </c>
      <c r="R1234">
        <v>3</v>
      </c>
      <c r="S1234">
        <v>3</v>
      </c>
      <c r="T1234">
        <v>1</v>
      </c>
      <c r="U1234">
        <v>7</v>
      </c>
      <c r="V1234" s="15">
        <f t="shared" ca="1" si="39"/>
        <v>1</v>
      </c>
    </row>
    <row r="1235" spans="1:22">
      <c r="A1235" t="s">
        <v>3586</v>
      </c>
      <c r="B1235" s="1">
        <v>41055.92287037037</v>
      </c>
      <c r="C1235" s="2" t="s">
        <v>3587</v>
      </c>
      <c r="D1235">
        <v>240000</v>
      </c>
      <c r="E1235" t="s">
        <v>1908</v>
      </c>
      <c r="F1235" s="5">
        <v>4273.9000049862161</v>
      </c>
      <c r="G1235" s="5">
        <v>11951.000896325068</v>
      </c>
      <c r="H1235" s="5">
        <f ca="1">OFFSET(F1235,0,Brains!$D$1,1,1)</f>
        <v>11951.000896325068</v>
      </c>
      <c r="I1235" t="s">
        <v>3248</v>
      </c>
      <c r="J1235" t="s">
        <v>1882</v>
      </c>
      <c r="K1235" t="s">
        <v>1859</v>
      </c>
      <c r="L1235" t="s">
        <v>1859</v>
      </c>
      <c r="M1235" s="11" t="s">
        <v>3917</v>
      </c>
      <c r="N1235" t="s">
        <v>1873</v>
      </c>
      <c r="O1235" s="7" t="s">
        <v>3920</v>
      </c>
      <c r="P1235" s="17" t="str">
        <f t="shared" ca="1" si="38"/>
        <v>0-14.9K</v>
      </c>
      <c r="Q1235" s="17">
        <v>2.5</v>
      </c>
      <c r="R1235">
        <v>3</v>
      </c>
      <c r="S1235">
        <v>3</v>
      </c>
      <c r="T1235">
        <v>1</v>
      </c>
      <c r="U1235">
        <v>7</v>
      </c>
      <c r="V1235" s="15">
        <f t="shared" ca="1" si="39"/>
        <v>1</v>
      </c>
    </row>
    <row r="1236" spans="1:22">
      <c r="A1236" t="s">
        <v>979</v>
      </c>
      <c r="B1236" s="1">
        <v>41059.570613425924</v>
      </c>
      <c r="C1236" s="2">
        <v>60000</v>
      </c>
      <c r="D1236">
        <v>60000</v>
      </c>
      <c r="E1236" t="s">
        <v>1856</v>
      </c>
      <c r="F1236" s="5">
        <v>60000</v>
      </c>
      <c r="G1236" s="5">
        <v>60000</v>
      </c>
      <c r="H1236" s="5">
        <f ca="1">OFFSET(F1236,0,Brains!$D$1,1,1)</f>
        <v>60000</v>
      </c>
      <c r="I1236" t="s">
        <v>980</v>
      </c>
      <c r="J1236" t="s">
        <v>1882</v>
      </c>
      <c r="K1236" t="s">
        <v>1869</v>
      </c>
      <c r="L1236" t="s">
        <v>1869</v>
      </c>
      <c r="M1236" s="11" t="s">
        <v>3917</v>
      </c>
      <c r="N1236" t="s">
        <v>1873</v>
      </c>
      <c r="O1236" s="7" t="s">
        <v>3920</v>
      </c>
      <c r="P1236" s="17" t="str">
        <f t="shared" ca="1" si="38"/>
        <v>50-74.9K</v>
      </c>
      <c r="Q1236" s="17">
        <v>2.5</v>
      </c>
      <c r="R1236">
        <v>4</v>
      </c>
      <c r="S1236">
        <v>3</v>
      </c>
      <c r="T1236">
        <v>1</v>
      </c>
      <c r="U1236">
        <v>7</v>
      </c>
      <c r="V1236" s="15">
        <f t="shared" ca="1" si="39"/>
        <v>4</v>
      </c>
    </row>
    <row r="1237" spans="1:22">
      <c r="A1237" t="s">
        <v>608</v>
      </c>
      <c r="B1237" s="1">
        <v>41058.40115740741</v>
      </c>
      <c r="C1237" s="2" t="s">
        <v>609</v>
      </c>
      <c r="D1237">
        <v>43000</v>
      </c>
      <c r="E1237" t="s">
        <v>1856</v>
      </c>
      <c r="F1237" s="5">
        <v>43000</v>
      </c>
      <c r="G1237" s="5">
        <v>43000</v>
      </c>
      <c r="H1237" s="5">
        <f ca="1">OFFSET(F1237,0,Brains!$D$1,1,1)</f>
        <v>43000</v>
      </c>
      <c r="I1237" t="s">
        <v>610</v>
      </c>
      <c r="J1237" t="s">
        <v>1882</v>
      </c>
      <c r="K1237" t="s">
        <v>1975</v>
      </c>
      <c r="L1237" t="s">
        <v>1975</v>
      </c>
      <c r="M1237" s="11" t="s">
        <v>3917</v>
      </c>
      <c r="N1237" t="s">
        <v>1873</v>
      </c>
      <c r="O1237" s="7" t="s">
        <v>3920</v>
      </c>
      <c r="P1237" s="17" t="str">
        <f t="shared" ca="1" si="38"/>
        <v>30-49.9K</v>
      </c>
      <c r="Q1237" s="17">
        <v>2.5</v>
      </c>
      <c r="R1237">
        <v>4</v>
      </c>
      <c r="S1237">
        <v>3</v>
      </c>
      <c r="T1237">
        <v>1</v>
      </c>
      <c r="U1237">
        <v>7</v>
      </c>
      <c r="V1237" s="15">
        <f t="shared" ca="1" si="39"/>
        <v>3</v>
      </c>
    </row>
    <row r="1238" spans="1:22">
      <c r="A1238" t="s">
        <v>762</v>
      </c>
      <c r="B1238" s="1">
        <v>41058.73605324074</v>
      </c>
      <c r="C1238" s="2" t="s">
        <v>763</v>
      </c>
      <c r="D1238">
        <v>41000</v>
      </c>
      <c r="E1238" t="s">
        <v>1856</v>
      </c>
      <c r="F1238" s="5">
        <v>41000</v>
      </c>
      <c r="G1238" s="5">
        <v>41000</v>
      </c>
      <c r="H1238" s="5">
        <f ca="1">OFFSET(F1238,0,Brains!$D$1,1,1)</f>
        <v>41000</v>
      </c>
      <c r="I1238" t="s">
        <v>764</v>
      </c>
      <c r="J1238" t="s">
        <v>1882</v>
      </c>
      <c r="K1238" t="s">
        <v>2599</v>
      </c>
      <c r="L1238" t="s">
        <v>2599</v>
      </c>
      <c r="M1238" s="11" t="s">
        <v>3917</v>
      </c>
      <c r="N1238" t="s">
        <v>1873</v>
      </c>
      <c r="O1238" s="7" t="s">
        <v>3920</v>
      </c>
      <c r="P1238" s="17" t="str">
        <f t="shared" ca="1" si="38"/>
        <v>30-49.9K</v>
      </c>
      <c r="Q1238" s="17">
        <v>2.5</v>
      </c>
      <c r="R1238">
        <v>4</v>
      </c>
      <c r="S1238">
        <v>3</v>
      </c>
      <c r="T1238">
        <v>1</v>
      </c>
      <c r="U1238">
        <v>7</v>
      </c>
      <c r="V1238" s="15">
        <f t="shared" ca="1" si="39"/>
        <v>3</v>
      </c>
    </row>
    <row r="1239" spans="1:22">
      <c r="A1239" t="s">
        <v>1633</v>
      </c>
      <c r="B1239" s="1">
        <v>41072.665694444448</v>
      </c>
      <c r="C1239" s="2">
        <v>560000</v>
      </c>
      <c r="D1239">
        <v>560000</v>
      </c>
      <c r="E1239" t="s">
        <v>1908</v>
      </c>
      <c r="F1239" s="5">
        <v>9972.4333449678379</v>
      </c>
      <c r="G1239" s="5">
        <v>27885.668758091822</v>
      </c>
      <c r="H1239" s="5">
        <f ca="1">OFFSET(F1239,0,Brains!$D$1,1,1)</f>
        <v>27885.668758091822</v>
      </c>
      <c r="I1239" t="s">
        <v>1634</v>
      </c>
      <c r="J1239" t="s">
        <v>1882</v>
      </c>
      <c r="K1239" t="s">
        <v>1859</v>
      </c>
      <c r="L1239" t="s">
        <v>1859</v>
      </c>
      <c r="M1239" s="11" t="s">
        <v>3917</v>
      </c>
      <c r="N1239" t="s">
        <v>1873</v>
      </c>
      <c r="O1239" s="7" t="s">
        <v>3920</v>
      </c>
      <c r="P1239" s="17" t="str">
        <f t="shared" ca="1" si="38"/>
        <v>15-29.9K</v>
      </c>
      <c r="Q1239" s="17">
        <v>2.5</v>
      </c>
      <c r="R1239">
        <v>4</v>
      </c>
      <c r="S1239">
        <v>3</v>
      </c>
      <c r="T1239">
        <v>1</v>
      </c>
      <c r="U1239">
        <v>7</v>
      </c>
      <c r="V1239" s="15">
        <f t="shared" ca="1" si="39"/>
        <v>2</v>
      </c>
    </row>
    <row r="1240" spans="1:22">
      <c r="A1240" t="s">
        <v>123</v>
      </c>
      <c r="B1240" s="1">
        <v>41057.541655092595</v>
      </c>
      <c r="C1240" s="2">
        <v>18000</v>
      </c>
      <c r="D1240">
        <v>18000</v>
      </c>
      <c r="E1240" t="s">
        <v>1856</v>
      </c>
      <c r="F1240" s="5">
        <v>18000</v>
      </c>
      <c r="G1240" s="5">
        <v>18000</v>
      </c>
      <c r="H1240" s="5">
        <f ca="1">OFFSET(F1240,0,Brains!$D$1,1,1)</f>
        <v>18000</v>
      </c>
      <c r="I1240" t="s">
        <v>124</v>
      </c>
      <c r="J1240" t="s">
        <v>1882</v>
      </c>
      <c r="K1240" t="s">
        <v>1859</v>
      </c>
      <c r="L1240" t="s">
        <v>1859</v>
      </c>
      <c r="M1240" s="11" t="s">
        <v>3917</v>
      </c>
      <c r="N1240" t="s">
        <v>1873</v>
      </c>
      <c r="O1240" s="7" t="s">
        <v>3920</v>
      </c>
      <c r="P1240" s="17" t="str">
        <f t="shared" ca="1" si="38"/>
        <v>15-29.9K</v>
      </c>
      <c r="Q1240" s="17">
        <v>2.5</v>
      </c>
      <c r="R1240">
        <v>4.5999999999999996</v>
      </c>
      <c r="S1240">
        <v>3</v>
      </c>
      <c r="T1240">
        <v>1</v>
      </c>
      <c r="U1240">
        <v>7</v>
      </c>
      <c r="V1240" s="15">
        <f t="shared" ca="1" si="39"/>
        <v>2</v>
      </c>
    </row>
    <row r="1241" spans="1:22">
      <c r="A1241" t="s">
        <v>844</v>
      </c>
      <c r="B1241" s="1">
        <v>41058.904675925929</v>
      </c>
      <c r="C1241" s="2">
        <v>120000</v>
      </c>
      <c r="D1241">
        <v>120000</v>
      </c>
      <c r="E1241" t="s">
        <v>1856</v>
      </c>
      <c r="F1241" s="5">
        <v>120000</v>
      </c>
      <c r="G1241" s="5">
        <v>120000</v>
      </c>
      <c r="H1241" s="5">
        <f ca="1">OFFSET(F1241,0,Brains!$D$1,1,1)</f>
        <v>120000</v>
      </c>
      <c r="I1241" t="s">
        <v>3022</v>
      </c>
      <c r="J1241" t="s">
        <v>1882</v>
      </c>
      <c r="K1241" t="s">
        <v>1869</v>
      </c>
      <c r="L1241" t="s">
        <v>1869</v>
      </c>
      <c r="M1241" s="11" t="s">
        <v>3917</v>
      </c>
      <c r="N1241" t="s">
        <v>1873</v>
      </c>
      <c r="O1241" s="7" t="s">
        <v>3920</v>
      </c>
      <c r="P1241" s="17" t="str">
        <f t="shared" ca="1" si="38"/>
        <v>100-149.9K</v>
      </c>
      <c r="Q1241" s="17">
        <v>2.5</v>
      </c>
      <c r="R1241">
        <v>5</v>
      </c>
      <c r="S1241">
        <v>3</v>
      </c>
      <c r="T1241">
        <v>1</v>
      </c>
      <c r="U1241">
        <v>7</v>
      </c>
      <c r="V1241" s="15">
        <f t="shared" ca="1" si="39"/>
        <v>6</v>
      </c>
    </row>
    <row r="1242" spans="1:22">
      <c r="A1242" t="s">
        <v>294</v>
      </c>
      <c r="B1242" s="1">
        <v>41057.721377314818</v>
      </c>
      <c r="C1242" s="2" t="s">
        <v>295</v>
      </c>
      <c r="D1242">
        <v>45200</v>
      </c>
      <c r="E1242" t="s">
        <v>1954</v>
      </c>
      <c r="F1242" s="5">
        <v>71243.257897441246</v>
      </c>
      <c r="G1242" s="5">
        <v>67062.314540059349</v>
      </c>
      <c r="H1242" s="5">
        <f ca="1">OFFSET(F1242,0,Brains!$D$1,1,1)</f>
        <v>67062.314540059349</v>
      </c>
      <c r="I1242" t="s">
        <v>296</v>
      </c>
      <c r="J1242" t="s">
        <v>1882</v>
      </c>
      <c r="K1242" t="s">
        <v>1956</v>
      </c>
      <c r="L1242" t="s">
        <v>1956</v>
      </c>
      <c r="M1242" s="11" t="s">
        <v>3917</v>
      </c>
      <c r="N1242" t="s">
        <v>1873</v>
      </c>
      <c r="O1242" s="7" t="s">
        <v>3920</v>
      </c>
      <c r="P1242" s="17" t="str">
        <f t="shared" ca="1" si="38"/>
        <v>50-74.9K</v>
      </c>
      <c r="Q1242" s="17">
        <v>2.5</v>
      </c>
      <c r="R1242">
        <v>5</v>
      </c>
      <c r="S1242">
        <v>3</v>
      </c>
      <c r="T1242">
        <v>1</v>
      </c>
      <c r="U1242">
        <v>7</v>
      </c>
      <c r="V1242" s="15">
        <f t="shared" ca="1" si="39"/>
        <v>4</v>
      </c>
    </row>
    <row r="1243" spans="1:22">
      <c r="A1243" t="s">
        <v>3900</v>
      </c>
      <c r="B1243" s="1">
        <v>41057.267777777779</v>
      </c>
      <c r="C1243" s="2" t="s">
        <v>3901</v>
      </c>
      <c r="D1243">
        <v>65000</v>
      </c>
      <c r="E1243" t="s">
        <v>1973</v>
      </c>
      <c r="F1243" s="5">
        <v>66294.12766617132</v>
      </c>
      <c r="G1243" s="5">
        <v>41348.600508905853</v>
      </c>
      <c r="H1243" s="5">
        <f ca="1">OFFSET(F1243,0,Brains!$D$1,1,1)</f>
        <v>41348.600508905853</v>
      </c>
      <c r="I1243" t="s">
        <v>3902</v>
      </c>
      <c r="J1243" t="s">
        <v>1882</v>
      </c>
      <c r="K1243" t="s">
        <v>1975</v>
      </c>
      <c r="L1243" t="s">
        <v>1975</v>
      </c>
      <c r="M1243" s="11" t="s">
        <v>3917</v>
      </c>
      <c r="N1243" t="s">
        <v>1873</v>
      </c>
      <c r="O1243" s="7" t="s">
        <v>3920</v>
      </c>
      <c r="P1243" s="17" t="str">
        <f t="shared" ca="1" si="38"/>
        <v>30-49.9K</v>
      </c>
      <c r="Q1243" s="17">
        <v>2.5</v>
      </c>
      <c r="R1243">
        <v>5</v>
      </c>
      <c r="S1243">
        <v>3</v>
      </c>
      <c r="T1243">
        <v>1</v>
      </c>
      <c r="U1243">
        <v>7</v>
      </c>
      <c r="V1243" s="15">
        <f t="shared" ca="1" si="39"/>
        <v>3</v>
      </c>
    </row>
    <row r="1244" spans="1:22">
      <c r="A1244" t="s">
        <v>1157</v>
      </c>
      <c r="B1244" s="1">
        <v>41060.733020833337</v>
      </c>
      <c r="C1244" s="2" t="s">
        <v>1158</v>
      </c>
      <c r="D1244">
        <v>45000</v>
      </c>
      <c r="E1244" t="s">
        <v>1856</v>
      </c>
      <c r="F1244" s="5">
        <v>45000</v>
      </c>
      <c r="G1244" s="5">
        <v>45000</v>
      </c>
      <c r="H1244" s="5">
        <f ca="1">OFFSET(F1244,0,Brains!$D$1,1,1)</f>
        <v>45000</v>
      </c>
      <c r="I1244" t="s">
        <v>1159</v>
      </c>
      <c r="J1244" t="s">
        <v>1882</v>
      </c>
      <c r="K1244" t="s">
        <v>1883</v>
      </c>
      <c r="L1244" t="s">
        <v>1883</v>
      </c>
      <c r="M1244" s="11" t="s">
        <v>3917</v>
      </c>
      <c r="N1244" t="s">
        <v>1873</v>
      </c>
      <c r="O1244" s="7" t="s">
        <v>3920</v>
      </c>
      <c r="P1244" s="17" t="str">
        <f t="shared" ca="1" si="38"/>
        <v>30-49.9K</v>
      </c>
      <c r="Q1244" s="17">
        <v>2.5</v>
      </c>
      <c r="R1244">
        <v>5</v>
      </c>
      <c r="S1244">
        <v>3</v>
      </c>
      <c r="T1244">
        <v>1</v>
      </c>
      <c r="U1244">
        <v>7</v>
      </c>
      <c r="V1244" s="15">
        <f t="shared" ca="1" si="39"/>
        <v>3</v>
      </c>
    </row>
    <row r="1245" spans="1:22">
      <c r="A1245" t="s">
        <v>3582</v>
      </c>
      <c r="B1245" s="1">
        <v>41055.921979166669</v>
      </c>
      <c r="C1245" s="2" t="s">
        <v>3583</v>
      </c>
      <c r="D1245">
        <v>24000</v>
      </c>
      <c r="E1245" t="s">
        <v>1856</v>
      </c>
      <c r="F1245" s="5">
        <v>24000</v>
      </c>
      <c r="G1245" s="5">
        <v>24000</v>
      </c>
      <c r="H1245" s="5">
        <f ca="1">OFFSET(F1245,0,Brains!$D$1,1,1)</f>
        <v>24000</v>
      </c>
      <c r="I1245" t="s">
        <v>3584</v>
      </c>
      <c r="J1245" t="s">
        <v>1882</v>
      </c>
      <c r="K1245" t="s">
        <v>3585</v>
      </c>
      <c r="L1245" t="s">
        <v>3585</v>
      </c>
      <c r="M1245" s="11" t="s">
        <v>3917</v>
      </c>
      <c r="N1245" t="s">
        <v>1873</v>
      </c>
      <c r="O1245" s="7" t="s">
        <v>3920</v>
      </c>
      <c r="P1245" s="17" t="str">
        <f t="shared" ca="1" si="38"/>
        <v>15-29.9K</v>
      </c>
      <c r="Q1245" s="17">
        <v>2.5</v>
      </c>
      <c r="R1245">
        <v>5</v>
      </c>
      <c r="S1245">
        <v>3</v>
      </c>
      <c r="T1245">
        <v>1</v>
      </c>
      <c r="U1245">
        <v>7</v>
      </c>
      <c r="V1245" s="15">
        <f t="shared" ca="1" si="39"/>
        <v>2</v>
      </c>
    </row>
    <row r="1246" spans="1:22">
      <c r="A1246" t="s">
        <v>268</v>
      </c>
      <c r="B1246" s="1">
        <v>41057.698240740741</v>
      </c>
      <c r="C1246" s="2">
        <v>100000</v>
      </c>
      <c r="D1246">
        <v>1200000</v>
      </c>
      <c r="E1246" t="s">
        <v>1908</v>
      </c>
      <c r="F1246" s="5">
        <v>21369.500024931083</v>
      </c>
      <c r="G1246" s="5">
        <v>59755.004481625336</v>
      </c>
      <c r="H1246" s="5">
        <f ca="1">OFFSET(F1246,0,Brains!$D$1,1,1)</f>
        <v>59755.004481625336</v>
      </c>
      <c r="I1246" t="s">
        <v>269</v>
      </c>
      <c r="J1246" t="s">
        <v>1882</v>
      </c>
      <c r="K1246" t="s">
        <v>1859</v>
      </c>
      <c r="L1246" t="s">
        <v>1859</v>
      </c>
      <c r="M1246" s="11" t="s">
        <v>3917</v>
      </c>
      <c r="N1246" t="s">
        <v>1873</v>
      </c>
      <c r="O1246" s="7" t="s">
        <v>3920</v>
      </c>
      <c r="P1246" s="17" t="str">
        <f t="shared" ca="1" si="38"/>
        <v>50-74.9K</v>
      </c>
      <c r="Q1246" s="17">
        <v>2.5</v>
      </c>
      <c r="R1246">
        <v>5</v>
      </c>
      <c r="S1246">
        <v>3</v>
      </c>
      <c r="T1246">
        <v>1</v>
      </c>
      <c r="U1246">
        <v>7</v>
      </c>
      <c r="V1246" s="15">
        <f t="shared" ca="1" si="39"/>
        <v>4</v>
      </c>
    </row>
    <row r="1247" spans="1:22">
      <c r="A1247" t="s">
        <v>1819</v>
      </c>
      <c r="B1247" s="1">
        <v>41080.079282407409</v>
      </c>
      <c r="C1247" s="2">
        <v>20000</v>
      </c>
      <c r="D1247">
        <v>20000</v>
      </c>
      <c r="E1247" t="s">
        <v>1856</v>
      </c>
      <c r="F1247" s="5">
        <v>20000</v>
      </c>
      <c r="G1247" s="5">
        <v>20000</v>
      </c>
      <c r="H1247" s="5">
        <f ca="1">OFFSET(F1247,0,Brains!$D$1,1,1)</f>
        <v>20000</v>
      </c>
      <c r="I1247" t="s">
        <v>1820</v>
      </c>
      <c r="J1247" t="s">
        <v>1882</v>
      </c>
      <c r="K1247" t="s">
        <v>1859</v>
      </c>
      <c r="L1247" t="s">
        <v>1859</v>
      </c>
      <c r="M1247" s="11" t="s">
        <v>3917</v>
      </c>
      <c r="N1247" t="s">
        <v>1873</v>
      </c>
      <c r="O1247" s="7" t="s">
        <v>3920</v>
      </c>
      <c r="P1247" s="17" t="str">
        <f t="shared" ca="1" si="38"/>
        <v>15-29.9K</v>
      </c>
      <c r="Q1247" s="17">
        <v>2.5</v>
      </c>
      <c r="R1247">
        <v>5</v>
      </c>
      <c r="S1247">
        <v>3</v>
      </c>
      <c r="T1247">
        <v>1</v>
      </c>
      <c r="U1247">
        <v>7</v>
      </c>
      <c r="V1247" s="15">
        <f t="shared" ca="1" si="39"/>
        <v>2</v>
      </c>
    </row>
    <row r="1248" spans="1:22">
      <c r="A1248" t="s">
        <v>1065</v>
      </c>
      <c r="B1248" s="1">
        <v>41059.92454861111</v>
      </c>
      <c r="C1248" s="2" t="s">
        <v>3367</v>
      </c>
      <c r="D1248">
        <v>15000</v>
      </c>
      <c r="E1248" t="s">
        <v>1856</v>
      </c>
      <c r="F1248" s="5">
        <v>15000</v>
      </c>
      <c r="G1248" s="5">
        <v>15000</v>
      </c>
      <c r="H1248" s="5">
        <f ca="1">OFFSET(F1248,0,Brains!$D$1,1,1)</f>
        <v>15000</v>
      </c>
      <c r="I1248" t="s">
        <v>1882</v>
      </c>
      <c r="J1248" t="s">
        <v>1882</v>
      </c>
      <c r="K1248" t="s">
        <v>2750</v>
      </c>
      <c r="L1248" t="s">
        <v>2750</v>
      </c>
      <c r="M1248" s="11" t="s">
        <v>3917</v>
      </c>
      <c r="N1248" t="s">
        <v>1873</v>
      </c>
      <c r="O1248" s="7" t="s">
        <v>3920</v>
      </c>
      <c r="P1248" s="17" t="str">
        <f t="shared" ca="1" si="38"/>
        <v>15-29.9K</v>
      </c>
      <c r="Q1248" s="17">
        <v>2.5</v>
      </c>
      <c r="R1248">
        <v>5</v>
      </c>
      <c r="S1248">
        <v>3</v>
      </c>
      <c r="T1248">
        <v>1</v>
      </c>
      <c r="U1248">
        <v>7</v>
      </c>
      <c r="V1248" s="15">
        <f t="shared" ca="1" si="39"/>
        <v>2</v>
      </c>
    </row>
    <row r="1249" spans="1:22">
      <c r="A1249" t="s">
        <v>3588</v>
      </c>
      <c r="B1249" s="1">
        <v>41055.927893518521</v>
      </c>
      <c r="C1249" s="2" t="s">
        <v>3589</v>
      </c>
      <c r="D1249">
        <v>650000</v>
      </c>
      <c r="E1249" t="s">
        <v>1908</v>
      </c>
      <c r="F1249" s="5">
        <v>11575.14584683767</v>
      </c>
      <c r="G1249" s="5">
        <v>32367.294094213721</v>
      </c>
      <c r="H1249" s="5">
        <f ca="1">OFFSET(F1249,0,Brains!$D$1,1,1)</f>
        <v>32367.294094213721</v>
      </c>
      <c r="I1249" t="s">
        <v>3590</v>
      </c>
      <c r="J1249" t="s">
        <v>1882</v>
      </c>
      <c r="K1249" t="s">
        <v>1859</v>
      </c>
      <c r="L1249" t="s">
        <v>1859</v>
      </c>
      <c r="M1249" s="11" t="s">
        <v>3917</v>
      </c>
      <c r="N1249" t="s">
        <v>1873</v>
      </c>
      <c r="O1249" s="7" t="s">
        <v>3920</v>
      </c>
      <c r="P1249" s="17" t="str">
        <f t="shared" ca="1" si="38"/>
        <v>30-49.9K</v>
      </c>
      <c r="Q1249" s="17">
        <v>2.5</v>
      </c>
      <c r="R1249">
        <v>5</v>
      </c>
      <c r="S1249">
        <v>3</v>
      </c>
      <c r="T1249">
        <v>1</v>
      </c>
      <c r="U1249">
        <v>7</v>
      </c>
      <c r="V1249" s="15">
        <f t="shared" ca="1" si="39"/>
        <v>3</v>
      </c>
    </row>
    <row r="1250" spans="1:22">
      <c r="A1250" t="s">
        <v>685</v>
      </c>
      <c r="B1250" s="1">
        <v>41058.594513888886</v>
      </c>
      <c r="C1250" s="2" t="s">
        <v>686</v>
      </c>
      <c r="D1250">
        <v>575000</v>
      </c>
      <c r="E1250" t="s">
        <v>1908</v>
      </c>
      <c r="F1250" s="5">
        <v>10239.552095279476</v>
      </c>
      <c r="G1250" s="5">
        <v>28632.606314112141</v>
      </c>
      <c r="H1250" s="5">
        <f ca="1">OFFSET(F1250,0,Brains!$D$1,1,1)</f>
        <v>28632.606314112141</v>
      </c>
      <c r="I1250" t="s">
        <v>687</v>
      </c>
      <c r="J1250" t="s">
        <v>1882</v>
      </c>
      <c r="K1250" t="s">
        <v>1859</v>
      </c>
      <c r="L1250" t="s">
        <v>1859</v>
      </c>
      <c r="M1250" s="11" t="s">
        <v>3917</v>
      </c>
      <c r="N1250" t="s">
        <v>1873</v>
      </c>
      <c r="O1250" s="7" t="s">
        <v>3920</v>
      </c>
      <c r="P1250" s="17" t="str">
        <f t="shared" ca="1" si="38"/>
        <v>15-29.9K</v>
      </c>
      <c r="Q1250" s="17">
        <v>2.5</v>
      </c>
      <c r="R1250">
        <v>5</v>
      </c>
      <c r="S1250">
        <v>3</v>
      </c>
      <c r="T1250">
        <v>1</v>
      </c>
      <c r="U1250">
        <v>7</v>
      </c>
      <c r="V1250" s="15">
        <f t="shared" ca="1" si="39"/>
        <v>2</v>
      </c>
    </row>
    <row r="1251" spans="1:22">
      <c r="A1251" t="s">
        <v>3190</v>
      </c>
      <c r="B1251" s="1">
        <v>41055.463206018518</v>
      </c>
      <c r="C1251" s="2">
        <v>10000</v>
      </c>
      <c r="D1251">
        <v>10000</v>
      </c>
      <c r="E1251" t="s">
        <v>1856</v>
      </c>
      <c r="F1251" s="5">
        <v>10000</v>
      </c>
      <c r="G1251" s="5">
        <v>10000</v>
      </c>
      <c r="H1251" s="5">
        <f ca="1">OFFSET(F1251,0,Brains!$D$1,1,1)</f>
        <v>10000</v>
      </c>
      <c r="I1251" t="s">
        <v>3191</v>
      </c>
      <c r="J1251" t="s">
        <v>1882</v>
      </c>
      <c r="K1251" t="s">
        <v>3192</v>
      </c>
      <c r="L1251" t="s">
        <v>3192</v>
      </c>
      <c r="M1251" s="11" t="s">
        <v>3917</v>
      </c>
      <c r="N1251" t="s">
        <v>1873</v>
      </c>
      <c r="O1251" s="7" t="s">
        <v>3920</v>
      </c>
      <c r="P1251" s="17" t="str">
        <f t="shared" ca="1" si="38"/>
        <v>0-14.9K</v>
      </c>
      <c r="Q1251" s="17">
        <v>2.5</v>
      </c>
      <c r="R1251">
        <v>5</v>
      </c>
      <c r="S1251">
        <v>3</v>
      </c>
      <c r="T1251">
        <v>1</v>
      </c>
      <c r="U1251">
        <v>7</v>
      </c>
      <c r="V1251" s="15">
        <f t="shared" ca="1" si="39"/>
        <v>1</v>
      </c>
    </row>
    <row r="1252" spans="1:22">
      <c r="A1252" t="s">
        <v>3464</v>
      </c>
      <c r="B1252" s="1">
        <v>41055.710439814815</v>
      </c>
      <c r="C1252" s="2">
        <v>1488000</v>
      </c>
      <c r="D1252">
        <v>1488000</v>
      </c>
      <c r="E1252" t="s">
        <v>3465</v>
      </c>
      <c r="F1252" s="5">
        <v>9171.0323574730355</v>
      </c>
      <c r="G1252" s="5">
        <v>15293.222882279182</v>
      </c>
      <c r="H1252" s="5">
        <f ca="1">OFFSET(F1252,0,Brains!$D$1,1,1)</f>
        <v>15293.222882279182</v>
      </c>
      <c r="I1252" t="s">
        <v>3466</v>
      </c>
      <c r="J1252" t="s">
        <v>1882</v>
      </c>
      <c r="K1252" t="s">
        <v>3467</v>
      </c>
      <c r="L1252" t="s">
        <v>3467</v>
      </c>
      <c r="M1252" s="11" t="s">
        <v>3917</v>
      </c>
      <c r="N1252" t="s">
        <v>1873</v>
      </c>
      <c r="O1252" s="7" t="s">
        <v>3920</v>
      </c>
      <c r="P1252" s="17" t="str">
        <f t="shared" ca="1" si="38"/>
        <v>15-29.9K</v>
      </c>
      <c r="Q1252" s="17">
        <v>2.5</v>
      </c>
      <c r="R1252">
        <v>5</v>
      </c>
      <c r="S1252">
        <v>3</v>
      </c>
      <c r="T1252">
        <v>1</v>
      </c>
      <c r="U1252">
        <v>7</v>
      </c>
      <c r="V1252" s="15">
        <f t="shared" ca="1" si="39"/>
        <v>2</v>
      </c>
    </row>
    <row r="1253" spans="1:22">
      <c r="A1253" t="s">
        <v>752</v>
      </c>
      <c r="B1253" s="1">
        <v>41058.719675925924</v>
      </c>
      <c r="C1253" s="2">
        <v>500000</v>
      </c>
      <c r="D1253">
        <v>500000</v>
      </c>
      <c r="E1253" t="s">
        <v>1908</v>
      </c>
      <c r="F1253" s="5">
        <v>8903.9583437212841</v>
      </c>
      <c r="G1253" s="5">
        <v>24897.918534010558</v>
      </c>
      <c r="H1253" s="5">
        <f ca="1">OFFSET(F1253,0,Brains!$D$1,1,1)</f>
        <v>24897.918534010558</v>
      </c>
      <c r="I1253" t="s">
        <v>753</v>
      </c>
      <c r="J1253" t="s">
        <v>1882</v>
      </c>
      <c r="K1253" t="s">
        <v>1859</v>
      </c>
      <c r="L1253" t="s">
        <v>1859</v>
      </c>
      <c r="M1253" s="11" t="s">
        <v>3917</v>
      </c>
      <c r="N1253" t="s">
        <v>1873</v>
      </c>
      <c r="O1253" s="7" t="s">
        <v>3920</v>
      </c>
      <c r="P1253" s="17" t="str">
        <f t="shared" ca="1" si="38"/>
        <v>15-29.9K</v>
      </c>
      <c r="Q1253" s="17">
        <v>2.5</v>
      </c>
      <c r="R1253">
        <v>5</v>
      </c>
      <c r="S1253">
        <v>3</v>
      </c>
      <c r="T1253">
        <v>1</v>
      </c>
      <c r="U1253">
        <v>7</v>
      </c>
      <c r="V1253" s="15">
        <f t="shared" ca="1" si="39"/>
        <v>2</v>
      </c>
    </row>
    <row r="1254" spans="1:22">
      <c r="A1254" t="s">
        <v>3241</v>
      </c>
      <c r="B1254" s="1">
        <v>41055.513738425929</v>
      </c>
      <c r="C1254" s="2" t="s">
        <v>3242</v>
      </c>
      <c r="D1254">
        <v>432000</v>
      </c>
      <c r="E1254" t="s">
        <v>1908</v>
      </c>
      <c r="F1254" s="5">
        <v>7693.0200089751897</v>
      </c>
      <c r="G1254" s="5">
        <v>21511.80161338512</v>
      </c>
      <c r="H1254" s="5">
        <f ca="1">OFFSET(F1254,0,Brains!$D$1,1,1)</f>
        <v>21511.80161338512</v>
      </c>
      <c r="I1254" t="s">
        <v>3243</v>
      </c>
      <c r="J1254" t="s">
        <v>1882</v>
      </c>
      <c r="K1254" t="s">
        <v>1859</v>
      </c>
      <c r="L1254" t="s">
        <v>1859</v>
      </c>
      <c r="M1254" s="11" t="s">
        <v>3917</v>
      </c>
      <c r="N1254" t="s">
        <v>1873</v>
      </c>
      <c r="O1254" s="7" t="s">
        <v>3920</v>
      </c>
      <c r="P1254" s="17" t="str">
        <f t="shared" ca="1" si="38"/>
        <v>15-29.9K</v>
      </c>
      <c r="Q1254" s="17">
        <v>2.5</v>
      </c>
      <c r="R1254">
        <v>5</v>
      </c>
      <c r="S1254">
        <v>3</v>
      </c>
      <c r="T1254">
        <v>1</v>
      </c>
      <c r="U1254">
        <v>7</v>
      </c>
      <c r="V1254" s="15">
        <f t="shared" ca="1" si="39"/>
        <v>2</v>
      </c>
    </row>
    <row r="1255" spans="1:22">
      <c r="A1255" t="s">
        <v>118</v>
      </c>
      <c r="B1255" s="1">
        <v>41057.539733796293</v>
      </c>
      <c r="C1255" s="2" t="s">
        <v>119</v>
      </c>
      <c r="D1255">
        <v>400000</v>
      </c>
      <c r="E1255" t="s">
        <v>1908</v>
      </c>
      <c r="F1255" s="5">
        <v>7123.1666749770275</v>
      </c>
      <c r="G1255" s="5">
        <v>19918.334827208444</v>
      </c>
      <c r="H1255" s="5">
        <f ca="1">OFFSET(F1255,0,Brains!$D$1,1,1)</f>
        <v>19918.334827208444</v>
      </c>
      <c r="I1255" t="s">
        <v>3574</v>
      </c>
      <c r="J1255" t="s">
        <v>1882</v>
      </c>
      <c r="K1255" t="s">
        <v>1859</v>
      </c>
      <c r="L1255" t="s">
        <v>1859</v>
      </c>
      <c r="M1255" s="11" t="s">
        <v>3917</v>
      </c>
      <c r="N1255" t="s">
        <v>1873</v>
      </c>
      <c r="O1255" s="7" t="s">
        <v>3920</v>
      </c>
      <c r="P1255" s="17" t="str">
        <f t="shared" ca="1" si="38"/>
        <v>15-29.9K</v>
      </c>
      <c r="Q1255" s="17">
        <v>2.5</v>
      </c>
      <c r="R1255">
        <v>5</v>
      </c>
      <c r="S1255">
        <v>3</v>
      </c>
      <c r="T1255">
        <v>1</v>
      </c>
      <c r="U1255">
        <v>7</v>
      </c>
      <c r="V1255" s="15">
        <f t="shared" ca="1" si="39"/>
        <v>2</v>
      </c>
    </row>
    <row r="1256" spans="1:22">
      <c r="A1256" t="s">
        <v>1564</v>
      </c>
      <c r="B1256" s="1">
        <v>41069.500914351855</v>
      </c>
      <c r="C1256" s="2">
        <v>444</v>
      </c>
      <c r="D1256">
        <v>5320</v>
      </c>
      <c r="E1256" t="s">
        <v>1856</v>
      </c>
      <c r="F1256" s="5">
        <v>5320</v>
      </c>
      <c r="G1256" s="5">
        <v>5320</v>
      </c>
      <c r="H1256" s="5">
        <f ca="1">OFFSET(F1256,0,Brains!$D$1,1,1)</f>
        <v>5320</v>
      </c>
      <c r="I1256" t="s">
        <v>1565</v>
      </c>
      <c r="J1256" t="s">
        <v>1882</v>
      </c>
      <c r="K1256" t="s">
        <v>1859</v>
      </c>
      <c r="L1256" t="s">
        <v>1859</v>
      </c>
      <c r="M1256" s="11" t="s">
        <v>3917</v>
      </c>
      <c r="N1256" t="s">
        <v>1873</v>
      </c>
      <c r="O1256" s="7" t="s">
        <v>3920</v>
      </c>
      <c r="P1256" s="17" t="str">
        <f t="shared" ca="1" si="38"/>
        <v>0-14.9K</v>
      </c>
      <c r="Q1256" s="17">
        <v>2.5</v>
      </c>
      <c r="R1256">
        <v>5</v>
      </c>
      <c r="S1256">
        <v>3</v>
      </c>
      <c r="T1256">
        <v>1</v>
      </c>
      <c r="U1256">
        <v>7</v>
      </c>
      <c r="V1256" s="15">
        <f t="shared" ca="1" si="39"/>
        <v>1</v>
      </c>
    </row>
    <row r="1257" spans="1:22">
      <c r="A1257" t="s">
        <v>1717</v>
      </c>
      <c r="B1257" s="1">
        <v>41075.655347222222</v>
      </c>
      <c r="C1257" s="2">
        <v>270000</v>
      </c>
      <c r="D1257">
        <v>270000</v>
      </c>
      <c r="E1257" t="s">
        <v>1908</v>
      </c>
      <c r="F1257" s="5">
        <v>4808.137505609493</v>
      </c>
      <c r="G1257" s="5">
        <v>13444.8760083657</v>
      </c>
      <c r="H1257" s="5">
        <f ca="1">OFFSET(F1257,0,Brains!$D$1,1,1)</f>
        <v>13444.8760083657</v>
      </c>
      <c r="I1257" t="s">
        <v>1988</v>
      </c>
      <c r="J1257" t="s">
        <v>1882</v>
      </c>
      <c r="K1257" t="s">
        <v>1859</v>
      </c>
      <c r="L1257" t="s">
        <v>1859</v>
      </c>
      <c r="M1257" s="11" t="s">
        <v>3917</v>
      </c>
      <c r="N1257" t="s">
        <v>1873</v>
      </c>
      <c r="O1257" s="7" t="s">
        <v>3920</v>
      </c>
      <c r="P1257" s="17" t="str">
        <f t="shared" ca="1" si="38"/>
        <v>0-14.9K</v>
      </c>
      <c r="Q1257" s="17">
        <v>2.5</v>
      </c>
      <c r="R1257">
        <v>5</v>
      </c>
      <c r="S1257">
        <v>3</v>
      </c>
      <c r="T1257">
        <v>1</v>
      </c>
      <c r="U1257">
        <v>7</v>
      </c>
      <c r="V1257" s="15">
        <f t="shared" ca="1" si="39"/>
        <v>1</v>
      </c>
    </row>
    <row r="1258" spans="1:22">
      <c r="A1258" t="s">
        <v>3291</v>
      </c>
      <c r="B1258" s="1">
        <v>41055.542974537035</v>
      </c>
      <c r="C1258" s="2" t="s">
        <v>3292</v>
      </c>
      <c r="D1258">
        <v>250000</v>
      </c>
      <c r="E1258" t="s">
        <v>1908</v>
      </c>
      <c r="F1258" s="5">
        <v>4451.9791718606421</v>
      </c>
      <c r="G1258" s="5">
        <v>12448.959267005279</v>
      </c>
      <c r="H1258" s="5">
        <f ca="1">OFFSET(F1258,0,Brains!$D$1,1,1)</f>
        <v>12448.959267005279</v>
      </c>
      <c r="I1258" t="s">
        <v>3293</v>
      </c>
      <c r="J1258" t="s">
        <v>1882</v>
      </c>
      <c r="K1258" t="s">
        <v>1859</v>
      </c>
      <c r="L1258" t="s">
        <v>1859</v>
      </c>
      <c r="M1258" s="11" t="s">
        <v>3917</v>
      </c>
      <c r="N1258" t="s">
        <v>1873</v>
      </c>
      <c r="O1258" s="7" t="s">
        <v>3920</v>
      </c>
      <c r="P1258" s="17" t="str">
        <f t="shared" ca="1" si="38"/>
        <v>0-14.9K</v>
      </c>
      <c r="Q1258" s="17">
        <v>2.5</v>
      </c>
      <c r="R1258">
        <v>5</v>
      </c>
      <c r="S1258">
        <v>3</v>
      </c>
      <c r="T1258">
        <v>1</v>
      </c>
      <c r="U1258">
        <v>7</v>
      </c>
      <c r="V1258" s="15">
        <f t="shared" ca="1" si="39"/>
        <v>1</v>
      </c>
    </row>
    <row r="1259" spans="1:22">
      <c r="A1259" t="s">
        <v>509</v>
      </c>
      <c r="B1259" s="1">
        <v>41058.046342592592</v>
      </c>
      <c r="C1259" s="2">
        <v>4400</v>
      </c>
      <c r="D1259">
        <v>4400</v>
      </c>
      <c r="E1259" t="s">
        <v>1856</v>
      </c>
      <c r="F1259" s="5">
        <v>4400</v>
      </c>
      <c r="G1259" s="5">
        <v>4400</v>
      </c>
      <c r="H1259" s="5">
        <f ca="1">OFFSET(F1259,0,Brains!$D$1,1,1)</f>
        <v>4400</v>
      </c>
      <c r="I1259" t="s">
        <v>510</v>
      </c>
      <c r="J1259" t="s">
        <v>1882</v>
      </c>
      <c r="K1259" t="s">
        <v>511</v>
      </c>
      <c r="L1259" t="s">
        <v>511</v>
      </c>
      <c r="M1259" s="11" t="s">
        <v>3917</v>
      </c>
      <c r="N1259" t="s">
        <v>1873</v>
      </c>
      <c r="O1259" s="7" t="s">
        <v>3920</v>
      </c>
      <c r="P1259" s="17" t="str">
        <f t="shared" ca="1" si="38"/>
        <v>0-14.9K</v>
      </c>
      <c r="Q1259" s="17">
        <v>2.5</v>
      </c>
      <c r="R1259">
        <v>5</v>
      </c>
      <c r="S1259">
        <v>3</v>
      </c>
      <c r="T1259">
        <v>1</v>
      </c>
      <c r="U1259">
        <v>7</v>
      </c>
      <c r="V1259" s="15">
        <f t="shared" ca="1" si="39"/>
        <v>1</v>
      </c>
    </row>
    <row r="1260" spans="1:22">
      <c r="A1260" t="s">
        <v>186</v>
      </c>
      <c r="B1260" s="1">
        <v>41057.614189814813</v>
      </c>
      <c r="C1260" s="2" t="s">
        <v>187</v>
      </c>
      <c r="D1260">
        <v>200000</v>
      </c>
      <c r="E1260" t="s">
        <v>1908</v>
      </c>
      <c r="F1260" s="5">
        <v>3561.5833374885137</v>
      </c>
      <c r="G1260" s="5">
        <v>9959.167413604222</v>
      </c>
      <c r="H1260" s="5">
        <f ca="1">OFFSET(F1260,0,Brains!$D$1,1,1)</f>
        <v>9959.167413604222</v>
      </c>
      <c r="I1260" t="s">
        <v>188</v>
      </c>
      <c r="J1260" t="s">
        <v>1882</v>
      </c>
      <c r="K1260" t="s">
        <v>1859</v>
      </c>
      <c r="L1260" t="s">
        <v>1859</v>
      </c>
      <c r="M1260" s="11" t="s">
        <v>3917</v>
      </c>
      <c r="N1260" t="s">
        <v>1873</v>
      </c>
      <c r="O1260" s="7" t="s">
        <v>3920</v>
      </c>
      <c r="P1260" s="17" t="str">
        <f t="shared" ca="1" si="38"/>
        <v>0-14.9K</v>
      </c>
      <c r="Q1260" s="17">
        <v>2.5</v>
      </c>
      <c r="R1260">
        <v>5</v>
      </c>
      <c r="S1260">
        <v>3</v>
      </c>
      <c r="T1260">
        <v>1</v>
      </c>
      <c r="U1260">
        <v>7</v>
      </c>
      <c r="V1260" s="15">
        <f t="shared" ca="1" si="39"/>
        <v>1</v>
      </c>
    </row>
    <row r="1261" spans="1:22">
      <c r="A1261" t="s">
        <v>316</v>
      </c>
      <c r="B1261" s="1">
        <v>41057.753622685188</v>
      </c>
      <c r="C1261" s="2">
        <v>150252</v>
      </c>
      <c r="D1261">
        <v>150252</v>
      </c>
      <c r="E1261" t="s">
        <v>1908</v>
      </c>
      <c r="F1261" s="5">
        <v>2675.675098121621</v>
      </c>
      <c r="G1261" s="5">
        <v>7481.924111144308</v>
      </c>
      <c r="H1261" s="5">
        <f ca="1">OFFSET(F1261,0,Brains!$D$1,1,1)</f>
        <v>7481.924111144308</v>
      </c>
      <c r="I1261" t="s">
        <v>317</v>
      </c>
      <c r="J1261" t="s">
        <v>1882</v>
      </c>
      <c r="K1261" t="s">
        <v>1859</v>
      </c>
      <c r="L1261" t="s">
        <v>1859</v>
      </c>
      <c r="M1261" s="11" t="s">
        <v>3917</v>
      </c>
      <c r="N1261" t="s">
        <v>1873</v>
      </c>
      <c r="O1261" s="7" t="s">
        <v>3920</v>
      </c>
      <c r="P1261" s="17" t="str">
        <f t="shared" ca="1" si="38"/>
        <v>0-14.9K</v>
      </c>
      <c r="Q1261" s="17">
        <v>2.5</v>
      </c>
      <c r="R1261">
        <v>5</v>
      </c>
      <c r="S1261">
        <v>3</v>
      </c>
      <c r="T1261">
        <v>1</v>
      </c>
      <c r="U1261">
        <v>7</v>
      </c>
      <c r="V1261" s="15">
        <f t="shared" ca="1" si="39"/>
        <v>1</v>
      </c>
    </row>
    <row r="1262" spans="1:22">
      <c r="A1262" t="s">
        <v>3235</v>
      </c>
      <c r="B1262" s="1">
        <v>41055.503877314812</v>
      </c>
      <c r="C1262" s="2">
        <v>150000</v>
      </c>
      <c r="D1262">
        <v>150000</v>
      </c>
      <c r="E1262" t="s">
        <v>1908</v>
      </c>
      <c r="F1262" s="5">
        <v>2671.1875031163854</v>
      </c>
      <c r="G1262" s="5">
        <v>7469.375560203167</v>
      </c>
      <c r="H1262" s="5">
        <f ca="1">OFFSET(F1262,0,Brains!$D$1,1,1)</f>
        <v>7469.375560203167</v>
      </c>
      <c r="I1262" t="s">
        <v>3236</v>
      </c>
      <c r="J1262" t="s">
        <v>1882</v>
      </c>
      <c r="K1262" t="s">
        <v>1859</v>
      </c>
      <c r="L1262" t="s">
        <v>1859</v>
      </c>
      <c r="M1262" s="11" t="s">
        <v>3917</v>
      </c>
      <c r="N1262" t="s">
        <v>1873</v>
      </c>
      <c r="O1262" s="7" t="s">
        <v>3920</v>
      </c>
      <c r="P1262" s="17" t="str">
        <f t="shared" ca="1" si="38"/>
        <v>0-14.9K</v>
      </c>
      <c r="Q1262" s="17">
        <v>2.5</v>
      </c>
      <c r="R1262">
        <v>5</v>
      </c>
      <c r="S1262">
        <v>3</v>
      </c>
      <c r="T1262">
        <v>1</v>
      </c>
      <c r="U1262">
        <v>7</v>
      </c>
      <c r="V1262" s="15">
        <f t="shared" ca="1" si="39"/>
        <v>1</v>
      </c>
    </row>
    <row r="1263" spans="1:22">
      <c r="A1263" t="s">
        <v>3592</v>
      </c>
      <c r="B1263" s="1">
        <v>41055.933078703703</v>
      </c>
      <c r="C1263" s="2">
        <v>516000</v>
      </c>
      <c r="D1263">
        <v>516000</v>
      </c>
      <c r="E1263" t="s">
        <v>1908</v>
      </c>
      <c r="F1263" s="5">
        <v>9188.8850107203652</v>
      </c>
      <c r="G1263" s="5">
        <v>25694.651927098894</v>
      </c>
      <c r="H1263" s="5">
        <f ca="1">OFFSET(F1263,0,Brains!$D$1,1,1)</f>
        <v>25694.651927098894</v>
      </c>
      <c r="I1263" t="s">
        <v>3593</v>
      </c>
      <c r="J1263" t="s">
        <v>1882</v>
      </c>
      <c r="K1263" t="s">
        <v>1859</v>
      </c>
      <c r="L1263" t="s">
        <v>1859</v>
      </c>
      <c r="M1263" s="11" t="s">
        <v>3918</v>
      </c>
      <c r="N1263" t="s">
        <v>1860</v>
      </c>
      <c r="O1263" s="7" t="s">
        <v>3920</v>
      </c>
      <c r="P1263" s="17" t="str">
        <f t="shared" ca="1" si="38"/>
        <v>15-29.9K</v>
      </c>
      <c r="Q1263" s="17">
        <v>5</v>
      </c>
      <c r="R1263">
        <v>0</v>
      </c>
      <c r="S1263">
        <v>4</v>
      </c>
      <c r="T1263">
        <v>1</v>
      </c>
      <c r="U1263">
        <v>7</v>
      </c>
      <c r="V1263" s="15">
        <f t="shared" ca="1" si="39"/>
        <v>2</v>
      </c>
    </row>
    <row r="1264" spans="1:22">
      <c r="A1264" t="s">
        <v>44</v>
      </c>
      <c r="B1264" s="1">
        <v>41057.40351851852</v>
      </c>
      <c r="C1264" s="2">
        <v>204000</v>
      </c>
      <c r="D1264">
        <v>204000</v>
      </c>
      <c r="E1264" t="s">
        <v>1908</v>
      </c>
      <c r="F1264" s="5">
        <v>3632.815004238284</v>
      </c>
      <c r="G1264" s="5">
        <v>10158.350761876307</v>
      </c>
      <c r="H1264" s="5">
        <f ca="1">OFFSET(F1264,0,Brains!$D$1,1,1)</f>
        <v>10158.350761876307</v>
      </c>
      <c r="I1264" t="s">
        <v>45</v>
      </c>
      <c r="J1264" t="s">
        <v>1882</v>
      </c>
      <c r="K1264" t="s">
        <v>1859</v>
      </c>
      <c r="L1264" t="s">
        <v>1859</v>
      </c>
      <c r="M1264" s="11" t="s">
        <v>3918</v>
      </c>
      <c r="N1264" t="s">
        <v>1860</v>
      </c>
      <c r="O1264" s="7" t="s">
        <v>3920</v>
      </c>
      <c r="P1264" s="17" t="str">
        <f t="shared" ca="1" si="38"/>
        <v>0-14.9K</v>
      </c>
      <c r="Q1264" s="17">
        <v>5</v>
      </c>
      <c r="R1264">
        <v>0</v>
      </c>
      <c r="S1264">
        <v>4</v>
      </c>
      <c r="T1264">
        <v>1</v>
      </c>
      <c r="U1264">
        <v>7</v>
      </c>
      <c r="V1264" s="15">
        <f t="shared" ca="1" si="39"/>
        <v>1</v>
      </c>
    </row>
    <row r="1265" spans="1:22">
      <c r="A1265" t="s">
        <v>890</v>
      </c>
      <c r="B1265" s="1">
        <v>41058.972696759258</v>
      </c>
      <c r="C1265" s="2">
        <v>40000</v>
      </c>
      <c r="D1265">
        <v>40000</v>
      </c>
      <c r="E1265" t="s">
        <v>1856</v>
      </c>
      <c r="F1265" s="5">
        <v>40000</v>
      </c>
      <c r="G1265" s="5">
        <v>40000</v>
      </c>
      <c r="H1265" s="5">
        <f ca="1">OFFSET(F1265,0,Brains!$D$1,1,1)</f>
        <v>40000</v>
      </c>
      <c r="I1265" t="s">
        <v>891</v>
      </c>
      <c r="J1265" t="s">
        <v>1882</v>
      </c>
      <c r="K1265" t="s">
        <v>1869</v>
      </c>
      <c r="L1265" t="s">
        <v>1869</v>
      </c>
      <c r="M1265" s="11" t="s">
        <v>3918</v>
      </c>
      <c r="N1265" t="s">
        <v>1860</v>
      </c>
      <c r="O1265" s="7" t="s">
        <v>3920</v>
      </c>
      <c r="P1265" s="17" t="str">
        <f t="shared" ca="1" si="38"/>
        <v>30-49.9K</v>
      </c>
      <c r="Q1265" s="17">
        <v>5</v>
      </c>
      <c r="R1265">
        <v>1</v>
      </c>
      <c r="S1265">
        <v>4</v>
      </c>
      <c r="T1265">
        <v>1</v>
      </c>
      <c r="U1265">
        <v>7</v>
      </c>
      <c r="V1265" s="15">
        <f t="shared" ca="1" si="39"/>
        <v>3</v>
      </c>
    </row>
    <row r="1266" spans="1:22">
      <c r="A1266" t="s">
        <v>3676</v>
      </c>
      <c r="B1266" s="1">
        <v>41056.13853009259</v>
      </c>
      <c r="C1266" s="2">
        <v>32000</v>
      </c>
      <c r="D1266">
        <v>32000</v>
      </c>
      <c r="E1266" t="s">
        <v>1856</v>
      </c>
      <c r="F1266" s="5">
        <v>32000</v>
      </c>
      <c r="G1266" s="5">
        <v>32000</v>
      </c>
      <c r="H1266" s="5">
        <f ca="1">OFFSET(F1266,0,Brains!$D$1,1,1)</f>
        <v>32000</v>
      </c>
      <c r="I1266" t="s">
        <v>3677</v>
      </c>
      <c r="J1266" t="s">
        <v>1882</v>
      </c>
      <c r="K1266" t="s">
        <v>1869</v>
      </c>
      <c r="L1266" t="s">
        <v>1869</v>
      </c>
      <c r="M1266" s="11" t="s">
        <v>3918</v>
      </c>
      <c r="N1266" t="s">
        <v>1860</v>
      </c>
      <c r="O1266" s="7" t="s">
        <v>3920</v>
      </c>
      <c r="P1266" s="17" t="str">
        <f t="shared" ca="1" si="38"/>
        <v>30-49.9K</v>
      </c>
      <c r="Q1266" s="17">
        <v>5</v>
      </c>
      <c r="R1266">
        <v>1</v>
      </c>
      <c r="S1266">
        <v>4</v>
      </c>
      <c r="T1266">
        <v>1</v>
      </c>
      <c r="U1266">
        <v>7</v>
      </c>
      <c r="V1266" s="15">
        <f t="shared" ca="1" si="39"/>
        <v>3</v>
      </c>
    </row>
    <row r="1267" spans="1:22">
      <c r="A1267" t="s">
        <v>1525</v>
      </c>
      <c r="B1267" s="1">
        <v>41068.149201388886</v>
      </c>
      <c r="C1267" s="2">
        <v>30000</v>
      </c>
      <c r="D1267">
        <v>30000</v>
      </c>
      <c r="E1267" t="s">
        <v>1856</v>
      </c>
      <c r="F1267" s="5">
        <v>30000</v>
      </c>
      <c r="G1267" s="5">
        <v>30000</v>
      </c>
      <c r="H1267" s="5">
        <f ca="1">OFFSET(F1267,0,Brains!$D$1,1,1)</f>
        <v>30000</v>
      </c>
      <c r="I1267" t="s">
        <v>299</v>
      </c>
      <c r="J1267" t="s">
        <v>1882</v>
      </c>
      <c r="K1267" t="s">
        <v>1869</v>
      </c>
      <c r="L1267" t="s">
        <v>1869</v>
      </c>
      <c r="M1267" s="11" t="s">
        <v>3918</v>
      </c>
      <c r="N1267" t="s">
        <v>1860</v>
      </c>
      <c r="O1267" s="7" t="s">
        <v>3920</v>
      </c>
      <c r="P1267" s="17" t="str">
        <f t="shared" ca="1" si="38"/>
        <v>30-49.9K</v>
      </c>
      <c r="Q1267" s="17">
        <v>5</v>
      </c>
      <c r="R1267">
        <v>1</v>
      </c>
      <c r="S1267">
        <v>4</v>
      </c>
      <c r="T1267">
        <v>1</v>
      </c>
      <c r="U1267">
        <v>7</v>
      </c>
      <c r="V1267" s="15">
        <f t="shared" ca="1" si="39"/>
        <v>3</v>
      </c>
    </row>
    <row r="1268" spans="1:22">
      <c r="A1268" t="s">
        <v>1268</v>
      </c>
      <c r="B1268" s="1">
        <v>41061.930856481478</v>
      </c>
      <c r="C1268" s="2" t="s">
        <v>1269</v>
      </c>
      <c r="D1268">
        <v>20000</v>
      </c>
      <c r="E1268" t="s">
        <v>1856</v>
      </c>
      <c r="F1268" s="5">
        <v>20000</v>
      </c>
      <c r="G1268" s="5">
        <v>20000</v>
      </c>
      <c r="H1268" s="5">
        <f ca="1">OFFSET(F1268,0,Brains!$D$1,1,1)</f>
        <v>20000</v>
      </c>
      <c r="I1268" t="s">
        <v>1882</v>
      </c>
      <c r="J1268" t="s">
        <v>1882</v>
      </c>
      <c r="K1268" t="s">
        <v>1859</v>
      </c>
      <c r="L1268" t="s">
        <v>1859</v>
      </c>
      <c r="M1268" s="11" t="s">
        <v>3918</v>
      </c>
      <c r="N1268" t="s">
        <v>1860</v>
      </c>
      <c r="O1268" s="7" t="s">
        <v>3920</v>
      </c>
      <c r="P1268" s="17" t="str">
        <f t="shared" ca="1" si="38"/>
        <v>15-29.9K</v>
      </c>
      <c r="Q1268" s="17">
        <v>5</v>
      </c>
      <c r="R1268">
        <v>1</v>
      </c>
      <c r="S1268">
        <v>4</v>
      </c>
      <c r="T1268">
        <v>1</v>
      </c>
      <c r="U1268">
        <v>7</v>
      </c>
      <c r="V1268" s="15">
        <f t="shared" ca="1" si="39"/>
        <v>2</v>
      </c>
    </row>
    <row r="1269" spans="1:22">
      <c r="A1269" t="s">
        <v>525</v>
      </c>
      <c r="B1269" s="1">
        <v>41058.074756944443</v>
      </c>
      <c r="C1269" s="2">
        <v>750</v>
      </c>
      <c r="D1269">
        <v>9000</v>
      </c>
      <c r="E1269" t="s">
        <v>1856</v>
      </c>
      <c r="F1269" s="5">
        <v>9000</v>
      </c>
      <c r="G1269" s="5">
        <v>9000</v>
      </c>
      <c r="H1269" s="5">
        <f ca="1">OFFSET(F1269,0,Brains!$D$1,1,1)</f>
        <v>9000</v>
      </c>
      <c r="I1269" t="s">
        <v>526</v>
      </c>
      <c r="J1269" t="s">
        <v>1882</v>
      </c>
      <c r="K1269" t="s">
        <v>1859</v>
      </c>
      <c r="L1269" t="s">
        <v>1859</v>
      </c>
      <c r="M1269" s="11" t="s">
        <v>3918</v>
      </c>
      <c r="N1269" t="s">
        <v>1860</v>
      </c>
      <c r="O1269" s="7" t="s">
        <v>3920</v>
      </c>
      <c r="P1269" s="17" t="str">
        <f t="shared" ca="1" si="38"/>
        <v>0-14.9K</v>
      </c>
      <c r="Q1269" s="17">
        <v>5</v>
      </c>
      <c r="R1269">
        <v>1</v>
      </c>
      <c r="S1269">
        <v>4</v>
      </c>
      <c r="T1269">
        <v>1</v>
      </c>
      <c r="U1269">
        <v>7</v>
      </c>
      <c r="V1269" s="15">
        <f t="shared" ca="1" si="39"/>
        <v>1</v>
      </c>
    </row>
    <row r="1270" spans="1:22">
      <c r="A1270" t="s">
        <v>536</v>
      </c>
      <c r="B1270" s="1">
        <v>41058.098761574074</v>
      </c>
      <c r="C1270" s="2">
        <v>400000</v>
      </c>
      <c r="D1270">
        <v>400000</v>
      </c>
      <c r="E1270" t="s">
        <v>1908</v>
      </c>
      <c r="F1270" s="5">
        <v>7123.1666749770275</v>
      </c>
      <c r="G1270" s="5">
        <v>19918.334827208444</v>
      </c>
      <c r="H1270" s="5">
        <f ca="1">OFFSET(F1270,0,Brains!$D$1,1,1)</f>
        <v>19918.334827208444</v>
      </c>
      <c r="I1270" t="s">
        <v>537</v>
      </c>
      <c r="J1270" t="s">
        <v>1882</v>
      </c>
      <c r="K1270" t="s">
        <v>1859</v>
      </c>
      <c r="L1270" t="s">
        <v>1859</v>
      </c>
      <c r="M1270" s="11" t="s">
        <v>3918</v>
      </c>
      <c r="N1270" t="s">
        <v>1860</v>
      </c>
      <c r="O1270" s="7" t="s">
        <v>3920</v>
      </c>
      <c r="P1270" s="17" t="str">
        <f t="shared" ca="1" si="38"/>
        <v>15-29.9K</v>
      </c>
      <c r="Q1270" s="17">
        <v>5</v>
      </c>
      <c r="R1270">
        <v>1</v>
      </c>
      <c r="S1270">
        <v>4</v>
      </c>
      <c r="T1270">
        <v>1</v>
      </c>
      <c r="U1270">
        <v>7</v>
      </c>
      <c r="V1270" s="15">
        <f t="shared" ca="1" si="39"/>
        <v>2</v>
      </c>
    </row>
    <row r="1271" spans="1:22">
      <c r="A1271" t="s">
        <v>3658</v>
      </c>
      <c r="B1271" s="1">
        <v>41056.044976851852</v>
      </c>
      <c r="C1271" s="2">
        <v>5000</v>
      </c>
      <c r="D1271">
        <v>5000</v>
      </c>
      <c r="E1271" t="s">
        <v>1856</v>
      </c>
      <c r="F1271" s="5">
        <v>5000</v>
      </c>
      <c r="G1271" s="5">
        <v>5000</v>
      </c>
      <c r="H1271" s="5">
        <f ca="1">OFFSET(F1271,0,Brains!$D$1,1,1)</f>
        <v>5000</v>
      </c>
      <c r="I1271" t="s">
        <v>3659</v>
      </c>
      <c r="J1271" t="s">
        <v>1882</v>
      </c>
      <c r="K1271" t="s">
        <v>1859</v>
      </c>
      <c r="L1271" t="s">
        <v>1859</v>
      </c>
      <c r="M1271" s="11" t="s">
        <v>3918</v>
      </c>
      <c r="N1271" t="s">
        <v>1860</v>
      </c>
      <c r="O1271" s="7" t="s">
        <v>3920</v>
      </c>
      <c r="P1271" s="17" t="str">
        <f t="shared" ca="1" si="38"/>
        <v>0-14.9K</v>
      </c>
      <c r="Q1271" s="17">
        <v>5</v>
      </c>
      <c r="R1271">
        <v>1</v>
      </c>
      <c r="S1271">
        <v>4</v>
      </c>
      <c r="T1271">
        <v>1</v>
      </c>
      <c r="U1271">
        <v>7</v>
      </c>
      <c r="V1271" s="15">
        <f t="shared" ca="1" si="39"/>
        <v>1</v>
      </c>
    </row>
    <row r="1272" spans="1:22">
      <c r="A1272" t="s">
        <v>480</v>
      </c>
      <c r="B1272" s="1">
        <v>41058.004861111112</v>
      </c>
      <c r="C1272" s="2">
        <v>250000</v>
      </c>
      <c r="D1272">
        <v>250000</v>
      </c>
      <c r="E1272" t="s">
        <v>1908</v>
      </c>
      <c r="F1272" s="5">
        <v>4451.9791718606421</v>
      </c>
      <c r="G1272" s="5">
        <v>12448.959267005279</v>
      </c>
      <c r="H1272" s="5">
        <f ca="1">OFFSET(F1272,0,Brains!$D$1,1,1)</f>
        <v>12448.959267005279</v>
      </c>
      <c r="I1272" t="s">
        <v>481</v>
      </c>
      <c r="J1272" t="s">
        <v>1882</v>
      </c>
      <c r="K1272" t="s">
        <v>1859</v>
      </c>
      <c r="L1272" t="s">
        <v>1859</v>
      </c>
      <c r="M1272" s="11" t="s">
        <v>3918</v>
      </c>
      <c r="N1272" t="s">
        <v>1860</v>
      </c>
      <c r="O1272" s="7" t="s">
        <v>3920</v>
      </c>
      <c r="P1272" s="17" t="str">
        <f t="shared" ca="1" si="38"/>
        <v>0-14.9K</v>
      </c>
      <c r="Q1272" s="17">
        <v>5</v>
      </c>
      <c r="R1272">
        <v>1</v>
      </c>
      <c r="S1272">
        <v>4</v>
      </c>
      <c r="T1272">
        <v>1</v>
      </c>
      <c r="U1272">
        <v>7</v>
      </c>
      <c r="V1272" s="15">
        <f t="shared" ca="1" si="39"/>
        <v>1</v>
      </c>
    </row>
    <row r="1273" spans="1:22">
      <c r="A1273" t="s">
        <v>3215</v>
      </c>
      <c r="B1273" s="1">
        <v>41055.486504629633</v>
      </c>
      <c r="C1273" s="2" t="s">
        <v>3216</v>
      </c>
      <c r="D1273">
        <v>4000000</v>
      </c>
      <c r="E1273" t="s">
        <v>1908</v>
      </c>
      <c r="F1273" s="5">
        <v>71231.666749770273</v>
      </c>
      <c r="G1273" s="5">
        <v>199183.34827208446</v>
      </c>
      <c r="H1273" s="5">
        <f ca="1">OFFSET(F1273,0,Brains!$D$1,1,1)</f>
        <v>199183.34827208446</v>
      </c>
      <c r="I1273" t="s">
        <v>3217</v>
      </c>
      <c r="J1273" t="s">
        <v>1882</v>
      </c>
      <c r="K1273" t="s">
        <v>1859</v>
      </c>
      <c r="L1273" t="s">
        <v>1859</v>
      </c>
      <c r="M1273" s="11" t="s">
        <v>3918</v>
      </c>
      <c r="N1273" t="s">
        <v>1860</v>
      </c>
      <c r="O1273" s="7" t="s">
        <v>3920</v>
      </c>
      <c r="P1273" s="17" t="str">
        <f t="shared" ca="1" si="38"/>
        <v>150-249.9K</v>
      </c>
      <c r="Q1273" s="17">
        <v>5</v>
      </c>
      <c r="R1273">
        <v>1.5</v>
      </c>
      <c r="S1273">
        <v>4</v>
      </c>
      <c r="T1273">
        <v>1</v>
      </c>
      <c r="U1273">
        <v>7</v>
      </c>
      <c r="V1273" s="15">
        <f t="shared" ca="1" si="39"/>
        <v>7</v>
      </c>
    </row>
    <row r="1274" spans="1:22">
      <c r="A1274" t="s">
        <v>785</v>
      </c>
      <c r="B1274" s="1">
        <v>41058.776979166665</v>
      </c>
      <c r="C1274" s="2">
        <v>125000</v>
      </c>
      <c r="D1274">
        <v>125000</v>
      </c>
      <c r="E1274" t="s">
        <v>1856</v>
      </c>
      <c r="F1274" s="5">
        <v>125000</v>
      </c>
      <c r="G1274" s="5">
        <v>125000</v>
      </c>
      <c r="H1274" s="5">
        <f ca="1">OFFSET(F1274,0,Brains!$D$1,1,1)</f>
        <v>125000</v>
      </c>
      <c r="I1274" t="s">
        <v>786</v>
      </c>
      <c r="J1274" t="s">
        <v>1882</v>
      </c>
      <c r="K1274" t="s">
        <v>1869</v>
      </c>
      <c r="L1274" t="s">
        <v>1869</v>
      </c>
      <c r="M1274" s="11" t="s">
        <v>3918</v>
      </c>
      <c r="N1274" t="s">
        <v>1860</v>
      </c>
      <c r="O1274" s="7" t="s">
        <v>3920</v>
      </c>
      <c r="P1274" s="17" t="str">
        <f t="shared" ca="1" si="38"/>
        <v>100-149.9K</v>
      </c>
      <c r="Q1274" s="17">
        <v>5</v>
      </c>
      <c r="R1274">
        <v>2</v>
      </c>
      <c r="S1274">
        <v>4</v>
      </c>
      <c r="T1274">
        <v>1</v>
      </c>
      <c r="U1274">
        <v>7</v>
      </c>
      <c r="V1274" s="15">
        <f t="shared" ca="1" si="39"/>
        <v>6</v>
      </c>
    </row>
    <row r="1275" spans="1:22">
      <c r="A1275" t="s">
        <v>463</v>
      </c>
      <c r="B1275" s="1">
        <v>41057.981932870367</v>
      </c>
      <c r="C1275" s="2">
        <v>88000</v>
      </c>
      <c r="D1275">
        <v>88000</v>
      </c>
      <c r="E1275" t="s">
        <v>1856</v>
      </c>
      <c r="F1275" s="5">
        <v>88000</v>
      </c>
      <c r="G1275" s="5">
        <v>88000</v>
      </c>
      <c r="H1275" s="5">
        <f ca="1">OFFSET(F1275,0,Brains!$D$1,1,1)</f>
        <v>88000</v>
      </c>
      <c r="I1275" t="s">
        <v>464</v>
      </c>
      <c r="J1275" t="s">
        <v>1882</v>
      </c>
      <c r="K1275" t="s">
        <v>1869</v>
      </c>
      <c r="L1275" t="s">
        <v>1869</v>
      </c>
      <c r="M1275" s="11" t="s">
        <v>3918</v>
      </c>
      <c r="N1275" t="s">
        <v>1860</v>
      </c>
      <c r="O1275" s="7" t="s">
        <v>3920</v>
      </c>
      <c r="P1275" s="17" t="str">
        <f t="shared" ca="1" si="38"/>
        <v>75-99.9K</v>
      </c>
      <c r="Q1275" s="17">
        <v>5</v>
      </c>
      <c r="R1275">
        <v>2</v>
      </c>
      <c r="S1275">
        <v>4</v>
      </c>
      <c r="T1275">
        <v>1</v>
      </c>
      <c r="U1275">
        <v>7</v>
      </c>
      <c r="V1275" s="15">
        <f t="shared" ca="1" si="39"/>
        <v>5</v>
      </c>
    </row>
    <row r="1276" spans="1:22">
      <c r="A1276" t="s">
        <v>1648</v>
      </c>
      <c r="B1276" s="1">
        <v>41073.016331018516</v>
      </c>
      <c r="C1276" s="2">
        <v>80000</v>
      </c>
      <c r="D1276">
        <v>80000</v>
      </c>
      <c r="E1276" t="s">
        <v>1856</v>
      </c>
      <c r="F1276" s="5">
        <v>80000</v>
      </c>
      <c r="G1276" s="5">
        <v>80000</v>
      </c>
      <c r="H1276" s="5">
        <f ca="1">OFFSET(F1276,0,Brains!$D$1,1,1)</f>
        <v>80000</v>
      </c>
      <c r="I1276" t="s">
        <v>1649</v>
      </c>
      <c r="J1276" t="s">
        <v>1882</v>
      </c>
      <c r="K1276" t="s">
        <v>1869</v>
      </c>
      <c r="L1276" t="s">
        <v>1869</v>
      </c>
      <c r="M1276" s="11" t="s">
        <v>3918</v>
      </c>
      <c r="N1276" t="s">
        <v>1860</v>
      </c>
      <c r="O1276" s="7" t="s">
        <v>3920</v>
      </c>
      <c r="P1276" s="17" t="str">
        <f t="shared" ca="1" si="38"/>
        <v>75-99.9K</v>
      </c>
      <c r="Q1276" s="17">
        <v>5</v>
      </c>
      <c r="R1276">
        <v>2</v>
      </c>
      <c r="S1276">
        <v>4</v>
      </c>
      <c r="T1276">
        <v>1</v>
      </c>
      <c r="U1276">
        <v>7</v>
      </c>
      <c r="V1276" s="15">
        <f t="shared" ca="1" si="39"/>
        <v>5</v>
      </c>
    </row>
    <row r="1277" spans="1:22">
      <c r="A1277" t="s">
        <v>1559</v>
      </c>
      <c r="B1277" s="1">
        <v>41069.05259259259</v>
      </c>
      <c r="C1277" s="2">
        <v>65000</v>
      </c>
      <c r="D1277">
        <v>65000</v>
      </c>
      <c r="E1277" t="s">
        <v>1856</v>
      </c>
      <c r="F1277" s="5">
        <v>65000</v>
      </c>
      <c r="G1277" s="5">
        <v>65000</v>
      </c>
      <c r="H1277" s="5">
        <f ca="1">OFFSET(F1277,0,Brains!$D$1,1,1)</f>
        <v>65000</v>
      </c>
      <c r="I1277" t="s">
        <v>1560</v>
      </c>
      <c r="J1277" t="s">
        <v>1882</v>
      </c>
      <c r="K1277" t="s">
        <v>1869</v>
      </c>
      <c r="L1277" t="s">
        <v>1869</v>
      </c>
      <c r="M1277" s="11" t="s">
        <v>3918</v>
      </c>
      <c r="N1277" t="s">
        <v>1860</v>
      </c>
      <c r="O1277" s="7" t="s">
        <v>3920</v>
      </c>
      <c r="P1277" s="17" t="str">
        <f t="shared" ca="1" si="38"/>
        <v>50-74.9K</v>
      </c>
      <c r="Q1277" s="17">
        <v>5</v>
      </c>
      <c r="R1277">
        <v>2</v>
      </c>
      <c r="S1277">
        <v>4</v>
      </c>
      <c r="T1277">
        <v>1</v>
      </c>
      <c r="U1277">
        <v>7</v>
      </c>
      <c r="V1277" s="15">
        <f t="shared" ca="1" si="39"/>
        <v>4</v>
      </c>
    </row>
    <row r="1278" spans="1:22">
      <c r="A1278" t="s">
        <v>49</v>
      </c>
      <c r="B1278" s="1">
        <v>41057.427395833336</v>
      </c>
      <c r="C1278" s="2" t="s">
        <v>50</v>
      </c>
      <c r="D1278">
        <v>48000</v>
      </c>
      <c r="E1278" t="s">
        <v>51</v>
      </c>
      <c r="F1278" s="5">
        <v>15206.427249917633</v>
      </c>
      <c r="G1278" s="5">
        <v>24742.268041237116</v>
      </c>
      <c r="H1278" s="5">
        <f ca="1">OFFSET(F1278,0,Brains!$D$1,1,1)</f>
        <v>24742.268041237116</v>
      </c>
      <c r="I1278" t="s">
        <v>52</v>
      </c>
      <c r="J1278" t="s">
        <v>1882</v>
      </c>
      <c r="K1278" t="s">
        <v>53</v>
      </c>
      <c r="L1278" t="s">
        <v>53</v>
      </c>
      <c r="M1278" s="11" t="s">
        <v>3918</v>
      </c>
      <c r="N1278" t="s">
        <v>1860</v>
      </c>
      <c r="O1278" s="7" t="s">
        <v>3920</v>
      </c>
      <c r="P1278" s="17" t="str">
        <f t="shared" ca="1" si="38"/>
        <v>15-29.9K</v>
      </c>
      <c r="Q1278" s="17">
        <v>5</v>
      </c>
      <c r="R1278">
        <v>2</v>
      </c>
      <c r="S1278">
        <v>4</v>
      </c>
      <c r="T1278">
        <v>1</v>
      </c>
      <c r="U1278">
        <v>7</v>
      </c>
      <c r="V1278" s="15">
        <f t="shared" ca="1" si="39"/>
        <v>2</v>
      </c>
    </row>
    <row r="1279" spans="1:22">
      <c r="A1279" t="s">
        <v>3364</v>
      </c>
      <c r="B1279" s="1">
        <v>41055.595960648148</v>
      </c>
      <c r="C1279" s="2">
        <v>636000</v>
      </c>
      <c r="D1279">
        <v>636000</v>
      </c>
      <c r="E1279" t="s">
        <v>1908</v>
      </c>
      <c r="F1279" s="5">
        <v>11325.835013213473</v>
      </c>
      <c r="G1279" s="5">
        <v>31670.152375261427</v>
      </c>
      <c r="H1279" s="5">
        <f ca="1">OFFSET(F1279,0,Brains!$D$1,1,1)</f>
        <v>31670.152375261427</v>
      </c>
      <c r="I1279" t="s">
        <v>3365</v>
      </c>
      <c r="J1279" t="s">
        <v>1882</v>
      </c>
      <c r="K1279" t="s">
        <v>1859</v>
      </c>
      <c r="L1279" t="s">
        <v>1859</v>
      </c>
      <c r="M1279" s="11" t="s">
        <v>3918</v>
      </c>
      <c r="N1279" t="s">
        <v>1860</v>
      </c>
      <c r="O1279" s="7" t="s">
        <v>3920</v>
      </c>
      <c r="P1279" s="17" t="str">
        <f t="shared" ca="1" si="38"/>
        <v>30-49.9K</v>
      </c>
      <c r="Q1279" s="17">
        <v>5</v>
      </c>
      <c r="R1279">
        <v>2</v>
      </c>
      <c r="S1279">
        <v>4</v>
      </c>
      <c r="T1279">
        <v>1</v>
      </c>
      <c r="U1279">
        <v>7</v>
      </c>
      <c r="V1279" s="15">
        <f t="shared" ca="1" si="39"/>
        <v>3</v>
      </c>
    </row>
    <row r="1280" spans="1:22">
      <c r="A1280" t="s">
        <v>1212</v>
      </c>
      <c r="B1280" s="1">
        <v>41061.197557870371</v>
      </c>
      <c r="C1280" s="2">
        <v>11000</v>
      </c>
      <c r="D1280">
        <v>11000</v>
      </c>
      <c r="E1280" t="s">
        <v>1856</v>
      </c>
      <c r="F1280" s="5">
        <v>11000</v>
      </c>
      <c r="G1280" s="5">
        <v>11000</v>
      </c>
      <c r="H1280" s="5">
        <f ca="1">OFFSET(F1280,0,Brains!$D$1,1,1)</f>
        <v>11000</v>
      </c>
      <c r="I1280" t="s">
        <v>3245</v>
      </c>
      <c r="J1280" t="s">
        <v>1882</v>
      </c>
      <c r="K1280" t="s">
        <v>3759</v>
      </c>
      <c r="L1280" t="s">
        <v>2123</v>
      </c>
      <c r="M1280" s="11" t="s">
        <v>3918</v>
      </c>
      <c r="N1280" t="s">
        <v>1860</v>
      </c>
      <c r="O1280" s="7" t="s">
        <v>3920</v>
      </c>
      <c r="P1280" s="17" t="str">
        <f t="shared" ca="1" si="38"/>
        <v>0-14.9K</v>
      </c>
      <c r="Q1280" s="17">
        <v>5</v>
      </c>
      <c r="R1280">
        <v>2</v>
      </c>
      <c r="S1280">
        <v>4</v>
      </c>
      <c r="T1280">
        <v>1</v>
      </c>
      <c r="U1280">
        <v>7</v>
      </c>
      <c r="V1280" s="15">
        <f t="shared" ca="1" si="39"/>
        <v>1</v>
      </c>
    </row>
    <row r="1281" spans="1:22">
      <c r="A1281" t="s">
        <v>3353</v>
      </c>
      <c r="B1281" s="1">
        <v>41055.584131944444</v>
      </c>
      <c r="C1281" s="2">
        <v>10000</v>
      </c>
      <c r="D1281">
        <v>10000</v>
      </c>
      <c r="E1281" t="s">
        <v>1856</v>
      </c>
      <c r="F1281" s="5">
        <v>10000</v>
      </c>
      <c r="G1281" s="5">
        <v>10000</v>
      </c>
      <c r="H1281" s="5">
        <f ca="1">OFFSET(F1281,0,Brains!$D$1,1,1)</f>
        <v>10000</v>
      </c>
      <c r="I1281" t="s">
        <v>3236</v>
      </c>
      <c r="J1281" t="s">
        <v>1882</v>
      </c>
      <c r="K1281" t="s">
        <v>1859</v>
      </c>
      <c r="L1281" t="s">
        <v>1859</v>
      </c>
      <c r="M1281" s="11" t="s">
        <v>3918</v>
      </c>
      <c r="N1281" t="s">
        <v>1860</v>
      </c>
      <c r="O1281" s="7" t="s">
        <v>3920</v>
      </c>
      <c r="P1281" s="17" t="str">
        <f t="shared" ca="1" si="38"/>
        <v>0-14.9K</v>
      </c>
      <c r="Q1281" s="17">
        <v>5</v>
      </c>
      <c r="R1281">
        <v>2</v>
      </c>
      <c r="S1281">
        <v>4</v>
      </c>
      <c r="T1281">
        <v>1</v>
      </c>
      <c r="U1281">
        <v>7</v>
      </c>
      <c r="V1281" s="15">
        <f t="shared" ca="1" si="39"/>
        <v>1</v>
      </c>
    </row>
    <row r="1282" spans="1:22">
      <c r="A1282" t="s">
        <v>326</v>
      </c>
      <c r="B1282" s="1">
        <v>41057.77375</v>
      </c>
      <c r="C1282" s="2" t="s">
        <v>327</v>
      </c>
      <c r="D1282">
        <v>216000</v>
      </c>
      <c r="E1282" t="s">
        <v>2467</v>
      </c>
      <c r="F1282" s="5">
        <v>5120.2912876821438</v>
      </c>
      <c r="G1282" s="5">
        <v>8473.5789102036015</v>
      </c>
      <c r="H1282" s="5">
        <f ca="1">OFFSET(F1282,0,Brains!$D$1,1,1)</f>
        <v>8473.5789102036015</v>
      </c>
      <c r="I1282" t="s">
        <v>2798</v>
      </c>
      <c r="J1282" t="s">
        <v>1882</v>
      </c>
      <c r="K1282" t="s">
        <v>2469</v>
      </c>
      <c r="L1282" t="s">
        <v>2469</v>
      </c>
      <c r="M1282" s="11" t="s">
        <v>3918</v>
      </c>
      <c r="N1282" t="s">
        <v>1860</v>
      </c>
      <c r="O1282" s="7" t="s">
        <v>3920</v>
      </c>
      <c r="P1282" s="17" t="str">
        <f t="shared" ref="P1282:P1345" ca="1" si="40">IF(H1282&lt;15000,"0-14.9K",IF(H1282&lt;30000,"15-29.9K",IF(H1282&lt;50000,"30-49.9K",IF(H1282&lt;75000,"50-74.9K",IF(H1282&lt;100000,"75-99.9K",IF(H1282&lt;150000,"100-149.9K",IF(H1282&lt;250000,"150-249.9K","250K+")))))))</f>
        <v>0-14.9K</v>
      </c>
      <c r="Q1282" s="17">
        <v>5</v>
      </c>
      <c r="R1282">
        <v>2</v>
      </c>
      <c r="S1282">
        <v>4</v>
      </c>
      <c r="T1282">
        <v>1</v>
      </c>
      <c r="U1282">
        <v>7</v>
      </c>
      <c r="V1282" s="15">
        <f t="shared" ref="V1282:V1345" ca="1" si="41">IF(H1282&lt;15000,1,IF(H1282&lt;30000,2,IF(H1282&lt;50000,3,IF(H1282&lt;75000,4,IF(H1282&lt;100000,5,IF(H1282&lt;150000,6,IF(H1282&lt;250000,7,8)))))))</f>
        <v>1</v>
      </c>
    </row>
    <row r="1283" spans="1:22">
      <c r="A1283" t="s">
        <v>125</v>
      </c>
      <c r="B1283" s="1">
        <v>41057.542847222219</v>
      </c>
      <c r="C1283" s="2" t="s">
        <v>126</v>
      </c>
      <c r="D1283">
        <v>456000</v>
      </c>
      <c r="E1283" t="s">
        <v>1895</v>
      </c>
      <c r="F1283" s="5">
        <v>4840.0244548604041</v>
      </c>
      <c r="G1283" s="5">
        <v>11153.780299880145</v>
      </c>
      <c r="H1283" s="5">
        <f ca="1">OFFSET(F1283,0,Brains!$D$1,1,1)</f>
        <v>11153.780299880145</v>
      </c>
      <c r="I1283" t="s">
        <v>127</v>
      </c>
      <c r="J1283" t="s">
        <v>1882</v>
      </c>
      <c r="K1283" t="s">
        <v>1872</v>
      </c>
      <c r="L1283" t="s">
        <v>1872</v>
      </c>
      <c r="M1283" s="11" t="s">
        <v>3918</v>
      </c>
      <c r="N1283" t="s">
        <v>1860</v>
      </c>
      <c r="O1283" s="7" t="s">
        <v>3920</v>
      </c>
      <c r="P1283" s="17" t="str">
        <f t="shared" ca="1" si="40"/>
        <v>0-14.9K</v>
      </c>
      <c r="Q1283" s="17">
        <v>5</v>
      </c>
      <c r="R1283">
        <v>2</v>
      </c>
      <c r="S1283">
        <v>4</v>
      </c>
      <c r="T1283">
        <v>1</v>
      </c>
      <c r="U1283">
        <v>7</v>
      </c>
      <c r="V1283" s="15">
        <f t="shared" ca="1" si="41"/>
        <v>1</v>
      </c>
    </row>
    <row r="1284" spans="1:22">
      <c r="A1284" t="s">
        <v>3393</v>
      </c>
      <c r="B1284" s="1">
        <v>41055.625694444447</v>
      </c>
      <c r="C1284" s="2" t="s">
        <v>3394</v>
      </c>
      <c r="D1284">
        <v>130000</v>
      </c>
      <c r="E1284" t="s">
        <v>1856</v>
      </c>
      <c r="F1284" s="5">
        <v>130000</v>
      </c>
      <c r="G1284" s="5">
        <v>130000</v>
      </c>
      <c r="H1284" s="5">
        <f ca="1">OFFSET(F1284,0,Brains!$D$1,1,1)</f>
        <v>130000</v>
      </c>
      <c r="I1284" t="s">
        <v>3395</v>
      </c>
      <c r="J1284" t="s">
        <v>1882</v>
      </c>
      <c r="K1284" t="s">
        <v>1975</v>
      </c>
      <c r="L1284" t="s">
        <v>1975</v>
      </c>
      <c r="M1284" s="11" t="s">
        <v>3918</v>
      </c>
      <c r="N1284" t="s">
        <v>1860</v>
      </c>
      <c r="O1284" s="7" t="s">
        <v>3920</v>
      </c>
      <c r="P1284" s="17" t="str">
        <f t="shared" ca="1" si="40"/>
        <v>100-149.9K</v>
      </c>
      <c r="Q1284" s="17">
        <v>5</v>
      </c>
      <c r="R1284">
        <v>3</v>
      </c>
      <c r="S1284">
        <v>4</v>
      </c>
      <c r="T1284">
        <v>1</v>
      </c>
      <c r="U1284">
        <v>7</v>
      </c>
      <c r="V1284" s="15">
        <f t="shared" ca="1" si="41"/>
        <v>6</v>
      </c>
    </row>
    <row r="1285" spans="1:22">
      <c r="A1285" t="s">
        <v>1593</v>
      </c>
      <c r="B1285" s="1">
        <v>41071.249409722222</v>
      </c>
      <c r="C1285" s="2">
        <v>27000</v>
      </c>
      <c r="D1285">
        <v>27000</v>
      </c>
      <c r="E1285" t="s">
        <v>1954</v>
      </c>
      <c r="F1285" s="5">
        <v>42556.81334581667</v>
      </c>
      <c r="G1285" s="5">
        <v>40059.347181008903</v>
      </c>
      <c r="H1285" s="5">
        <f ca="1">OFFSET(F1285,0,Brains!$D$1,1,1)</f>
        <v>40059.347181008903</v>
      </c>
      <c r="I1285" t="s">
        <v>1594</v>
      </c>
      <c r="J1285" t="s">
        <v>1882</v>
      </c>
      <c r="K1285" t="s">
        <v>1956</v>
      </c>
      <c r="L1285" t="s">
        <v>1956</v>
      </c>
      <c r="M1285" s="11" t="s">
        <v>3918</v>
      </c>
      <c r="N1285" t="s">
        <v>1860</v>
      </c>
      <c r="O1285" s="7" t="s">
        <v>3920</v>
      </c>
      <c r="P1285" s="17" t="str">
        <f t="shared" ca="1" si="40"/>
        <v>30-49.9K</v>
      </c>
      <c r="Q1285" s="17">
        <v>5</v>
      </c>
      <c r="R1285">
        <v>3</v>
      </c>
      <c r="S1285">
        <v>4</v>
      </c>
      <c r="T1285">
        <v>1</v>
      </c>
      <c r="U1285">
        <v>7</v>
      </c>
      <c r="V1285" s="15">
        <f t="shared" ca="1" si="41"/>
        <v>3</v>
      </c>
    </row>
    <row r="1286" spans="1:22">
      <c r="A1286" t="s">
        <v>1595</v>
      </c>
      <c r="B1286" s="1">
        <v>41071.249942129631</v>
      </c>
      <c r="C1286" s="2">
        <v>27000</v>
      </c>
      <c r="D1286">
        <v>27000</v>
      </c>
      <c r="E1286" t="s">
        <v>1954</v>
      </c>
      <c r="F1286" s="5">
        <v>42556.81334581667</v>
      </c>
      <c r="G1286" s="5">
        <v>40059.347181008903</v>
      </c>
      <c r="H1286" s="5">
        <f ca="1">OFFSET(F1286,0,Brains!$D$1,1,1)</f>
        <v>40059.347181008903</v>
      </c>
      <c r="I1286" t="s">
        <v>1594</v>
      </c>
      <c r="J1286" t="s">
        <v>1882</v>
      </c>
      <c r="K1286" t="s">
        <v>1956</v>
      </c>
      <c r="L1286" t="s">
        <v>1956</v>
      </c>
      <c r="M1286" s="11" t="s">
        <v>3918</v>
      </c>
      <c r="N1286" t="s">
        <v>1860</v>
      </c>
      <c r="O1286" s="7" t="s">
        <v>3920</v>
      </c>
      <c r="P1286" s="17" t="str">
        <f t="shared" ca="1" si="40"/>
        <v>30-49.9K</v>
      </c>
      <c r="Q1286" s="17">
        <v>5</v>
      </c>
      <c r="R1286">
        <v>3</v>
      </c>
      <c r="S1286">
        <v>4</v>
      </c>
      <c r="T1286">
        <v>1</v>
      </c>
      <c r="U1286">
        <v>7</v>
      </c>
      <c r="V1286" s="15">
        <f t="shared" ca="1" si="41"/>
        <v>3</v>
      </c>
    </row>
    <row r="1287" spans="1:22">
      <c r="A1287" t="s">
        <v>3732</v>
      </c>
      <c r="B1287" s="1">
        <v>41056.528807870367</v>
      </c>
      <c r="C1287" s="2" t="s">
        <v>3733</v>
      </c>
      <c r="D1287">
        <v>25560</v>
      </c>
      <c r="E1287" t="s">
        <v>1856</v>
      </c>
      <c r="F1287" s="5">
        <v>25560</v>
      </c>
      <c r="G1287" s="5">
        <v>25560</v>
      </c>
      <c r="H1287" s="5">
        <f ca="1">OFFSET(F1287,0,Brains!$D$1,1,1)</f>
        <v>25560</v>
      </c>
      <c r="I1287" t="s">
        <v>3734</v>
      </c>
      <c r="J1287" t="s">
        <v>1882</v>
      </c>
      <c r="K1287" t="s">
        <v>3735</v>
      </c>
      <c r="L1287" t="s">
        <v>2064</v>
      </c>
      <c r="M1287" s="11" t="s">
        <v>3918</v>
      </c>
      <c r="N1287" t="s">
        <v>1860</v>
      </c>
      <c r="O1287" s="7" t="s">
        <v>3920</v>
      </c>
      <c r="P1287" s="17" t="str">
        <f t="shared" ca="1" si="40"/>
        <v>15-29.9K</v>
      </c>
      <c r="Q1287" s="17">
        <v>5</v>
      </c>
      <c r="R1287">
        <v>3</v>
      </c>
      <c r="S1287">
        <v>4</v>
      </c>
      <c r="T1287">
        <v>1</v>
      </c>
      <c r="U1287">
        <v>7</v>
      </c>
      <c r="V1287" s="15">
        <f t="shared" ca="1" si="41"/>
        <v>2</v>
      </c>
    </row>
    <row r="1288" spans="1:22">
      <c r="A1288" t="s">
        <v>1112</v>
      </c>
      <c r="B1288" s="1">
        <v>41060.266076388885</v>
      </c>
      <c r="C1288" s="2">
        <v>22000</v>
      </c>
      <c r="D1288">
        <v>22000</v>
      </c>
      <c r="E1288" t="s">
        <v>1856</v>
      </c>
      <c r="F1288" s="5">
        <v>22000</v>
      </c>
      <c r="G1288" s="5">
        <v>22000</v>
      </c>
      <c r="H1288" s="5">
        <f ca="1">OFFSET(F1288,0,Brains!$D$1,1,1)</f>
        <v>22000</v>
      </c>
      <c r="I1288" t="s">
        <v>1113</v>
      </c>
      <c r="J1288" t="s">
        <v>1882</v>
      </c>
      <c r="K1288" t="s">
        <v>1869</v>
      </c>
      <c r="L1288" t="s">
        <v>1869</v>
      </c>
      <c r="M1288" s="11" t="s">
        <v>3918</v>
      </c>
      <c r="N1288" t="s">
        <v>1860</v>
      </c>
      <c r="O1288" s="7" t="s">
        <v>3920</v>
      </c>
      <c r="P1288" s="17" t="str">
        <f t="shared" ca="1" si="40"/>
        <v>15-29.9K</v>
      </c>
      <c r="Q1288" s="17">
        <v>5</v>
      </c>
      <c r="R1288">
        <v>3</v>
      </c>
      <c r="S1288">
        <v>4</v>
      </c>
      <c r="T1288">
        <v>1</v>
      </c>
      <c r="U1288">
        <v>7</v>
      </c>
      <c r="V1288" s="15">
        <f t="shared" ca="1" si="41"/>
        <v>2</v>
      </c>
    </row>
    <row r="1289" spans="1:22">
      <c r="A1289" t="s">
        <v>1695</v>
      </c>
      <c r="B1289" s="1">
        <v>41074.918807870374</v>
      </c>
      <c r="C1289" s="2">
        <v>1720</v>
      </c>
      <c r="D1289">
        <v>20640</v>
      </c>
      <c r="E1289" t="s">
        <v>1856</v>
      </c>
      <c r="F1289" s="5">
        <v>20640</v>
      </c>
      <c r="G1289" s="5">
        <v>20640</v>
      </c>
      <c r="H1289" s="5">
        <f ca="1">OFFSET(F1289,0,Brains!$D$1,1,1)</f>
        <v>20640</v>
      </c>
      <c r="I1289" t="s">
        <v>1696</v>
      </c>
      <c r="J1289" t="s">
        <v>1882</v>
      </c>
      <c r="K1289" t="s">
        <v>2344</v>
      </c>
      <c r="L1289" t="s">
        <v>2344</v>
      </c>
      <c r="M1289" s="11" t="s">
        <v>3918</v>
      </c>
      <c r="N1289" t="s">
        <v>1860</v>
      </c>
      <c r="O1289" s="7" t="s">
        <v>3920</v>
      </c>
      <c r="P1289" s="17" t="str">
        <f t="shared" ca="1" si="40"/>
        <v>15-29.9K</v>
      </c>
      <c r="Q1289" s="17">
        <v>5</v>
      </c>
      <c r="R1289">
        <v>3</v>
      </c>
      <c r="S1289">
        <v>4</v>
      </c>
      <c r="T1289">
        <v>1</v>
      </c>
      <c r="U1289">
        <v>7</v>
      </c>
      <c r="V1289" s="15">
        <f t="shared" ca="1" si="41"/>
        <v>2</v>
      </c>
    </row>
    <row r="1290" spans="1:22">
      <c r="A1290" t="s">
        <v>958</v>
      </c>
      <c r="B1290" s="1">
        <v>41059.472604166665</v>
      </c>
      <c r="C1290" s="2" t="s">
        <v>959</v>
      </c>
      <c r="D1290">
        <v>60000</v>
      </c>
      <c r="E1290" t="s">
        <v>51</v>
      </c>
      <c r="F1290" s="5">
        <v>19008.034062397041</v>
      </c>
      <c r="G1290" s="5">
        <v>30927.835051546394</v>
      </c>
      <c r="H1290" s="5">
        <f ca="1">OFFSET(F1290,0,Brains!$D$1,1,1)</f>
        <v>30927.835051546394</v>
      </c>
      <c r="I1290" t="s">
        <v>960</v>
      </c>
      <c r="J1290" t="s">
        <v>1882</v>
      </c>
      <c r="K1290" t="s">
        <v>53</v>
      </c>
      <c r="L1290" t="s">
        <v>53</v>
      </c>
      <c r="M1290" s="11" t="s">
        <v>3918</v>
      </c>
      <c r="N1290" t="s">
        <v>1860</v>
      </c>
      <c r="O1290" s="7" t="s">
        <v>3920</v>
      </c>
      <c r="P1290" s="17" t="str">
        <f t="shared" ca="1" si="40"/>
        <v>30-49.9K</v>
      </c>
      <c r="Q1290" s="17">
        <v>5</v>
      </c>
      <c r="R1290">
        <v>3</v>
      </c>
      <c r="S1290">
        <v>4</v>
      </c>
      <c r="T1290">
        <v>1</v>
      </c>
      <c r="U1290">
        <v>7</v>
      </c>
      <c r="V1290" s="15">
        <f t="shared" ca="1" si="41"/>
        <v>3</v>
      </c>
    </row>
    <row r="1291" spans="1:22">
      <c r="A1291" t="s">
        <v>3254</v>
      </c>
      <c r="B1291" s="1">
        <v>41055.519502314812</v>
      </c>
      <c r="C1291" s="2" t="s">
        <v>3255</v>
      </c>
      <c r="D1291">
        <v>950000</v>
      </c>
      <c r="E1291" t="s">
        <v>1908</v>
      </c>
      <c r="F1291" s="5">
        <v>16917.52085307044</v>
      </c>
      <c r="G1291" s="5">
        <v>47306.045214620055</v>
      </c>
      <c r="H1291" s="5">
        <f ca="1">OFFSET(F1291,0,Brains!$D$1,1,1)</f>
        <v>47306.045214620055</v>
      </c>
      <c r="I1291" t="s">
        <v>3256</v>
      </c>
      <c r="J1291" t="s">
        <v>1882</v>
      </c>
      <c r="K1291" t="s">
        <v>1859</v>
      </c>
      <c r="L1291" t="s">
        <v>1859</v>
      </c>
      <c r="M1291" s="11" t="s">
        <v>3918</v>
      </c>
      <c r="N1291" t="s">
        <v>1860</v>
      </c>
      <c r="O1291" s="7" t="s">
        <v>3920</v>
      </c>
      <c r="P1291" s="17" t="str">
        <f t="shared" ca="1" si="40"/>
        <v>30-49.9K</v>
      </c>
      <c r="Q1291" s="17">
        <v>5</v>
      </c>
      <c r="R1291">
        <v>3</v>
      </c>
      <c r="S1291">
        <v>4</v>
      </c>
      <c r="T1291">
        <v>1</v>
      </c>
      <c r="U1291">
        <v>7</v>
      </c>
      <c r="V1291" s="15">
        <f t="shared" ca="1" si="41"/>
        <v>3</v>
      </c>
    </row>
    <row r="1292" spans="1:22">
      <c r="A1292" t="s">
        <v>3823</v>
      </c>
      <c r="B1292" s="1">
        <v>41056.892152777778</v>
      </c>
      <c r="C1292" s="2" t="s">
        <v>3824</v>
      </c>
      <c r="D1292">
        <v>700000</v>
      </c>
      <c r="E1292" t="s">
        <v>1908</v>
      </c>
      <c r="F1292" s="5">
        <v>12465.541681209797</v>
      </c>
      <c r="G1292" s="5">
        <v>34857.085947614782</v>
      </c>
      <c r="H1292" s="5">
        <f ca="1">OFFSET(F1292,0,Brains!$D$1,1,1)</f>
        <v>34857.085947614782</v>
      </c>
      <c r="I1292" t="s">
        <v>3825</v>
      </c>
      <c r="J1292" t="s">
        <v>1882</v>
      </c>
      <c r="K1292" t="s">
        <v>1859</v>
      </c>
      <c r="L1292" t="s">
        <v>1859</v>
      </c>
      <c r="M1292" s="11" t="s">
        <v>3918</v>
      </c>
      <c r="N1292" t="s">
        <v>1860</v>
      </c>
      <c r="O1292" s="7" t="s">
        <v>3920</v>
      </c>
      <c r="P1292" s="17" t="str">
        <f t="shared" ca="1" si="40"/>
        <v>30-49.9K</v>
      </c>
      <c r="Q1292" s="17">
        <v>5</v>
      </c>
      <c r="R1292">
        <v>3</v>
      </c>
      <c r="S1292">
        <v>4</v>
      </c>
      <c r="T1292">
        <v>1</v>
      </c>
      <c r="U1292">
        <v>7</v>
      </c>
      <c r="V1292" s="15">
        <f t="shared" ca="1" si="41"/>
        <v>3</v>
      </c>
    </row>
    <row r="1293" spans="1:22">
      <c r="A1293" t="s">
        <v>80</v>
      </c>
      <c r="B1293" s="1">
        <v>41057.484224537038</v>
      </c>
      <c r="C1293" s="2" t="s">
        <v>81</v>
      </c>
      <c r="D1293">
        <v>240000</v>
      </c>
      <c r="E1293" t="s">
        <v>82</v>
      </c>
      <c r="F1293" s="5">
        <v>1805.7739622442759</v>
      </c>
      <c r="G1293" s="5">
        <v>4045.4438188989652</v>
      </c>
      <c r="H1293" s="5">
        <f ca="1">OFFSET(F1293,0,Brains!$D$1,1,1)</f>
        <v>4045.4438188989652</v>
      </c>
      <c r="I1293" t="s">
        <v>3593</v>
      </c>
      <c r="J1293" t="s">
        <v>1882</v>
      </c>
      <c r="K1293" t="s">
        <v>3169</v>
      </c>
      <c r="L1293" t="s">
        <v>3169</v>
      </c>
      <c r="M1293" s="11" t="s">
        <v>3918</v>
      </c>
      <c r="N1293" t="s">
        <v>1860</v>
      </c>
      <c r="O1293" s="7" t="s">
        <v>3920</v>
      </c>
      <c r="P1293" s="17" t="str">
        <f t="shared" ca="1" si="40"/>
        <v>0-14.9K</v>
      </c>
      <c r="Q1293" s="17">
        <v>5</v>
      </c>
      <c r="R1293">
        <v>3</v>
      </c>
      <c r="S1293">
        <v>4</v>
      </c>
      <c r="T1293">
        <v>1</v>
      </c>
      <c r="U1293">
        <v>7</v>
      </c>
      <c r="V1293" s="15">
        <f t="shared" ca="1" si="41"/>
        <v>1</v>
      </c>
    </row>
    <row r="1294" spans="1:22">
      <c r="A1294" t="s">
        <v>3857</v>
      </c>
      <c r="B1294" s="1">
        <v>41057.012106481481</v>
      </c>
      <c r="C1294" s="2">
        <v>70000</v>
      </c>
      <c r="D1294">
        <v>70000</v>
      </c>
      <c r="E1294" t="s">
        <v>1856</v>
      </c>
      <c r="F1294" s="5">
        <v>70000</v>
      </c>
      <c r="G1294" s="5">
        <v>70000</v>
      </c>
      <c r="H1294" s="5">
        <f ca="1">OFFSET(F1294,0,Brains!$D$1,1,1)</f>
        <v>70000</v>
      </c>
      <c r="I1294" t="s">
        <v>3858</v>
      </c>
      <c r="J1294" t="s">
        <v>1882</v>
      </c>
      <c r="K1294" t="s">
        <v>1869</v>
      </c>
      <c r="L1294" t="s">
        <v>1869</v>
      </c>
      <c r="M1294" s="11" t="s">
        <v>3918</v>
      </c>
      <c r="N1294" t="s">
        <v>1860</v>
      </c>
      <c r="O1294" s="7" t="s">
        <v>3920</v>
      </c>
      <c r="P1294" s="17" t="str">
        <f t="shared" ca="1" si="40"/>
        <v>50-74.9K</v>
      </c>
      <c r="Q1294" s="17">
        <v>5</v>
      </c>
      <c r="R1294">
        <v>4</v>
      </c>
      <c r="S1294">
        <v>4</v>
      </c>
      <c r="T1294">
        <v>1</v>
      </c>
      <c r="U1294">
        <v>7</v>
      </c>
      <c r="V1294" s="15">
        <f t="shared" ca="1" si="41"/>
        <v>4</v>
      </c>
    </row>
    <row r="1295" spans="1:22">
      <c r="A1295" t="s">
        <v>499</v>
      </c>
      <c r="B1295" s="1">
        <v>41058.021319444444</v>
      </c>
      <c r="C1295" s="2">
        <v>2600000</v>
      </c>
      <c r="D1295">
        <v>2600000</v>
      </c>
      <c r="E1295" t="s">
        <v>1908</v>
      </c>
      <c r="F1295" s="5">
        <v>46300.583387350678</v>
      </c>
      <c r="G1295" s="5">
        <v>129469.17637685488</v>
      </c>
      <c r="H1295" s="5">
        <f ca="1">OFFSET(F1295,0,Brains!$D$1,1,1)</f>
        <v>129469.17637685488</v>
      </c>
      <c r="I1295" t="s">
        <v>500</v>
      </c>
      <c r="J1295" t="s">
        <v>1882</v>
      </c>
      <c r="K1295" t="s">
        <v>1859</v>
      </c>
      <c r="L1295" t="s">
        <v>1859</v>
      </c>
      <c r="M1295" s="11" t="s">
        <v>3918</v>
      </c>
      <c r="N1295" t="s">
        <v>1860</v>
      </c>
      <c r="O1295" s="7" t="s">
        <v>3920</v>
      </c>
      <c r="P1295" s="17" t="str">
        <f t="shared" ca="1" si="40"/>
        <v>100-149.9K</v>
      </c>
      <c r="Q1295" s="17">
        <v>5</v>
      </c>
      <c r="R1295">
        <v>4</v>
      </c>
      <c r="S1295">
        <v>4</v>
      </c>
      <c r="T1295">
        <v>1</v>
      </c>
      <c r="U1295">
        <v>7</v>
      </c>
      <c r="V1295" s="15">
        <f t="shared" ca="1" si="41"/>
        <v>6</v>
      </c>
    </row>
    <row r="1296" spans="1:22">
      <c r="A1296" t="s">
        <v>86</v>
      </c>
      <c r="B1296" s="1">
        <v>41057.486932870372</v>
      </c>
      <c r="C1296" s="2">
        <v>15000</v>
      </c>
      <c r="D1296">
        <v>15000</v>
      </c>
      <c r="E1296" t="s">
        <v>1856</v>
      </c>
      <c r="F1296" s="5">
        <v>15000</v>
      </c>
      <c r="G1296" s="5">
        <v>15000</v>
      </c>
      <c r="H1296" s="5">
        <f ca="1">OFFSET(F1296,0,Brains!$D$1,1,1)</f>
        <v>15000</v>
      </c>
      <c r="I1296" t="s">
        <v>87</v>
      </c>
      <c r="J1296" t="s">
        <v>1882</v>
      </c>
      <c r="K1296" t="s">
        <v>1859</v>
      </c>
      <c r="L1296" t="s">
        <v>1859</v>
      </c>
      <c r="M1296" s="11" t="s">
        <v>3918</v>
      </c>
      <c r="N1296" t="s">
        <v>1860</v>
      </c>
      <c r="O1296" s="7" t="s">
        <v>3920</v>
      </c>
      <c r="P1296" s="17" t="str">
        <f t="shared" ca="1" si="40"/>
        <v>15-29.9K</v>
      </c>
      <c r="Q1296" s="17">
        <v>5</v>
      </c>
      <c r="R1296">
        <v>4</v>
      </c>
      <c r="S1296">
        <v>4</v>
      </c>
      <c r="T1296">
        <v>1</v>
      </c>
      <c r="U1296">
        <v>7</v>
      </c>
      <c r="V1296" s="15">
        <f t="shared" ca="1" si="41"/>
        <v>2</v>
      </c>
    </row>
    <row r="1297" spans="1:22">
      <c r="A1297" t="s">
        <v>1095</v>
      </c>
      <c r="B1297" s="1">
        <v>41060.073472222219</v>
      </c>
      <c r="C1297" s="2" t="s">
        <v>1096</v>
      </c>
      <c r="D1297">
        <v>536000</v>
      </c>
      <c r="E1297" t="s">
        <v>1908</v>
      </c>
      <c r="F1297" s="5">
        <v>9545.0433444692171</v>
      </c>
      <c r="G1297" s="5">
        <v>26690.568668459317</v>
      </c>
      <c r="H1297" s="5">
        <f ca="1">OFFSET(F1297,0,Brains!$D$1,1,1)</f>
        <v>26690.568668459317</v>
      </c>
      <c r="I1297" t="s">
        <v>1988</v>
      </c>
      <c r="J1297" t="s">
        <v>1882</v>
      </c>
      <c r="K1297" t="s">
        <v>1859</v>
      </c>
      <c r="L1297" t="s">
        <v>1859</v>
      </c>
      <c r="M1297" s="11" t="s">
        <v>3918</v>
      </c>
      <c r="N1297" t="s">
        <v>1860</v>
      </c>
      <c r="O1297" s="7" t="s">
        <v>3920</v>
      </c>
      <c r="P1297" s="17" t="str">
        <f t="shared" ca="1" si="40"/>
        <v>15-29.9K</v>
      </c>
      <c r="Q1297" s="17">
        <v>5</v>
      </c>
      <c r="R1297">
        <v>4</v>
      </c>
      <c r="S1297">
        <v>4</v>
      </c>
      <c r="T1297">
        <v>1</v>
      </c>
      <c r="U1297">
        <v>7</v>
      </c>
      <c r="V1297" s="15">
        <f t="shared" ca="1" si="41"/>
        <v>2</v>
      </c>
    </row>
    <row r="1298" spans="1:22">
      <c r="A1298" t="s">
        <v>260</v>
      </c>
      <c r="B1298" s="1">
        <v>41057.686400462961</v>
      </c>
      <c r="C1298" s="2">
        <v>3500</v>
      </c>
      <c r="D1298">
        <v>3500</v>
      </c>
      <c r="E1298" t="s">
        <v>1856</v>
      </c>
      <c r="F1298" s="5">
        <v>3500</v>
      </c>
      <c r="G1298" s="5">
        <v>3500</v>
      </c>
      <c r="H1298" s="5">
        <f ca="1">OFFSET(F1298,0,Brains!$D$1,1,1)</f>
        <v>3500</v>
      </c>
      <c r="I1298" t="s">
        <v>261</v>
      </c>
      <c r="J1298" t="s">
        <v>1882</v>
      </c>
      <c r="K1298" t="s">
        <v>262</v>
      </c>
      <c r="L1298" t="s">
        <v>1872</v>
      </c>
      <c r="M1298" s="11" t="s">
        <v>3918</v>
      </c>
      <c r="N1298" t="s">
        <v>1860</v>
      </c>
      <c r="O1298" s="7" t="s">
        <v>3920</v>
      </c>
      <c r="P1298" s="17" t="str">
        <f t="shared" ca="1" si="40"/>
        <v>0-14.9K</v>
      </c>
      <c r="Q1298" s="17">
        <v>5</v>
      </c>
      <c r="R1298">
        <v>4</v>
      </c>
      <c r="S1298">
        <v>4</v>
      </c>
      <c r="T1298">
        <v>1</v>
      </c>
      <c r="U1298">
        <v>7</v>
      </c>
      <c r="V1298" s="15">
        <f t="shared" ca="1" si="41"/>
        <v>1</v>
      </c>
    </row>
    <row r="1299" spans="1:22">
      <c r="A1299" t="s">
        <v>108</v>
      </c>
      <c r="B1299" s="1">
        <v>41057.522361111114</v>
      </c>
      <c r="C1299" s="2">
        <v>300000</v>
      </c>
      <c r="D1299">
        <v>300000</v>
      </c>
      <c r="E1299" t="s">
        <v>1895</v>
      </c>
      <c r="F1299" s="5">
        <v>3184.2266150397395</v>
      </c>
      <c r="G1299" s="5">
        <v>7338.0133551843064</v>
      </c>
      <c r="H1299" s="5">
        <f ca="1">OFFSET(F1299,0,Brains!$D$1,1,1)</f>
        <v>7338.0133551843064</v>
      </c>
      <c r="I1299" t="s">
        <v>3514</v>
      </c>
      <c r="J1299" t="s">
        <v>1882</v>
      </c>
      <c r="K1299" t="s">
        <v>1872</v>
      </c>
      <c r="L1299" t="s">
        <v>1872</v>
      </c>
      <c r="M1299" s="11" t="s">
        <v>3918</v>
      </c>
      <c r="N1299" t="s">
        <v>1860</v>
      </c>
      <c r="O1299" s="7" t="s">
        <v>3920</v>
      </c>
      <c r="P1299" s="17" t="str">
        <f t="shared" ca="1" si="40"/>
        <v>0-14.9K</v>
      </c>
      <c r="Q1299" s="17">
        <v>5</v>
      </c>
      <c r="R1299">
        <v>4</v>
      </c>
      <c r="S1299">
        <v>4</v>
      </c>
      <c r="T1299">
        <v>1</v>
      </c>
      <c r="U1299">
        <v>7</v>
      </c>
      <c r="V1299" s="15">
        <f t="shared" ca="1" si="41"/>
        <v>1</v>
      </c>
    </row>
    <row r="1300" spans="1:22">
      <c r="A1300" t="s">
        <v>3438</v>
      </c>
      <c r="B1300" s="1">
        <v>41055.673703703702</v>
      </c>
      <c r="C1300" s="2">
        <v>74000</v>
      </c>
      <c r="D1300">
        <v>74000</v>
      </c>
      <c r="E1300" t="s">
        <v>1954</v>
      </c>
      <c r="F1300" s="5">
        <v>116637.19213297902</v>
      </c>
      <c r="G1300" s="5">
        <v>109792.28486646884</v>
      </c>
      <c r="H1300" s="5">
        <f ca="1">OFFSET(F1300,0,Brains!$D$1,1,1)</f>
        <v>109792.28486646884</v>
      </c>
      <c r="I1300" t="s">
        <v>3439</v>
      </c>
      <c r="J1300" t="s">
        <v>1882</v>
      </c>
      <c r="K1300" t="s">
        <v>1956</v>
      </c>
      <c r="L1300" t="s">
        <v>1956</v>
      </c>
      <c r="M1300" s="11" t="s">
        <v>3918</v>
      </c>
      <c r="N1300" t="s">
        <v>1860</v>
      </c>
      <c r="O1300" s="7" t="s">
        <v>3920</v>
      </c>
      <c r="P1300" s="17" t="str">
        <f t="shared" ca="1" si="40"/>
        <v>100-149.9K</v>
      </c>
      <c r="Q1300" s="17">
        <v>5</v>
      </c>
      <c r="R1300">
        <v>5</v>
      </c>
      <c r="S1300">
        <v>4</v>
      </c>
      <c r="T1300">
        <v>1</v>
      </c>
      <c r="U1300">
        <v>7</v>
      </c>
      <c r="V1300" s="15">
        <f t="shared" ca="1" si="41"/>
        <v>6</v>
      </c>
    </row>
    <row r="1301" spans="1:22">
      <c r="A1301" t="s">
        <v>329</v>
      </c>
      <c r="B1301" s="1">
        <v>41057.777303240742</v>
      </c>
      <c r="C1301" s="2">
        <v>90000</v>
      </c>
      <c r="D1301">
        <v>90000</v>
      </c>
      <c r="E1301" t="s">
        <v>1856</v>
      </c>
      <c r="F1301" s="5">
        <v>90000</v>
      </c>
      <c r="G1301" s="5">
        <v>90000</v>
      </c>
      <c r="H1301" s="5">
        <f ca="1">OFFSET(F1301,0,Brains!$D$1,1,1)</f>
        <v>90000</v>
      </c>
      <c r="I1301" t="s">
        <v>330</v>
      </c>
      <c r="J1301" t="s">
        <v>1882</v>
      </c>
      <c r="K1301" t="s">
        <v>1869</v>
      </c>
      <c r="L1301" t="s">
        <v>1869</v>
      </c>
      <c r="M1301" s="11" t="s">
        <v>3918</v>
      </c>
      <c r="N1301" t="s">
        <v>1860</v>
      </c>
      <c r="O1301" s="7" t="s">
        <v>3920</v>
      </c>
      <c r="P1301" s="17" t="str">
        <f t="shared" ca="1" si="40"/>
        <v>75-99.9K</v>
      </c>
      <c r="Q1301" s="17">
        <v>5</v>
      </c>
      <c r="R1301">
        <v>5</v>
      </c>
      <c r="S1301">
        <v>4</v>
      </c>
      <c r="T1301">
        <v>1</v>
      </c>
      <c r="U1301">
        <v>7</v>
      </c>
      <c r="V1301" s="15">
        <f t="shared" ca="1" si="41"/>
        <v>5</v>
      </c>
    </row>
    <row r="1302" spans="1:22">
      <c r="A1302" t="s">
        <v>3164</v>
      </c>
      <c r="B1302" s="1">
        <v>41055.438680555555</v>
      </c>
      <c r="C1302" s="2">
        <v>61000</v>
      </c>
      <c r="D1302">
        <v>61000</v>
      </c>
      <c r="E1302" t="s">
        <v>1856</v>
      </c>
      <c r="F1302" s="5">
        <v>61000</v>
      </c>
      <c r="G1302" s="5">
        <v>61000</v>
      </c>
      <c r="H1302" s="5">
        <f ca="1">OFFSET(F1302,0,Brains!$D$1,1,1)</f>
        <v>61000</v>
      </c>
      <c r="I1302" t="s">
        <v>3165</v>
      </c>
      <c r="J1302" t="s">
        <v>1882</v>
      </c>
      <c r="K1302" t="s">
        <v>1869</v>
      </c>
      <c r="L1302" t="s">
        <v>1869</v>
      </c>
      <c r="M1302" s="11" t="s">
        <v>3918</v>
      </c>
      <c r="N1302" t="s">
        <v>1860</v>
      </c>
      <c r="O1302" s="7" t="s">
        <v>3920</v>
      </c>
      <c r="P1302" s="17" t="str">
        <f t="shared" ca="1" si="40"/>
        <v>50-74.9K</v>
      </c>
      <c r="Q1302" s="17">
        <v>5</v>
      </c>
      <c r="R1302">
        <v>5</v>
      </c>
      <c r="S1302">
        <v>4</v>
      </c>
      <c r="T1302">
        <v>1</v>
      </c>
      <c r="U1302">
        <v>7</v>
      </c>
      <c r="V1302" s="15">
        <f t="shared" ca="1" si="41"/>
        <v>4</v>
      </c>
    </row>
    <row r="1303" spans="1:22">
      <c r="A1303" t="s">
        <v>3221</v>
      </c>
      <c r="B1303" s="1">
        <v>41055.49050925926</v>
      </c>
      <c r="C1303" s="2">
        <v>55000</v>
      </c>
      <c r="D1303">
        <v>55000</v>
      </c>
      <c r="E1303" t="s">
        <v>1979</v>
      </c>
      <c r="F1303" s="5">
        <v>54084.883766667976</v>
      </c>
      <c r="G1303" s="5">
        <v>44035.22818254603</v>
      </c>
      <c r="H1303" s="5">
        <f ca="1">OFFSET(F1303,0,Brains!$D$1,1,1)</f>
        <v>44035.22818254603</v>
      </c>
      <c r="I1303" t="s">
        <v>3186</v>
      </c>
      <c r="J1303" t="s">
        <v>1882</v>
      </c>
      <c r="K1303" t="s">
        <v>1981</v>
      </c>
      <c r="L1303" t="s">
        <v>1981</v>
      </c>
      <c r="M1303" s="11" t="s">
        <v>3918</v>
      </c>
      <c r="N1303" t="s">
        <v>1860</v>
      </c>
      <c r="O1303" s="7" t="s">
        <v>3920</v>
      </c>
      <c r="P1303" s="17" t="str">
        <f t="shared" ca="1" si="40"/>
        <v>30-49.9K</v>
      </c>
      <c r="Q1303" s="17">
        <v>5</v>
      </c>
      <c r="R1303">
        <v>5</v>
      </c>
      <c r="S1303">
        <v>4</v>
      </c>
      <c r="T1303">
        <v>1</v>
      </c>
      <c r="U1303">
        <v>7</v>
      </c>
      <c r="V1303" s="15">
        <f t="shared" ca="1" si="41"/>
        <v>3</v>
      </c>
    </row>
    <row r="1304" spans="1:22">
      <c r="A1304" t="s">
        <v>3883</v>
      </c>
      <c r="B1304" s="1">
        <v>41057.194918981484</v>
      </c>
      <c r="C1304" s="2" t="s">
        <v>3884</v>
      </c>
      <c r="D1304">
        <v>48000</v>
      </c>
      <c r="E1304" t="s">
        <v>1856</v>
      </c>
      <c r="F1304" s="5">
        <v>48000</v>
      </c>
      <c r="G1304" s="5">
        <v>48000</v>
      </c>
      <c r="H1304" s="5">
        <f ca="1">OFFSET(F1304,0,Brains!$D$1,1,1)</f>
        <v>48000</v>
      </c>
      <c r="I1304" t="s">
        <v>3885</v>
      </c>
      <c r="J1304" t="s">
        <v>1882</v>
      </c>
      <c r="K1304" t="s">
        <v>2015</v>
      </c>
      <c r="L1304" t="s">
        <v>2015</v>
      </c>
      <c r="M1304" s="11" t="s">
        <v>3918</v>
      </c>
      <c r="N1304" t="s">
        <v>1860</v>
      </c>
      <c r="O1304" s="7" t="s">
        <v>3920</v>
      </c>
      <c r="P1304" s="17" t="str">
        <f t="shared" ca="1" si="40"/>
        <v>30-49.9K</v>
      </c>
      <c r="Q1304" s="17">
        <v>5</v>
      </c>
      <c r="R1304">
        <v>5</v>
      </c>
      <c r="S1304">
        <v>4</v>
      </c>
      <c r="T1304">
        <v>1</v>
      </c>
      <c r="U1304">
        <v>7</v>
      </c>
      <c r="V1304" s="15">
        <f t="shared" ca="1" si="41"/>
        <v>3</v>
      </c>
    </row>
    <row r="1305" spans="1:22">
      <c r="A1305" t="s">
        <v>1752</v>
      </c>
      <c r="B1305" s="1">
        <v>41076.718090277776</v>
      </c>
      <c r="C1305" s="2">
        <v>40000</v>
      </c>
      <c r="D1305">
        <v>40000</v>
      </c>
      <c r="E1305" t="s">
        <v>1856</v>
      </c>
      <c r="F1305" s="5">
        <v>40000</v>
      </c>
      <c r="G1305" s="5">
        <v>40000</v>
      </c>
      <c r="H1305" s="5">
        <f ca="1">OFFSET(F1305,0,Brains!$D$1,1,1)</f>
        <v>40000</v>
      </c>
      <c r="I1305" t="s">
        <v>3743</v>
      </c>
      <c r="J1305" t="s">
        <v>1882</v>
      </c>
      <c r="K1305" t="s">
        <v>1859</v>
      </c>
      <c r="L1305" t="s">
        <v>1859</v>
      </c>
      <c r="M1305" s="11" t="s">
        <v>3918</v>
      </c>
      <c r="N1305" t="s">
        <v>1860</v>
      </c>
      <c r="O1305" s="7" t="s">
        <v>3920</v>
      </c>
      <c r="P1305" s="17" t="str">
        <f t="shared" ca="1" si="40"/>
        <v>30-49.9K</v>
      </c>
      <c r="Q1305" s="17">
        <v>5</v>
      </c>
      <c r="R1305">
        <v>5</v>
      </c>
      <c r="S1305">
        <v>4</v>
      </c>
      <c r="T1305">
        <v>1</v>
      </c>
      <c r="U1305">
        <v>7</v>
      </c>
      <c r="V1305" s="15">
        <f t="shared" ca="1" si="41"/>
        <v>3</v>
      </c>
    </row>
    <row r="1306" spans="1:22">
      <c r="A1306" t="s">
        <v>1150</v>
      </c>
      <c r="B1306" s="1">
        <v>41060.714571759258</v>
      </c>
      <c r="C1306" s="2">
        <v>30000</v>
      </c>
      <c r="D1306">
        <v>30000</v>
      </c>
      <c r="E1306" t="s">
        <v>1856</v>
      </c>
      <c r="F1306" s="5">
        <v>30000</v>
      </c>
      <c r="G1306" s="5">
        <v>30000</v>
      </c>
      <c r="H1306" s="5">
        <f ca="1">OFFSET(F1306,0,Brains!$D$1,1,1)</f>
        <v>30000</v>
      </c>
      <c r="I1306" t="s">
        <v>1151</v>
      </c>
      <c r="J1306" t="s">
        <v>1882</v>
      </c>
      <c r="K1306" t="s">
        <v>1872</v>
      </c>
      <c r="L1306" t="s">
        <v>1872</v>
      </c>
      <c r="M1306" s="11" t="s">
        <v>3918</v>
      </c>
      <c r="N1306" t="s">
        <v>1860</v>
      </c>
      <c r="O1306" s="7" t="s">
        <v>3920</v>
      </c>
      <c r="P1306" s="17" t="str">
        <f t="shared" ca="1" si="40"/>
        <v>30-49.9K</v>
      </c>
      <c r="Q1306" s="17">
        <v>5</v>
      </c>
      <c r="R1306">
        <v>5</v>
      </c>
      <c r="S1306">
        <v>4</v>
      </c>
      <c r="T1306">
        <v>1</v>
      </c>
      <c r="U1306">
        <v>7</v>
      </c>
      <c r="V1306" s="15">
        <f t="shared" ca="1" si="41"/>
        <v>3</v>
      </c>
    </row>
    <row r="1307" spans="1:22">
      <c r="A1307" t="s">
        <v>419</v>
      </c>
      <c r="B1307" s="1">
        <v>41057.951979166668</v>
      </c>
      <c r="C1307" s="2">
        <v>28000</v>
      </c>
      <c r="D1307">
        <v>28000</v>
      </c>
      <c r="E1307" t="s">
        <v>1856</v>
      </c>
      <c r="F1307" s="5">
        <v>28000</v>
      </c>
      <c r="G1307" s="5">
        <v>28000</v>
      </c>
      <c r="H1307" s="5">
        <f ca="1">OFFSET(F1307,0,Brains!$D$1,1,1)</f>
        <v>28000</v>
      </c>
      <c r="I1307" t="s">
        <v>420</v>
      </c>
      <c r="J1307" t="s">
        <v>1882</v>
      </c>
      <c r="K1307" t="s">
        <v>1959</v>
      </c>
      <c r="L1307" t="s">
        <v>1959</v>
      </c>
      <c r="M1307" s="11" t="s">
        <v>3918</v>
      </c>
      <c r="N1307" t="s">
        <v>1860</v>
      </c>
      <c r="O1307" s="7" t="s">
        <v>3920</v>
      </c>
      <c r="P1307" s="17" t="str">
        <f t="shared" ca="1" si="40"/>
        <v>15-29.9K</v>
      </c>
      <c r="Q1307" s="17">
        <v>5</v>
      </c>
      <c r="R1307">
        <v>5</v>
      </c>
      <c r="S1307">
        <v>4</v>
      </c>
      <c r="T1307">
        <v>1</v>
      </c>
      <c r="U1307">
        <v>7</v>
      </c>
      <c r="V1307" s="15">
        <f t="shared" ca="1" si="41"/>
        <v>2</v>
      </c>
    </row>
    <row r="1308" spans="1:22">
      <c r="A1308" t="s">
        <v>743</v>
      </c>
      <c r="B1308" s="1">
        <v>41058.712164351855</v>
      </c>
      <c r="C1308" s="2">
        <v>24000</v>
      </c>
      <c r="D1308">
        <v>24000</v>
      </c>
      <c r="E1308" t="s">
        <v>1856</v>
      </c>
      <c r="F1308" s="5">
        <v>24000</v>
      </c>
      <c r="G1308" s="5">
        <v>24000</v>
      </c>
      <c r="H1308" s="5">
        <f ca="1">OFFSET(F1308,0,Brains!$D$1,1,1)</f>
        <v>24000</v>
      </c>
      <c r="I1308" t="s">
        <v>744</v>
      </c>
      <c r="J1308" t="s">
        <v>1882</v>
      </c>
      <c r="K1308" t="s">
        <v>745</v>
      </c>
      <c r="L1308" t="s">
        <v>2064</v>
      </c>
      <c r="M1308" s="11" t="s">
        <v>3918</v>
      </c>
      <c r="N1308" t="s">
        <v>1860</v>
      </c>
      <c r="O1308" s="7" t="s">
        <v>3920</v>
      </c>
      <c r="P1308" s="17" t="str">
        <f t="shared" ca="1" si="40"/>
        <v>15-29.9K</v>
      </c>
      <c r="Q1308" s="17">
        <v>5</v>
      </c>
      <c r="R1308">
        <v>5</v>
      </c>
      <c r="S1308">
        <v>4</v>
      </c>
      <c r="T1308">
        <v>1</v>
      </c>
      <c r="U1308">
        <v>7</v>
      </c>
      <c r="V1308" s="15">
        <f t="shared" ca="1" si="41"/>
        <v>2</v>
      </c>
    </row>
    <row r="1309" spans="1:22">
      <c r="A1309" t="s">
        <v>3772</v>
      </c>
      <c r="B1309" s="1">
        <v>41056.618703703702</v>
      </c>
      <c r="C1309" s="2">
        <v>1000000</v>
      </c>
      <c r="D1309">
        <v>1000000</v>
      </c>
      <c r="E1309" t="s">
        <v>1908</v>
      </c>
      <c r="F1309" s="5">
        <v>17807.916687442568</v>
      </c>
      <c r="G1309" s="5">
        <v>49795.837068021116</v>
      </c>
      <c r="H1309" s="5">
        <f ca="1">OFFSET(F1309,0,Brains!$D$1,1,1)</f>
        <v>49795.837068021116</v>
      </c>
      <c r="I1309" t="s">
        <v>3773</v>
      </c>
      <c r="J1309" t="s">
        <v>1882</v>
      </c>
      <c r="K1309" t="s">
        <v>1859</v>
      </c>
      <c r="L1309" t="s">
        <v>1859</v>
      </c>
      <c r="M1309" s="11" t="s">
        <v>3918</v>
      </c>
      <c r="N1309" t="s">
        <v>1860</v>
      </c>
      <c r="O1309" s="7" t="s">
        <v>3920</v>
      </c>
      <c r="P1309" s="17" t="str">
        <f t="shared" ca="1" si="40"/>
        <v>30-49.9K</v>
      </c>
      <c r="Q1309" s="17">
        <v>5</v>
      </c>
      <c r="R1309">
        <v>5</v>
      </c>
      <c r="S1309">
        <v>4</v>
      </c>
      <c r="T1309">
        <v>1</v>
      </c>
      <c r="U1309">
        <v>7</v>
      </c>
      <c r="V1309" s="15">
        <f t="shared" ca="1" si="41"/>
        <v>3</v>
      </c>
    </row>
    <row r="1310" spans="1:22">
      <c r="A1310" t="s">
        <v>3787</v>
      </c>
      <c r="B1310" s="1">
        <v>41056.658368055556</v>
      </c>
      <c r="C1310" s="2">
        <v>16350</v>
      </c>
      <c r="D1310">
        <v>16350</v>
      </c>
      <c r="E1310" t="s">
        <v>1856</v>
      </c>
      <c r="F1310" s="5">
        <v>16350</v>
      </c>
      <c r="G1310" s="5">
        <v>16350</v>
      </c>
      <c r="H1310" s="5">
        <f ca="1">OFFSET(F1310,0,Brains!$D$1,1,1)</f>
        <v>16350</v>
      </c>
      <c r="I1310" t="s">
        <v>3423</v>
      </c>
      <c r="J1310" t="s">
        <v>1882</v>
      </c>
      <c r="K1310" t="s">
        <v>1859</v>
      </c>
      <c r="L1310" t="s">
        <v>1859</v>
      </c>
      <c r="M1310" s="11" t="s">
        <v>3918</v>
      </c>
      <c r="N1310" t="s">
        <v>1860</v>
      </c>
      <c r="O1310" s="7" t="s">
        <v>3920</v>
      </c>
      <c r="P1310" s="17" t="str">
        <f t="shared" ca="1" si="40"/>
        <v>15-29.9K</v>
      </c>
      <c r="Q1310" s="17">
        <v>5</v>
      </c>
      <c r="R1310">
        <v>5</v>
      </c>
      <c r="S1310">
        <v>4</v>
      </c>
      <c r="T1310">
        <v>1</v>
      </c>
      <c r="U1310">
        <v>7</v>
      </c>
      <c r="V1310" s="15">
        <f t="shared" ca="1" si="41"/>
        <v>2</v>
      </c>
    </row>
    <row r="1311" spans="1:22">
      <c r="A1311" t="s">
        <v>1635</v>
      </c>
      <c r="B1311" s="1">
        <v>41072.678067129629</v>
      </c>
      <c r="C1311" s="2">
        <v>14000</v>
      </c>
      <c r="D1311">
        <v>14000</v>
      </c>
      <c r="E1311" t="s">
        <v>1856</v>
      </c>
      <c r="F1311" s="5">
        <v>14000</v>
      </c>
      <c r="G1311" s="5">
        <v>14000</v>
      </c>
      <c r="H1311" s="5">
        <f ca="1">OFFSET(F1311,0,Brains!$D$1,1,1)</f>
        <v>14000</v>
      </c>
      <c r="I1311" t="s">
        <v>1882</v>
      </c>
      <c r="J1311" t="s">
        <v>1882</v>
      </c>
      <c r="K1311" t="s">
        <v>1859</v>
      </c>
      <c r="L1311" t="s">
        <v>1859</v>
      </c>
      <c r="M1311" s="11" t="s">
        <v>3918</v>
      </c>
      <c r="N1311" t="s">
        <v>1860</v>
      </c>
      <c r="O1311" s="7" t="s">
        <v>3920</v>
      </c>
      <c r="P1311" s="17" t="str">
        <f t="shared" ca="1" si="40"/>
        <v>0-14.9K</v>
      </c>
      <c r="Q1311" s="17">
        <v>5</v>
      </c>
      <c r="R1311">
        <v>5</v>
      </c>
      <c r="S1311">
        <v>4</v>
      </c>
      <c r="T1311">
        <v>1</v>
      </c>
      <c r="U1311">
        <v>7</v>
      </c>
      <c r="V1311" s="15">
        <f t="shared" ca="1" si="41"/>
        <v>1</v>
      </c>
    </row>
    <row r="1312" spans="1:22">
      <c r="A1312" t="s">
        <v>369</v>
      </c>
      <c r="B1312" s="1">
        <v>41057.871168981481</v>
      </c>
      <c r="C1312" s="2" t="s">
        <v>370</v>
      </c>
      <c r="D1312">
        <v>708000</v>
      </c>
      <c r="E1312" t="s">
        <v>1908</v>
      </c>
      <c r="F1312" s="5">
        <v>12608.005014709339</v>
      </c>
      <c r="G1312" s="5">
        <v>35255.452644158948</v>
      </c>
      <c r="H1312" s="5">
        <f ca="1">OFFSET(F1312,0,Brains!$D$1,1,1)</f>
        <v>35255.452644158948</v>
      </c>
      <c r="I1312" t="s">
        <v>371</v>
      </c>
      <c r="J1312" t="s">
        <v>1882</v>
      </c>
      <c r="K1312" t="s">
        <v>1859</v>
      </c>
      <c r="L1312" t="s">
        <v>1859</v>
      </c>
      <c r="M1312" s="11" t="s">
        <v>3918</v>
      </c>
      <c r="N1312" t="s">
        <v>1860</v>
      </c>
      <c r="O1312" s="7" t="s">
        <v>3920</v>
      </c>
      <c r="P1312" s="17" t="str">
        <f t="shared" ca="1" si="40"/>
        <v>30-49.9K</v>
      </c>
      <c r="Q1312" s="17">
        <v>5</v>
      </c>
      <c r="R1312">
        <v>5</v>
      </c>
      <c r="S1312">
        <v>4</v>
      </c>
      <c r="T1312">
        <v>1</v>
      </c>
      <c r="U1312">
        <v>7</v>
      </c>
      <c r="V1312" s="15">
        <f t="shared" ca="1" si="41"/>
        <v>3</v>
      </c>
    </row>
    <row r="1313" spans="1:22">
      <c r="A1313" t="s">
        <v>3879</v>
      </c>
      <c r="B1313" s="1">
        <v>41057.155555555553</v>
      </c>
      <c r="C1313" s="2" t="s">
        <v>3880</v>
      </c>
      <c r="D1313">
        <v>2000000</v>
      </c>
      <c r="E1313" t="s">
        <v>3465</v>
      </c>
      <c r="F1313" s="5">
        <v>12326.656394453004</v>
      </c>
      <c r="G1313" s="5">
        <v>20555.407099837612</v>
      </c>
      <c r="H1313" s="5">
        <f ca="1">OFFSET(F1313,0,Brains!$D$1,1,1)</f>
        <v>20555.407099837612</v>
      </c>
      <c r="I1313" t="s">
        <v>3881</v>
      </c>
      <c r="J1313" t="s">
        <v>1882</v>
      </c>
      <c r="K1313" t="s">
        <v>3467</v>
      </c>
      <c r="L1313" t="s">
        <v>3467</v>
      </c>
      <c r="M1313" s="11" t="s">
        <v>3918</v>
      </c>
      <c r="N1313" t="s">
        <v>1860</v>
      </c>
      <c r="O1313" s="7" t="s">
        <v>3920</v>
      </c>
      <c r="P1313" s="17" t="str">
        <f t="shared" ca="1" si="40"/>
        <v>15-29.9K</v>
      </c>
      <c r="Q1313" s="17">
        <v>5</v>
      </c>
      <c r="R1313">
        <v>5</v>
      </c>
      <c r="S1313">
        <v>4</v>
      </c>
      <c r="T1313">
        <v>1</v>
      </c>
      <c r="U1313">
        <v>7</v>
      </c>
      <c r="V1313" s="15">
        <f t="shared" ca="1" si="41"/>
        <v>2</v>
      </c>
    </row>
    <row r="1314" spans="1:22">
      <c r="A1314" t="s">
        <v>3610</v>
      </c>
      <c r="B1314" s="1">
        <v>41055.953877314816</v>
      </c>
      <c r="C1314" s="2" t="s">
        <v>3611</v>
      </c>
      <c r="D1314">
        <v>12000</v>
      </c>
      <c r="E1314" t="s">
        <v>1856</v>
      </c>
      <c r="F1314" s="5">
        <v>12000</v>
      </c>
      <c r="G1314" s="5">
        <v>12000</v>
      </c>
      <c r="H1314" s="5">
        <f ca="1">OFFSET(F1314,0,Brains!$D$1,1,1)</f>
        <v>12000</v>
      </c>
      <c r="I1314" t="s">
        <v>3612</v>
      </c>
      <c r="J1314" t="s">
        <v>1882</v>
      </c>
      <c r="K1314" t="s">
        <v>1887</v>
      </c>
      <c r="L1314" t="s">
        <v>1887</v>
      </c>
      <c r="M1314" s="11" t="s">
        <v>3918</v>
      </c>
      <c r="N1314" t="s">
        <v>1860</v>
      </c>
      <c r="O1314" s="7" t="s">
        <v>3920</v>
      </c>
      <c r="P1314" s="17" t="str">
        <f t="shared" ca="1" si="40"/>
        <v>0-14.9K</v>
      </c>
      <c r="Q1314" s="17">
        <v>5</v>
      </c>
      <c r="R1314">
        <v>5</v>
      </c>
      <c r="S1314">
        <v>4</v>
      </c>
      <c r="T1314">
        <v>1</v>
      </c>
      <c r="U1314">
        <v>7</v>
      </c>
      <c r="V1314" s="15">
        <f t="shared" ca="1" si="41"/>
        <v>1</v>
      </c>
    </row>
    <row r="1315" spans="1:22">
      <c r="A1315" t="s">
        <v>3425</v>
      </c>
      <c r="B1315" s="1">
        <v>41055.662499999999</v>
      </c>
      <c r="C1315" s="2" t="s">
        <v>3426</v>
      </c>
      <c r="D1315">
        <v>600000</v>
      </c>
      <c r="E1315" t="s">
        <v>1908</v>
      </c>
      <c r="F1315" s="5">
        <v>10684.750012465542</v>
      </c>
      <c r="G1315" s="5">
        <v>29877.502240812668</v>
      </c>
      <c r="H1315" s="5">
        <f ca="1">OFFSET(F1315,0,Brains!$D$1,1,1)</f>
        <v>29877.502240812668</v>
      </c>
      <c r="I1315" t="s">
        <v>3022</v>
      </c>
      <c r="J1315" t="s">
        <v>1882</v>
      </c>
      <c r="K1315" t="s">
        <v>1859</v>
      </c>
      <c r="L1315" t="s">
        <v>1859</v>
      </c>
      <c r="M1315" s="11" t="s">
        <v>3918</v>
      </c>
      <c r="N1315" t="s">
        <v>1860</v>
      </c>
      <c r="O1315" s="7" t="s">
        <v>3920</v>
      </c>
      <c r="P1315" s="17" t="str">
        <f t="shared" ca="1" si="40"/>
        <v>15-29.9K</v>
      </c>
      <c r="Q1315" s="17">
        <v>5</v>
      </c>
      <c r="R1315">
        <v>5</v>
      </c>
      <c r="S1315">
        <v>4</v>
      </c>
      <c r="T1315">
        <v>1</v>
      </c>
      <c r="U1315">
        <v>7</v>
      </c>
      <c r="V1315" s="15">
        <f t="shared" ca="1" si="41"/>
        <v>2</v>
      </c>
    </row>
    <row r="1316" spans="1:22">
      <c r="A1316" t="s">
        <v>1350</v>
      </c>
      <c r="B1316" s="1">
        <v>41064.072951388887</v>
      </c>
      <c r="C1316" s="2">
        <v>340000</v>
      </c>
      <c r="D1316">
        <v>340000</v>
      </c>
      <c r="E1316" t="s">
        <v>1908</v>
      </c>
      <c r="F1316" s="5">
        <v>6054.6916737304728</v>
      </c>
      <c r="G1316" s="5">
        <v>16930.584603127179</v>
      </c>
      <c r="H1316" s="5">
        <f ca="1">OFFSET(F1316,0,Brains!$D$1,1,1)</f>
        <v>16930.584603127179</v>
      </c>
      <c r="I1316" t="s">
        <v>3743</v>
      </c>
      <c r="J1316" t="s">
        <v>1882</v>
      </c>
      <c r="K1316" t="s">
        <v>1859</v>
      </c>
      <c r="L1316" t="s">
        <v>1859</v>
      </c>
      <c r="M1316" s="11" t="s">
        <v>3918</v>
      </c>
      <c r="N1316" t="s">
        <v>1860</v>
      </c>
      <c r="O1316" s="7" t="s">
        <v>3920</v>
      </c>
      <c r="P1316" s="17" t="str">
        <f t="shared" ca="1" si="40"/>
        <v>15-29.9K</v>
      </c>
      <c r="Q1316" s="17">
        <v>5</v>
      </c>
      <c r="R1316">
        <v>5</v>
      </c>
      <c r="S1316">
        <v>4</v>
      </c>
      <c r="T1316">
        <v>1</v>
      </c>
      <c r="U1316">
        <v>7</v>
      </c>
      <c r="V1316" s="15">
        <f t="shared" ca="1" si="41"/>
        <v>2</v>
      </c>
    </row>
    <row r="1317" spans="1:22">
      <c r="A1317" t="s">
        <v>136</v>
      </c>
      <c r="B1317" s="1">
        <v>41057.549791666665</v>
      </c>
      <c r="C1317" s="2">
        <v>6000</v>
      </c>
      <c r="D1317">
        <v>6000</v>
      </c>
      <c r="E1317" t="s">
        <v>1856</v>
      </c>
      <c r="F1317" s="5">
        <v>6000</v>
      </c>
      <c r="G1317" s="5">
        <v>6000</v>
      </c>
      <c r="H1317" s="5">
        <f ca="1">OFFSET(F1317,0,Brains!$D$1,1,1)</f>
        <v>6000</v>
      </c>
      <c r="I1317" t="s">
        <v>1882</v>
      </c>
      <c r="J1317" t="s">
        <v>1882</v>
      </c>
      <c r="K1317" t="s">
        <v>1859</v>
      </c>
      <c r="L1317" t="s">
        <v>1859</v>
      </c>
      <c r="M1317" s="11" t="s">
        <v>3918</v>
      </c>
      <c r="N1317" t="s">
        <v>1860</v>
      </c>
      <c r="O1317" s="7" t="s">
        <v>3920</v>
      </c>
      <c r="P1317" s="17" t="str">
        <f t="shared" ca="1" si="40"/>
        <v>0-14.9K</v>
      </c>
      <c r="Q1317" s="17">
        <v>5</v>
      </c>
      <c r="R1317">
        <v>5</v>
      </c>
      <c r="S1317">
        <v>4</v>
      </c>
      <c r="T1317">
        <v>1</v>
      </c>
      <c r="U1317">
        <v>7</v>
      </c>
      <c r="V1317" s="15">
        <f t="shared" ca="1" si="41"/>
        <v>1</v>
      </c>
    </row>
    <row r="1318" spans="1:22">
      <c r="A1318" t="s">
        <v>1310</v>
      </c>
      <c r="B1318" s="1">
        <v>41063.065243055556</v>
      </c>
      <c r="C1318" s="2">
        <v>320000</v>
      </c>
      <c r="D1318">
        <v>320000</v>
      </c>
      <c r="E1318" t="s">
        <v>1908</v>
      </c>
      <c r="F1318" s="5">
        <v>5698.5333399816218</v>
      </c>
      <c r="G1318" s="5">
        <v>15934.667861766757</v>
      </c>
      <c r="H1318" s="5">
        <f ca="1">OFFSET(F1318,0,Brains!$D$1,1,1)</f>
        <v>15934.667861766757</v>
      </c>
      <c r="I1318" t="s">
        <v>3352</v>
      </c>
      <c r="J1318" t="s">
        <v>1882</v>
      </c>
      <c r="K1318" t="s">
        <v>1859</v>
      </c>
      <c r="L1318" t="s">
        <v>1859</v>
      </c>
      <c r="M1318" s="11" t="s">
        <v>3918</v>
      </c>
      <c r="N1318" t="s">
        <v>1860</v>
      </c>
      <c r="O1318" s="7" t="s">
        <v>3920</v>
      </c>
      <c r="P1318" s="17" t="str">
        <f t="shared" ca="1" si="40"/>
        <v>15-29.9K</v>
      </c>
      <c r="Q1318" s="17">
        <v>5</v>
      </c>
      <c r="R1318">
        <v>5</v>
      </c>
      <c r="S1318">
        <v>4</v>
      </c>
      <c r="T1318">
        <v>1</v>
      </c>
      <c r="U1318">
        <v>7</v>
      </c>
      <c r="V1318" s="15">
        <f t="shared" ca="1" si="41"/>
        <v>2</v>
      </c>
    </row>
    <row r="1319" spans="1:22">
      <c r="A1319" t="s">
        <v>774</v>
      </c>
      <c r="B1319" s="1">
        <v>41058.760335648149</v>
      </c>
      <c r="C1319" s="2" t="s">
        <v>775</v>
      </c>
      <c r="D1319">
        <v>5300</v>
      </c>
      <c r="E1319" t="s">
        <v>1856</v>
      </c>
      <c r="F1319" s="5">
        <v>5300</v>
      </c>
      <c r="G1319" s="5">
        <v>5300</v>
      </c>
      <c r="H1319" s="5">
        <f ca="1">OFFSET(F1319,0,Brains!$D$1,1,1)</f>
        <v>5300</v>
      </c>
      <c r="I1319" t="s">
        <v>776</v>
      </c>
      <c r="J1319" t="s">
        <v>1882</v>
      </c>
      <c r="K1319" t="s">
        <v>1872</v>
      </c>
      <c r="L1319" t="s">
        <v>1872</v>
      </c>
      <c r="M1319" s="11" t="s">
        <v>3918</v>
      </c>
      <c r="N1319" t="s">
        <v>1860</v>
      </c>
      <c r="O1319" s="7" t="s">
        <v>3920</v>
      </c>
      <c r="P1319" s="17" t="str">
        <f t="shared" ca="1" si="40"/>
        <v>0-14.9K</v>
      </c>
      <c r="Q1319" s="17">
        <v>5</v>
      </c>
      <c r="R1319">
        <v>5</v>
      </c>
      <c r="S1319">
        <v>4</v>
      </c>
      <c r="T1319">
        <v>1</v>
      </c>
      <c r="U1319">
        <v>7</v>
      </c>
      <c r="V1319" s="15">
        <f t="shared" ca="1" si="41"/>
        <v>1</v>
      </c>
    </row>
    <row r="1320" spans="1:22">
      <c r="A1320" t="s">
        <v>3338</v>
      </c>
      <c r="B1320" s="1">
        <v>41055.567939814813</v>
      </c>
      <c r="C1320" s="2">
        <v>278400</v>
      </c>
      <c r="D1320">
        <v>278400</v>
      </c>
      <c r="E1320" t="s">
        <v>1908</v>
      </c>
      <c r="F1320" s="5">
        <v>4957.7240057840108</v>
      </c>
      <c r="G1320" s="5">
        <v>13863.161039737077</v>
      </c>
      <c r="H1320" s="5">
        <f ca="1">OFFSET(F1320,0,Brains!$D$1,1,1)</f>
        <v>13863.161039737077</v>
      </c>
      <c r="I1320" t="s">
        <v>3339</v>
      </c>
      <c r="J1320" t="s">
        <v>1882</v>
      </c>
      <c r="K1320" t="s">
        <v>1859</v>
      </c>
      <c r="L1320" t="s">
        <v>1859</v>
      </c>
      <c r="M1320" s="11" t="s">
        <v>3918</v>
      </c>
      <c r="N1320" t="s">
        <v>1860</v>
      </c>
      <c r="O1320" s="7" t="s">
        <v>3920</v>
      </c>
      <c r="P1320" s="17" t="str">
        <f t="shared" ca="1" si="40"/>
        <v>0-14.9K</v>
      </c>
      <c r="Q1320" s="17">
        <v>5</v>
      </c>
      <c r="R1320">
        <v>5</v>
      </c>
      <c r="S1320">
        <v>4</v>
      </c>
      <c r="T1320">
        <v>1</v>
      </c>
      <c r="U1320">
        <v>7</v>
      </c>
      <c r="V1320" s="15">
        <f t="shared" ca="1" si="41"/>
        <v>1</v>
      </c>
    </row>
    <row r="1321" spans="1:22">
      <c r="A1321" t="s">
        <v>1154</v>
      </c>
      <c r="B1321" s="1">
        <v>41060.73233796296</v>
      </c>
      <c r="C1321" s="2" t="s">
        <v>1155</v>
      </c>
      <c r="D1321">
        <v>180000</v>
      </c>
      <c r="E1321" t="s">
        <v>1908</v>
      </c>
      <c r="F1321" s="5">
        <v>3205.4250037396623</v>
      </c>
      <c r="G1321" s="5">
        <v>8963.2506722437993</v>
      </c>
      <c r="H1321" s="5">
        <f ca="1">OFFSET(F1321,0,Brains!$D$1,1,1)</f>
        <v>8963.2506722437993</v>
      </c>
      <c r="I1321" t="s">
        <v>1156</v>
      </c>
      <c r="J1321" t="s">
        <v>1882</v>
      </c>
      <c r="K1321" t="s">
        <v>1859</v>
      </c>
      <c r="L1321" t="s">
        <v>1859</v>
      </c>
      <c r="M1321" s="11" t="s">
        <v>3918</v>
      </c>
      <c r="N1321" t="s">
        <v>1860</v>
      </c>
      <c r="O1321" s="7" t="s">
        <v>3920</v>
      </c>
      <c r="P1321" s="17" t="str">
        <f t="shared" ca="1" si="40"/>
        <v>0-14.9K</v>
      </c>
      <c r="Q1321" s="17">
        <v>5</v>
      </c>
      <c r="R1321">
        <v>5</v>
      </c>
      <c r="S1321">
        <v>4</v>
      </c>
      <c r="T1321">
        <v>1</v>
      </c>
      <c r="U1321">
        <v>7</v>
      </c>
      <c r="V1321" s="15">
        <f t="shared" ca="1" si="41"/>
        <v>1</v>
      </c>
    </row>
    <row r="1322" spans="1:22">
      <c r="A1322" t="s">
        <v>3768</v>
      </c>
      <c r="B1322" s="1">
        <v>41056.616215277776</v>
      </c>
      <c r="C1322" s="2">
        <v>120000</v>
      </c>
      <c r="D1322">
        <v>120000</v>
      </c>
      <c r="E1322" t="s">
        <v>1908</v>
      </c>
      <c r="F1322" s="5">
        <v>2136.9500024931081</v>
      </c>
      <c r="G1322" s="5">
        <v>5975.5004481625338</v>
      </c>
      <c r="H1322" s="5">
        <f ca="1">OFFSET(F1322,0,Brains!$D$1,1,1)</f>
        <v>5975.5004481625338</v>
      </c>
      <c r="I1322" t="s">
        <v>3769</v>
      </c>
      <c r="J1322" t="s">
        <v>1882</v>
      </c>
      <c r="K1322" t="s">
        <v>1859</v>
      </c>
      <c r="L1322" t="s">
        <v>1859</v>
      </c>
      <c r="M1322" s="11" t="s">
        <v>3918</v>
      </c>
      <c r="N1322" t="s">
        <v>1860</v>
      </c>
      <c r="O1322" s="7" t="s">
        <v>3920</v>
      </c>
      <c r="P1322" s="17" t="str">
        <f t="shared" ca="1" si="40"/>
        <v>0-14.9K</v>
      </c>
      <c r="Q1322" s="17">
        <v>5</v>
      </c>
      <c r="R1322">
        <v>5</v>
      </c>
      <c r="S1322">
        <v>4</v>
      </c>
      <c r="T1322">
        <v>1</v>
      </c>
      <c r="U1322">
        <v>7</v>
      </c>
      <c r="V1322" s="15">
        <f t="shared" ca="1" si="41"/>
        <v>1</v>
      </c>
    </row>
    <row r="1323" spans="1:22">
      <c r="A1323" t="s">
        <v>1536</v>
      </c>
      <c r="B1323" s="1">
        <v>41068.613252314812</v>
      </c>
      <c r="C1323" s="2">
        <v>60000</v>
      </c>
      <c r="D1323">
        <v>60000</v>
      </c>
      <c r="E1323" t="s">
        <v>1856</v>
      </c>
      <c r="F1323" s="5">
        <v>60000</v>
      </c>
      <c r="G1323" s="5">
        <v>60000</v>
      </c>
      <c r="H1323" s="5">
        <f ca="1">OFFSET(F1323,0,Brains!$D$1,1,1)</f>
        <v>60000</v>
      </c>
      <c r="I1323" t="s">
        <v>1537</v>
      </c>
      <c r="J1323" t="s">
        <v>1882</v>
      </c>
      <c r="K1323" t="s">
        <v>1869</v>
      </c>
      <c r="L1323" t="s">
        <v>1869</v>
      </c>
      <c r="M1323" t="s">
        <v>3941</v>
      </c>
      <c r="N1323" t="s">
        <v>1866</v>
      </c>
      <c r="O1323" s="7" t="s">
        <v>3920</v>
      </c>
      <c r="P1323" s="17" t="str">
        <f t="shared" ca="1" si="40"/>
        <v>50-74.9K</v>
      </c>
      <c r="Q1323" s="17">
        <v>8</v>
      </c>
      <c r="R1323">
        <v>2</v>
      </c>
      <c r="S1323">
        <v>5</v>
      </c>
      <c r="T1323">
        <v>1</v>
      </c>
      <c r="U1323">
        <v>7</v>
      </c>
      <c r="V1323" s="15">
        <f t="shared" ca="1" si="41"/>
        <v>4</v>
      </c>
    </row>
    <row r="1324" spans="1:22">
      <c r="A1324" t="s">
        <v>1538</v>
      </c>
      <c r="B1324" s="1">
        <v>41068.613657407404</v>
      </c>
      <c r="C1324" s="2">
        <v>60000</v>
      </c>
      <c r="D1324">
        <v>60000</v>
      </c>
      <c r="E1324" t="s">
        <v>1856</v>
      </c>
      <c r="F1324" s="5">
        <v>60000</v>
      </c>
      <c r="G1324" s="5">
        <v>60000</v>
      </c>
      <c r="H1324" s="5">
        <f ca="1">OFFSET(F1324,0,Brains!$D$1,1,1)</f>
        <v>60000</v>
      </c>
      <c r="I1324" t="s">
        <v>1537</v>
      </c>
      <c r="J1324" t="s">
        <v>1882</v>
      </c>
      <c r="K1324" t="s">
        <v>1869</v>
      </c>
      <c r="L1324" t="s">
        <v>1869</v>
      </c>
      <c r="M1324" t="s">
        <v>3941</v>
      </c>
      <c r="N1324" t="s">
        <v>1866</v>
      </c>
      <c r="O1324" s="7" t="s">
        <v>3920</v>
      </c>
      <c r="P1324" s="17" t="str">
        <f t="shared" ca="1" si="40"/>
        <v>50-74.9K</v>
      </c>
      <c r="Q1324" s="17">
        <v>8</v>
      </c>
      <c r="R1324">
        <v>2</v>
      </c>
      <c r="S1324">
        <v>5</v>
      </c>
      <c r="T1324">
        <v>1</v>
      </c>
      <c r="U1324">
        <v>7</v>
      </c>
      <c r="V1324" s="15">
        <f t="shared" ca="1" si="41"/>
        <v>4</v>
      </c>
    </row>
    <row r="1325" spans="1:22">
      <c r="A1325" t="s">
        <v>1562</v>
      </c>
      <c r="B1325" s="1">
        <v>41069.139062499999</v>
      </c>
      <c r="C1325" s="2">
        <v>52500</v>
      </c>
      <c r="D1325">
        <v>52500</v>
      </c>
      <c r="E1325" t="s">
        <v>1856</v>
      </c>
      <c r="F1325" s="5">
        <v>52500</v>
      </c>
      <c r="G1325" s="5">
        <v>52500</v>
      </c>
      <c r="H1325" s="5">
        <f ca="1">OFFSET(F1325,0,Brains!$D$1,1,1)</f>
        <v>52500</v>
      </c>
      <c r="I1325" t="s">
        <v>1563</v>
      </c>
      <c r="J1325" t="s">
        <v>1882</v>
      </c>
      <c r="K1325" t="s">
        <v>1869</v>
      </c>
      <c r="L1325" t="s">
        <v>1869</v>
      </c>
      <c r="M1325" t="s">
        <v>3941</v>
      </c>
      <c r="N1325" t="s">
        <v>1866</v>
      </c>
      <c r="O1325" s="7" t="s">
        <v>3920</v>
      </c>
      <c r="P1325" s="17" t="str">
        <f t="shared" ca="1" si="40"/>
        <v>50-74.9K</v>
      </c>
      <c r="Q1325" s="17">
        <v>8</v>
      </c>
      <c r="R1325">
        <v>3</v>
      </c>
      <c r="S1325">
        <v>5</v>
      </c>
      <c r="T1325">
        <v>1</v>
      </c>
      <c r="U1325">
        <v>7</v>
      </c>
      <c r="V1325" s="15">
        <f t="shared" ca="1" si="41"/>
        <v>4</v>
      </c>
    </row>
    <row r="1326" spans="1:22">
      <c r="A1326" t="s">
        <v>3723</v>
      </c>
      <c r="B1326" s="1">
        <v>41056.522743055553</v>
      </c>
      <c r="C1326" s="2" t="s">
        <v>3724</v>
      </c>
      <c r="D1326">
        <v>62000</v>
      </c>
      <c r="E1326" t="s">
        <v>1856</v>
      </c>
      <c r="F1326" s="5">
        <v>62000</v>
      </c>
      <c r="G1326" s="5">
        <v>62000</v>
      </c>
      <c r="H1326" s="5">
        <f ca="1">OFFSET(F1326,0,Brains!$D$1,1,1)</f>
        <v>62000</v>
      </c>
      <c r="I1326" t="s">
        <v>3725</v>
      </c>
      <c r="J1326" t="s">
        <v>1882</v>
      </c>
      <c r="K1326" t="s">
        <v>3726</v>
      </c>
      <c r="L1326" t="s">
        <v>3726</v>
      </c>
      <c r="M1326" s="7" t="s">
        <v>3941</v>
      </c>
      <c r="N1326" t="s">
        <v>1866</v>
      </c>
      <c r="O1326" s="7" t="s">
        <v>3922</v>
      </c>
      <c r="P1326" s="17" t="str">
        <f t="shared" ca="1" si="40"/>
        <v>50-74.9K</v>
      </c>
      <c r="Q1326" s="17">
        <v>8</v>
      </c>
      <c r="R1326">
        <v>11</v>
      </c>
      <c r="S1326">
        <v>5</v>
      </c>
      <c r="T1326">
        <v>3</v>
      </c>
      <c r="U1326">
        <v>7</v>
      </c>
      <c r="V1326" s="15">
        <f t="shared" ca="1" si="41"/>
        <v>4</v>
      </c>
    </row>
    <row r="1327" spans="1:22">
      <c r="A1327" t="s">
        <v>3257</v>
      </c>
      <c r="B1327" s="1">
        <v>41055.519571759258</v>
      </c>
      <c r="C1327" s="2" t="s">
        <v>3258</v>
      </c>
      <c r="D1327">
        <v>165000</v>
      </c>
      <c r="E1327" t="s">
        <v>1908</v>
      </c>
      <c r="F1327" s="5">
        <v>2938.3062534280239</v>
      </c>
      <c r="G1327" s="5">
        <v>8216.313116223484</v>
      </c>
      <c r="H1327" s="5">
        <f ca="1">OFFSET(F1327,0,Brains!$D$1,1,1)</f>
        <v>8216.313116223484</v>
      </c>
      <c r="I1327" t="s">
        <v>3259</v>
      </c>
      <c r="J1327" t="s">
        <v>1882</v>
      </c>
      <c r="K1327" t="s">
        <v>1859</v>
      </c>
      <c r="L1327" t="s">
        <v>1859</v>
      </c>
      <c r="M1327" s="7" t="s">
        <v>3941</v>
      </c>
      <c r="N1327" t="s">
        <v>1866</v>
      </c>
      <c r="O1327" s="7" t="s">
        <v>3922</v>
      </c>
      <c r="P1327" s="17" t="str">
        <f t="shared" ca="1" si="40"/>
        <v>0-14.9K</v>
      </c>
      <c r="Q1327" s="17">
        <v>8</v>
      </c>
      <c r="R1327">
        <v>11</v>
      </c>
      <c r="S1327">
        <v>5</v>
      </c>
      <c r="T1327">
        <v>3</v>
      </c>
      <c r="U1327">
        <v>7</v>
      </c>
      <c r="V1327" s="15">
        <f t="shared" ca="1" si="41"/>
        <v>1</v>
      </c>
    </row>
    <row r="1328" spans="1:22">
      <c r="A1328" t="s">
        <v>995</v>
      </c>
      <c r="B1328" s="1">
        <v>41059.603437500002</v>
      </c>
      <c r="C1328" s="2" t="s">
        <v>996</v>
      </c>
      <c r="D1328">
        <v>1150000</v>
      </c>
      <c r="E1328" t="s">
        <v>1908</v>
      </c>
      <c r="F1328" s="5">
        <v>20479.104190558952</v>
      </c>
      <c r="G1328" s="5">
        <v>57265.212628224283</v>
      </c>
      <c r="H1328" s="5">
        <f ca="1">OFFSET(F1328,0,Brains!$D$1,1,1)</f>
        <v>57265.212628224283</v>
      </c>
      <c r="I1328" t="s">
        <v>2184</v>
      </c>
      <c r="J1328" t="s">
        <v>1882</v>
      </c>
      <c r="K1328" t="s">
        <v>1859</v>
      </c>
      <c r="L1328" t="s">
        <v>1859</v>
      </c>
      <c r="M1328" s="7" t="s">
        <v>3941</v>
      </c>
      <c r="N1328" t="s">
        <v>1866</v>
      </c>
      <c r="O1328" s="7" t="s">
        <v>3922</v>
      </c>
      <c r="P1328" s="17" t="str">
        <f t="shared" ca="1" si="40"/>
        <v>50-74.9K</v>
      </c>
      <c r="Q1328" s="17">
        <v>8</v>
      </c>
      <c r="R1328">
        <v>12</v>
      </c>
      <c r="S1328">
        <v>5</v>
      </c>
      <c r="T1328">
        <v>3</v>
      </c>
      <c r="U1328">
        <v>7</v>
      </c>
      <c r="V1328" s="15">
        <f t="shared" ca="1" si="41"/>
        <v>4</v>
      </c>
    </row>
    <row r="1329" spans="1:22">
      <c r="A1329" t="s">
        <v>1264</v>
      </c>
      <c r="B1329" s="1">
        <v>41061.860381944447</v>
      </c>
      <c r="C1329" s="2">
        <v>10000</v>
      </c>
      <c r="D1329">
        <v>10000</v>
      </c>
      <c r="E1329" t="s">
        <v>1856</v>
      </c>
      <c r="F1329" s="5">
        <v>10000</v>
      </c>
      <c r="G1329" s="5">
        <v>10000</v>
      </c>
      <c r="H1329" s="5">
        <f ca="1">OFFSET(F1329,0,Brains!$D$1,1,1)</f>
        <v>10000</v>
      </c>
      <c r="I1329" t="s">
        <v>1265</v>
      </c>
      <c r="J1329" t="s">
        <v>1882</v>
      </c>
      <c r="K1329" t="s">
        <v>1859</v>
      </c>
      <c r="L1329" t="s">
        <v>1859</v>
      </c>
      <c r="M1329" s="7" t="s">
        <v>3941</v>
      </c>
      <c r="N1329" t="s">
        <v>1866</v>
      </c>
      <c r="O1329" s="7" t="s">
        <v>3922</v>
      </c>
      <c r="P1329" s="17" t="str">
        <f t="shared" ca="1" si="40"/>
        <v>0-14.9K</v>
      </c>
      <c r="Q1329" s="17">
        <v>8</v>
      </c>
      <c r="R1329">
        <v>12</v>
      </c>
      <c r="S1329">
        <v>5</v>
      </c>
      <c r="T1329">
        <v>3</v>
      </c>
      <c r="U1329">
        <v>7</v>
      </c>
      <c r="V1329" s="15">
        <f t="shared" ca="1" si="41"/>
        <v>1</v>
      </c>
    </row>
    <row r="1330" spans="1:22">
      <c r="A1330" t="s">
        <v>293</v>
      </c>
      <c r="B1330" s="1">
        <v>41057.720590277779</v>
      </c>
      <c r="C1330" s="2">
        <v>60000</v>
      </c>
      <c r="D1330">
        <v>60000</v>
      </c>
      <c r="E1330" t="s">
        <v>1856</v>
      </c>
      <c r="F1330" s="5">
        <v>60000</v>
      </c>
      <c r="G1330" s="5">
        <v>60000</v>
      </c>
      <c r="H1330" s="5">
        <f ca="1">OFFSET(F1330,0,Brains!$D$1,1,1)</f>
        <v>60000</v>
      </c>
      <c r="I1330" t="s">
        <v>3012</v>
      </c>
      <c r="J1330" t="s">
        <v>1882</v>
      </c>
      <c r="K1330" t="s">
        <v>1859</v>
      </c>
      <c r="L1330" t="s">
        <v>1859</v>
      </c>
      <c r="M1330" s="7" t="s">
        <v>3941</v>
      </c>
      <c r="N1330" t="s">
        <v>1866</v>
      </c>
      <c r="O1330" s="7" t="s">
        <v>3922</v>
      </c>
      <c r="P1330" s="17" t="str">
        <f t="shared" ca="1" si="40"/>
        <v>50-74.9K</v>
      </c>
      <c r="Q1330" s="17">
        <v>8</v>
      </c>
      <c r="R1330">
        <v>14</v>
      </c>
      <c r="S1330">
        <v>5</v>
      </c>
      <c r="T1330">
        <v>3</v>
      </c>
      <c r="U1330">
        <v>7</v>
      </c>
      <c r="V1330" s="15">
        <f t="shared" ca="1" si="41"/>
        <v>4</v>
      </c>
    </row>
    <row r="1331" spans="1:22">
      <c r="A1331" t="s">
        <v>3493</v>
      </c>
      <c r="B1331" s="1">
        <v>41055.739282407405</v>
      </c>
      <c r="C1331" s="2" t="s">
        <v>3494</v>
      </c>
      <c r="D1331">
        <v>1200000</v>
      </c>
      <c r="E1331" t="s">
        <v>1908</v>
      </c>
      <c r="F1331" s="5">
        <v>21369.500024931083</v>
      </c>
      <c r="G1331" s="5">
        <v>59755.004481625336</v>
      </c>
      <c r="H1331" s="5">
        <f ca="1">OFFSET(F1331,0,Brains!$D$1,1,1)</f>
        <v>59755.004481625336</v>
      </c>
      <c r="I1331" t="s">
        <v>3495</v>
      </c>
      <c r="J1331" t="s">
        <v>1882</v>
      </c>
      <c r="K1331" t="s">
        <v>1859</v>
      </c>
      <c r="L1331" t="s">
        <v>1859</v>
      </c>
      <c r="M1331" s="7" t="s">
        <v>3941</v>
      </c>
      <c r="N1331" t="s">
        <v>1866</v>
      </c>
      <c r="O1331" s="7" t="s">
        <v>3922</v>
      </c>
      <c r="P1331" s="17" t="str">
        <f t="shared" ca="1" si="40"/>
        <v>50-74.9K</v>
      </c>
      <c r="Q1331" s="17">
        <v>8</v>
      </c>
      <c r="R1331">
        <v>14</v>
      </c>
      <c r="S1331">
        <v>5</v>
      </c>
      <c r="T1331">
        <v>3</v>
      </c>
      <c r="U1331">
        <v>7</v>
      </c>
      <c r="V1331" s="15">
        <f t="shared" ca="1" si="41"/>
        <v>4</v>
      </c>
    </row>
    <row r="1332" spans="1:22">
      <c r="A1332" t="s">
        <v>1762</v>
      </c>
      <c r="B1332" s="1">
        <v>41077.168055555558</v>
      </c>
      <c r="C1332" s="2" t="s">
        <v>1763</v>
      </c>
      <c r="D1332">
        <v>100000</v>
      </c>
      <c r="E1332" t="s">
        <v>1856</v>
      </c>
      <c r="F1332" s="5">
        <v>100000</v>
      </c>
      <c r="G1332" s="5">
        <v>100000</v>
      </c>
      <c r="H1332" s="5">
        <f ca="1">OFFSET(F1332,0,Brains!$D$1,1,1)</f>
        <v>100000</v>
      </c>
      <c r="I1332" t="s">
        <v>1764</v>
      </c>
      <c r="J1332" t="s">
        <v>1882</v>
      </c>
      <c r="K1332" t="s">
        <v>2143</v>
      </c>
      <c r="L1332" t="s">
        <v>2143</v>
      </c>
      <c r="M1332" s="7" t="s">
        <v>3941</v>
      </c>
      <c r="N1332" t="s">
        <v>1866</v>
      </c>
      <c r="O1332" s="7" t="s">
        <v>3922</v>
      </c>
      <c r="P1332" s="17" t="str">
        <f t="shared" ca="1" si="40"/>
        <v>100-149.9K</v>
      </c>
      <c r="Q1332" s="17">
        <v>8</v>
      </c>
      <c r="R1332">
        <v>15</v>
      </c>
      <c r="S1332">
        <v>5</v>
      </c>
      <c r="T1332">
        <v>3</v>
      </c>
      <c r="U1332">
        <v>7</v>
      </c>
      <c r="V1332" s="15">
        <f t="shared" ca="1" si="41"/>
        <v>6</v>
      </c>
    </row>
    <row r="1333" spans="1:22">
      <c r="A1333" t="s">
        <v>99</v>
      </c>
      <c r="B1333" s="1">
        <v>41057.511030092595</v>
      </c>
      <c r="C1333" s="2" t="s">
        <v>100</v>
      </c>
      <c r="D1333">
        <v>92000</v>
      </c>
      <c r="E1333" t="s">
        <v>101</v>
      </c>
      <c r="F1333" s="5">
        <v>72571.80269935554</v>
      </c>
      <c r="G1333" s="5">
        <v>88038.277511961729</v>
      </c>
      <c r="H1333" s="5">
        <f ca="1">OFFSET(F1333,0,Brains!$D$1,1,1)</f>
        <v>88038.277511961729</v>
      </c>
      <c r="I1333" t="s">
        <v>3022</v>
      </c>
      <c r="J1333" t="s">
        <v>1882</v>
      </c>
      <c r="K1333" t="s">
        <v>2344</v>
      </c>
      <c r="L1333" t="s">
        <v>2344</v>
      </c>
      <c r="M1333" s="7" t="s">
        <v>3941</v>
      </c>
      <c r="N1333" t="s">
        <v>1866</v>
      </c>
      <c r="O1333" s="7" t="s">
        <v>3922</v>
      </c>
      <c r="P1333" s="17" t="str">
        <f t="shared" ca="1" si="40"/>
        <v>75-99.9K</v>
      </c>
      <c r="Q1333" s="17">
        <v>8</v>
      </c>
      <c r="R1333">
        <v>15</v>
      </c>
      <c r="S1333">
        <v>5</v>
      </c>
      <c r="T1333">
        <v>3</v>
      </c>
      <c r="U1333">
        <v>7</v>
      </c>
      <c r="V1333" s="15">
        <f t="shared" ca="1" si="41"/>
        <v>5</v>
      </c>
    </row>
    <row r="1334" spans="1:22">
      <c r="A1334" t="s">
        <v>3416</v>
      </c>
      <c r="B1334" s="1">
        <v>41055.64980324074</v>
      </c>
      <c r="C1334" s="2">
        <v>40000</v>
      </c>
      <c r="D1334">
        <v>40000</v>
      </c>
      <c r="E1334" t="s">
        <v>1856</v>
      </c>
      <c r="F1334" s="5">
        <v>40000</v>
      </c>
      <c r="G1334" s="5">
        <v>40000</v>
      </c>
      <c r="H1334" s="5">
        <f ca="1">OFFSET(F1334,0,Brains!$D$1,1,1)</f>
        <v>40000</v>
      </c>
      <c r="I1334" t="s">
        <v>3417</v>
      </c>
      <c r="J1334" t="s">
        <v>1882</v>
      </c>
      <c r="K1334" t="s">
        <v>1859</v>
      </c>
      <c r="L1334" t="s">
        <v>1859</v>
      </c>
      <c r="M1334" s="7" t="s">
        <v>3941</v>
      </c>
      <c r="N1334" t="s">
        <v>1866</v>
      </c>
      <c r="O1334" s="7" t="s">
        <v>3922</v>
      </c>
      <c r="P1334" s="17" t="str">
        <f t="shared" ca="1" si="40"/>
        <v>30-49.9K</v>
      </c>
      <c r="Q1334" s="17">
        <v>8</v>
      </c>
      <c r="R1334">
        <v>15</v>
      </c>
      <c r="S1334">
        <v>5</v>
      </c>
      <c r="T1334">
        <v>3</v>
      </c>
      <c r="U1334">
        <v>7</v>
      </c>
      <c r="V1334" s="15">
        <f t="shared" ca="1" si="41"/>
        <v>3</v>
      </c>
    </row>
    <row r="1335" spans="1:22">
      <c r="A1335" t="s">
        <v>281</v>
      </c>
      <c r="B1335" s="1">
        <v>41057.711157407408</v>
      </c>
      <c r="C1335" s="2" t="s">
        <v>282</v>
      </c>
      <c r="D1335">
        <v>100000</v>
      </c>
      <c r="E1335" t="s">
        <v>2912</v>
      </c>
      <c r="F1335" s="5">
        <v>12192.177986291113</v>
      </c>
      <c r="G1335" s="5">
        <v>17630.465444287729</v>
      </c>
      <c r="H1335" s="5">
        <f ca="1">OFFSET(F1335,0,Brains!$D$1,1,1)</f>
        <v>17630.465444287729</v>
      </c>
      <c r="I1335" t="s">
        <v>283</v>
      </c>
      <c r="J1335" t="s">
        <v>1882</v>
      </c>
      <c r="K1335" t="s">
        <v>1922</v>
      </c>
      <c r="L1335" t="s">
        <v>1922</v>
      </c>
      <c r="M1335" s="7" t="s">
        <v>3941</v>
      </c>
      <c r="N1335" t="s">
        <v>1866</v>
      </c>
      <c r="O1335" s="7" t="s">
        <v>3922</v>
      </c>
      <c r="P1335" s="17" t="str">
        <f t="shared" ca="1" si="40"/>
        <v>15-29.9K</v>
      </c>
      <c r="Q1335" s="17">
        <v>8</v>
      </c>
      <c r="R1335">
        <v>15</v>
      </c>
      <c r="S1335">
        <v>5</v>
      </c>
      <c r="T1335">
        <v>3</v>
      </c>
      <c r="U1335">
        <v>7</v>
      </c>
      <c r="V1335" s="15">
        <f t="shared" ca="1" si="41"/>
        <v>2</v>
      </c>
    </row>
    <row r="1336" spans="1:22">
      <c r="A1336" t="s">
        <v>102</v>
      </c>
      <c r="B1336" s="1">
        <v>41057.514444444445</v>
      </c>
      <c r="C1336" s="2" t="s">
        <v>103</v>
      </c>
      <c r="D1336">
        <v>450000</v>
      </c>
      <c r="E1336" t="s">
        <v>1908</v>
      </c>
      <c r="F1336" s="5">
        <v>8013.5625093491553</v>
      </c>
      <c r="G1336" s="5">
        <v>22408.126680609501</v>
      </c>
      <c r="H1336" s="5">
        <f ca="1">OFFSET(F1336,0,Brains!$D$1,1,1)</f>
        <v>22408.126680609501</v>
      </c>
      <c r="I1336" t="s">
        <v>3339</v>
      </c>
      <c r="J1336" t="s">
        <v>1882</v>
      </c>
      <c r="K1336" t="s">
        <v>1859</v>
      </c>
      <c r="L1336" t="s">
        <v>1859</v>
      </c>
      <c r="M1336" s="7" t="s">
        <v>3941</v>
      </c>
      <c r="N1336" t="s">
        <v>1866</v>
      </c>
      <c r="O1336" s="7" t="s">
        <v>3922</v>
      </c>
      <c r="P1336" s="17" t="str">
        <f t="shared" ca="1" si="40"/>
        <v>15-29.9K</v>
      </c>
      <c r="Q1336" s="17">
        <v>8</v>
      </c>
      <c r="R1336">
        <v>15</v>
      </c>
      <c r="S1336">
        <v>5</v>
      </c>
      <c r="T1336">
        <v>3</v>
      </c>
      <c r="U1336">
        <v>7</v>
      </c>
      <c r="V1336" s="15">
        <f t="shared" ca="1" si="41"/>
        <v>2</v>
      </c>
    </row>
    <row r="1337" spans="1:22">
      <c r="A1337" t="s">
        <v>170</v>
      </c>
      <c r="B1337" s="1">
        <v>41057.598634259259</v>
      </c>
      <c r="C1337" s="2" t="s">
        <v>171</v>
      </c>
      <c r="D1337">
        <v>16000</v>
      </c>
      <c r="E1337" t="s">
        <v>1880</v>
      </c>
      <c r="F1337" s="5">
        <v>20326.391023865726</v>
      </c>
      <c r="G1337" s="5">
        <v>20099.189500183405</v>
      </c>
      <c r="H1337" s="5">
        <f ca="1">OFFSET(F1337,0,Brains!$D$1,1,1)</f>
        <v>20099.189500183405</v>
      </c>
      <c r="I1337" t="s">
        <v>172</v>
      </c>
      <c r="J1337" t="s">
        <v>1882</v>
      </c>
      <c r="K1337" t="s">
        <v>2130</v>
      </c>
      <c r="L1337" t="s">
        <v>2130</v>
      </c>
      <c r="M1337" s="7" t="s">
        <v>3941</v>
      </c>
      <c r="N1337" t="s">
        <v>1866</v>
      </c>
      <c r="O1337" s="7" t="s">
        <v>3922</v>
      </c>
      <c r="P1337" s="17" t="str">
        <f t="shared" ca="1" si="40"/>
        <v>15-29.9K</v>
      </c>
      <c r="Q1337" s="17">
        <v>8</v>
      </c>
      <c r="R1337">
        <v>16</v>
      </c>
      <c r="S1337">
        <v>5</v>
      </c>
      <c r="T1337">
        <v>3</v>
      </c>
      <c r="U1337">
        <v>7</v>
      </c>
      <c r="V1337" s="15">
        <f t="shared" ca="1" si="41"/>
        <v>2</v>
      </c>
    </row>
    <row r="1338" spans="1:22">
      <c r="A1338" t="s">
        <v>380</v>
      </c>
      <c r="B1338" s="1">
        <v>41057.923750000002</v>
      </c>
      <c r="C1338" s="2">
        <v>30000</v>
      </c>
      <c r="D1338">
        <v>30000</v>
      </c>
      <c r="E1338" t="s">
        <v>1856</v>
      </c>
      <c r="F1338" s="5">
        <v>30000</v>
      </c>
      <c r="G1338" s="5">
        <v>30000</v>
      </c>
      <c r="H1338" s="5">
        <f ca="1">OFFSET(F1338,0,Brains!$D$1,1,1)</f>
        <v>30000</v>
      </c>
      <c r="I1338" t="s">
        <v>381</v>
      </c>
      <c r="J1338" t="s">
        <v>1882</v>
      </c>
      <c r="K1338" t="s">
        <v>382</v>
      </c>
      <c r="L1338" t="s">
        <v>2123</v>
      </c>
      <c r="M1338" s="7" t="s">
        <v>3941</v>
      </c>
      <c r="N1338" t="s">
        <v>1866</v>
      </c>
      <c r="O1338" s="7" t="s">
        <v>3922</v>
      </c>
      <c r="P1338" s="17" t="str">
        <f t="shared" ca="1" si="40"/>
        <v>30-49.9K</v>
      </c>
      <c r="Q1338" s="17">
        <v>8</v>
      </c>
      <c r="R1338">
        <v>17</v>
      </c>
      <c r="S1338">
        <v>5</v>
      </c>
      <c r="T1338">
        <v>3</v>
      </c>
      <c r="U1338">
        <v>7</v>
      </c>
      <c r="V1338" s="15">
        <f t="shared" ca="1" si="41"/>
        <v>3</v>
      </c>
    </row>
    <row r="1339" spans="1:22">
      <c r="A1339" t="s">
        <v>3719</v>
      </c>
      <c r="B1339" s="1">
        <v>41056.49324074074</v>
      </c>
      <c r="C1339" s="2">
        <v>1000</v>
      </c>
      <c r="D1339">
        <v>12000</v>
      </c>
      <c r="E1339" t="s">
        <v>1856</v>
      </c>
      <c r="F1339" s="5">
        <v>12000</v>
      </c>
      <c r="G1339" s="5">
        <v>12000</v>
      </c>
      <c r="H1339" s="5">
        <f ca="1">OFFSET(F1339,0,Brains!$D$1,1,1)</f>
        <v>12000</v>
      </c>
      <c r="I1339" t="s">
        <v>3720</v>
      </c>
      <c r="J1339" t="s">
        <v>1882</v>
      </c>
      <c r="K1339" t="s">
        <v>2143</v>
      </c>
      <c r="L1339" t="s">
        <v>2143</v>
      </c>
      <c r="M1339" s="7" t="s">
        <v>3941</v>
      </c>
      <c r="N1339" t="s">
        <v>1866</v>
      </c>
      <c r="O1339" s="7" t="s">
        <v>3922</v>
      </c>
      <c r="P1339" s="17" t="str">
        <f t="shared" ca="1" si="40"/>
        <v>0-14.9K</v>
      </c>
      <c r="Q1339" s="17">
        <v>8</v>
      </c>
      <c r="R1339">
        <v>18</v>
      </c>
      <c r="S1339">
        <v>5</v>
      </c>
      <c r="T1339">
        <v>3</v>
      </c>
      <c r="U1339">
        <v>7</v>
      </c>
      <c r="V1339" s="15">
        <f t="shared" ca="1" si="41"/>
        <v>1</v>
      </c>
    </row>
    <row r="1340" spans="1:22">
      <c r="A1340" t="s">
        <v>1031</v>
      </c>
      <c r="B1340" s="1">
        <v>41059.782835648148</v>
      </c>
      <c r="C1340" s="2" t="s">
        <v>1032</v>
      </c>
      <c r="D1340">
        <v>3200</v>
      </c>
      <c r="E1340" t="s">
        <v>1856</v>
      </c>
      <c r="F1340" s="5">
        <v>3200</v>
      </c>
      <c r="G1340" s="5">
        <v>3200</v>
      </c>
      <c r="H1340" s="5">
        <f ca="1">OFFSET(F1340,0,Brains!$D$1,1,1)</f>
        <v>3200</v>
      </c>
      <c r="I1340" t="s">
        <v>1033</v>
      </c>
      <c r="J1340" t="s">
        <v>1882</v>
      </c>
      <c r="K1340" t="s">
        <v>1859</v>
      </c>
      <c r="L1340" t="s">
        <v>1859</v>
      </c>
      <c r="M1340" s="7" t="s">
        <v>3941</v>
      </c>
      <c r="N1340" t="s">
        <v>1866</v>
      </c>
      <c r="O1340" s="7" t="s">
        <v>3922</v>
      </c>
      <c r="P1340" s="17" t="str">
        <f t="shared" ca="1" si="40"/>
        <v>0-14.9K</v>
      </c>
      <c r="Q1340" s="17">
        <v>8</v>
      </c>
      <c r="R1340">
        <v>19</v>
      </c>
      <c r="S1340">
        <v>5</v>
      </c>
      <c r="T1340">
        <v>3</v>
      </c>
      <c r="U1340">
        <v>7</v>
      </c>
      <c r="V1340" s="15">
        <f t="shared" ca="1" si="41"/>
        <v>1</v>
      </c>
    </row>
    <row r="1341" spans="1:22">
      <c r="A1341" t="s">
        <v>746</v>
      </c>
      <c r="B1341" s="1">
        <v>41058.714606481481</v>
      </c>
      <c r="C1341" s="2" t="s">
        <v>747</v>
      </c>
      <c r="D1341">
        <v>60000</v>
      </c>
      <c r="E1341" t="s">
        <v>1856</v>
      </c>
      <c r="F1341" s="5">
        <v>60000</v>
      </c>
      <c r="G1341" s="5">
        <v>60000</v>
      </c>
      <c r="H1341" s="5">
        <f ca="1">OFFSET(F1341,0,Brains!$D$1,1,1)</f>
        <v>60000</v>
      </c>
      <c r="I1341" t="s">
        <v>748</v>
      </c>
      <c r="J1341" t="s">
        <v>1882</v>
      </c>
      <c r="K1341" t="s">
        <v>749</v>
      </c>
      <c r="L1341" t="s">
        <v>749</v>
      </c>
      <c r="M1341" s="7" t="s">
        <v>3941</v>
      </c>
      <c r="N1341" t="s">
        <v>1866</v>
      </c>
      <c r="O1341" s="7" t="s">
        <v>3922</v>
      </c>
      <c r="P1341" s="17" t="str">
        <f t="shared" ca="1" si="40"/>
        <v>50-74.9K</v>
      </c>
      <c r="Q1341" s="17">
        <v>8</v>
      </c>
      <c r="R1341">
        <v>20</v>
      </c>
      <c r="S1341">
        <v>5</v>
      </c>
      <c r="T1341">
        <v>3</v>
      </c>
      <c r="U1341">
        <v>7</v>
      </c>
      <c r="V1341" s="15">
        <f t="shared" ca="1" si="41"/>
        <v>4</v>
      </c>
    </row>
    <row r="1342" spans="1:22">
      <c r="A1342" t="s">
        <v>1018</v>
      </c>
      <c r="B1342" s="1">
        <v>41059.713738425926</v>
      </c>
      <c r="C1342" s="2" t="s">
        <v>1019</v>
      </c>
      <c r="D1342">
        <v>37000</v>
      </c>
      <c r="E1342" t="s">
        <v>1954</v>
      </c>
      <c r="F1342" s="5">
        <v>58318.59606648951</v>
      </c>
      <c r="G1342" s="5">
        <v>54896.142433234418</v>
      </c>
      <c r="H1342" s="5">
        <f ca="1">OFFSET(F1342,0,Brains!$D$1,1,1)</f>
        <v>54896.142433234418</v>
      </c>
      <c r="I1342" t="s">
        <v>1020</v>
      </c>
      <c r="J1342" t="s">
        <v>1882</v>
      </c>
      <c r="K1342" t="s">
        <v>1956</v>
      </c>
      <c r="L1342" t="s">
        <v>1956</v>
      </c>
      <c r="M1342" s="7" t="s">
        <v>3941</v>
      </c>
      <c r="N1342" t="s">
        <v>1866</v>
      </c>
      <c r="O1342" s="7" t="s">
        <v>3922</v>
      </c>
      <c r="P1342" s="17" t="str">
        <f t="shared" ca="1" si="40"/>
        <v>50-74.9K</v>
      </c>
      <c r="Q1342" s="17">
        <v>8</v>
      </c>
      <c r="R1342">
        <v>20</v>
      </c>
      <c r="S1342">
        <v>5</v>
      </c>
      <c r="T1342">
        <v>3</v>
      </c>
      <c r="U1342">
        <v>7</v>
      </c>
      <c r="V1342" s="15">
        <f t="shared" ca="1" si="41"/>
        <v>4</v>
      </c>
    </row>
    <row r="1343" spans="1:22">
      <c r="A1343" t="s">
        <v>3635</v>
      </c>
      <c r="B1343" s="1">
        <v>41055.973576388889</v>
      </c>
      <c r="C1343" s="2" t="s">
        <v>3636</v>
      </c>
      <c r="D1343">
        <v>600000</v>
      </c>
      <c r="E1343" t="s">
        <v>1908</v>
      </c>
      <c r="F1343" s="5">
        <v>10684.750012465542</v>
      </c>
      <c r="G1343" s="5">
        <v>29877.502240812668</v>
      </c>
      <c r="H1343" s="5">
        <f ca="1">OFFSET(F1343,0,Brains!$D$1,1,1)</f>
        <v>29877.502240812668</v>
      </c>
      <c r="I1343" t="s">
        <v>3637</v>
      </c>
      <c r="J1343" t="s">
        <v>1882</v>
      </c>
      <c r="K1343" t="s">
        <v>1859</v>
      </c>
      <c r="L1343" t="s">
        <v>1859</v>
      </c>
      <c r="M1343" s="7" t="s">
        <v>3941</v>
      </c>
      <c r="N1343" t="s">
        <v>1866</v>
      </c>
      <c r="O1343" s="7" t="s">
        <v>3922</v>
      </c>
      <c r="P1343" s="17" t="str">
        <f t="shared" ca="1" si="40"/>
        <v>15-29.9K</v>
      </c>
      <c r="Q1343" s="17">
        <v>8</v>
      </c>
      <c r="R1343">
        <v>20</v>
      </c>
      <c r="S1343">
        <v>5</v>
      </c>
      <c r="T1343">
        <v>3</v>
      </c>
      <c r="U1343">
        <v>7</v>
      </c>
      <c r="V1343" s="15">
        <f t="shared" ca="1" si="41"/>
        <v>2</v>
      </c>
    </row>
    <row r="1344" spans="1:22">
      <c r="A1344" t="s">
        <v>1368</v>
      </c>
      <c r="B1344" s="1">
        <v>41064.688298611109</v>
      </c>
      <c r="C1344" s="2" t="s">
        <v>1369</v>
      </c>
      <c r="D1344">
        <v>500000</v>
      </c>
      <c r="E1344" t="s">
        <v>1908</v>
      </c>
      <c r="F1344" s="5">
        <v>8903.9583437212841</v>
      </c>
      <c r="G1344" s="5">
        <v>24897.918534010558</v>
      </c>
      <c r="H1344" s="5">
        <f ca="1">OFFSET(F1344,0,Brains!$D$1,1,1)</f>
        <v>24897.918534010558</v>
      </c>
      <c r="I1344" t="s">
        <v>3310</v>
      </c>
      <c r="J1344" t="s">
        <v>1882</v>
      </c>
      <c r="K1344" t="s">
        <v>1859</v>
      </c>
      <c r="L1344" t="s">
        <v>1859</v>
      </c>
      <c r="M1344" s="7" t="s">
        <v>3941</v>
      </c>
      <c r="N1344" t="s">
        <v>1866</v>
      </c>
      <c r="O1344" s="7" t="s">
        <v>3922</v>
      </c>
      <c r="P1344" s="17" t="str">
        <f t="shared" ca="1" si="40"/>
        <v>15-29.9K</v>
      </c>
      <c r="Q1344" s="17">
        <v>8</v>
      </c>
      <c r="R1344">
        <v>20</v>
      </c>
      <c r="S1344">
        <v>5</v>
      </c>
      <c r="T1344">
        <v>3</v>
      </c>
      <c r="U1344">
        <v>7</v>
      </c>
      <c r="V1344" s="15">
        <f t="shared" ca="1" si="41"/>
        <v>2</v>
      </c>
    </row>
    <row r="1345" spans="1:22">
      <c r="A1345" t="s">
        <v>911</v>
      </c>
      <c r="B1345" s="1">
        <v>41059.034756944442</v>
      </c>
      <c r="C1345" s="2">
        <v>81000</v>
      </c>
      <c r="D1345">
        <v>81000</v>
      </c>
      <c r="E1345" t="s">
        <v>1856</v>
      </c>
      <c r="F1345" s="5">
        <v>81000</v>
      </c>
      <c r="G1345" s="5">
        <v>81000</v>
      </c>
      <c r="H1345" s="5">
        <f ca="1">OFFSET(F1345,0,Brains!$D$1,1,1)</f>
        <v>81000</v>
      </c>
      <c r="I1345" t="s">
        <v>912</v>
      </c>
      <c r="J1345" t="s">
        <v>1882</v>
      </c>
      <c r="K1345" t="s">
        <v>1869</v>
      </c>
      <c r="L1345" t="s">
        <v>1869</v>
      </c>
      <c r="M1345" s="11" t="s">
        <v>3916</v>
      </c>
      <c r="N1345" t="s">
        <v>1884</v>
      </c>
      <c r="O1345" s="7" t="s">
        <v>3922</v>
      </c>
      <c r="P1345" s="17" t="str">
        <f t="shared" ca="1" si="40"/>
        <v>75-99.9K</v>
      </c>
      <c r="Q1345" s="17">
        <v>1.5</v>
      </c>
      <c r="R1345">
        <v>12</v>
      </c>
      <c r="S1345">
        <v>2</v>
      </c>
      <c r="T1345">
        <v>3</v>
      </c>
      <c r="U1345">
        <v>7</v>
      </c>
      <c r="V1345" s="15">
        <f t="shared" ca="1" si="41"/>
        <v>5</v>
      </c>
    </row>
    <row r="1346" spans="1:22">
      <c r="A1346" t="s">
        <v>482</v>
      </c>
      <c r="B1346" s="1">
        <v>41058.005277777775</v>
      </c>
      <c r="C1346" s="2">
        <v>20000</v>
      </c>
      <c r="D1346">
        <v>20000</v>
      </c>
      <c r="E1346" t="s">
        <v>1880</v>
      </c>
      <c r="F1346" s="5">
        <v>25407.988779832154</v>
      </c>
      <c r="G1346" s="5">
        <v>25123.986875229257</v>
      </c>
      <c r="H1346" s="5">
        <f ca="1">OFFSET(F1346,0,Brains!$D$1,1,1)</f>
        <v>25123.986875229257</v>
      </c>
      <c r="I1346" t="s">
        <v>483</v>
      </c>
      <c r="J1346" t="s">
        <v>1882</v>
      </c>
      <c r="K1346" t="s">
        <v>484</v>
      </c>
      <c r="L1346" t="s">
        <v>2130</v>
      </c>
      <c r="M1346" s="11" t="s">
        <v>3916</v>
      </c>
      <c r="N1346" t="s">
        <v>1884</v>
      </c>
      <c r="O1346" s="7" t="s">
        <v>3922</v>
      </c>
      <c r="P1346" s="17" t="str">
        <f t="shared" ref="P1346:P1409" ca="1" si="42">IF(H1346&lt;15000,"0-14.9K",IF(H1346&lt;30000,"15-29.9K",IF(H1346&lt;50000,"30-49.9K",IF(H1346&lt;75000,"50-74.9K",IF(H1346&lt;100000,"75-99.9K",IF(H1346&lt;150000,"100-149.9K",IF(H1346&lt;250000,"150-249.9K","250K+")))))))</f>
        <v>15-29.9K</v>
      </c>
      <c r="Q1346" s="17">
        <v>1.5</v>
      </c>
      <c r="R1346">
        <v>12</v>
      </c>
      <c r="S1346">
        <v>2</v>
      </c>
      <c r="T1346">
        <v>3</v>
      </c>
      <c r="U1346">
        <v>7</v>
      </c>
      <c r="V1346" s="15">
        <f t="shared" ref="V1346:V1409" ca="1" si="43">IF(H1346&lt;15000,1,IF(H1346&lt;30000,2,IF(H1346&lt;50000,3,IF(H1346&lt;75000,4,IF(H1346&lt;100000,5,IF(H1346&lt;150000,6,IF(H1346&lt;250000,7,8)))))))</f>
        <v>2</v>
      </c>
    </row>
    <row r="1347" spans="1:22">
      <c r="A1347" t="s">
        <v>3533</v>
      </c>
      <c r="B1347" s="1">
        <v>41055.839131944442</v>
      </c>
      <c r="C1347" s="2">
        <v>10000</v>
      </c>
      <c r="D1347">
        <v>10000</v>
      </c>
      <c r="E1347" t="s">
        <v>1856</v>
      </c>
      <c r="F1347" s="5">
        <v>10000</v>
      </c>
      <c r="G1347" s="5">
        <v>10000</v>
      </c>
      <c r="H1347" s="5">
        <f ca="1">OFFSET(F1347,0,Brains!$D$1,1,1)</f>
        <v>10000</v>
      </c>
      <c r="I1347" t="s">
        <v>3534</v>
      </c>
      <c r="J1347" t="s">
        <v>1882</v>
      </c>
      <c r="K1347" t="s">
        <v>1859</v>
      </c>
      <c r="L1347" t="s">
        <v>1859</v>
      </c>
      <c r="M1347" s="11" t="s">
        <v>3916</v>
      </c>
      <c r="N1347" t="s">
        <v>1884</v>
      </c>
      <c r="O1347" s="7" t="s">
        <v>3922</v>
      </c>
      <c r="P1347" s="17" t="str">
        <f t="shared" ca="1" si="42"/>
        <v>0-14.9K</v>
      </c>
      <c r="Q1347" s="17">
        <v>1.5</v>
      </c>
      <c r="R1347">
        <v>12</v>
      </c>
      <c r="S1347">
        <v>2</v>
      </c>
      <c r="T1347">
        <v>3</v>
      </c>
      <c r="U1347">
        <v>7</v>
      </c>
      <c r="V1347" s="15">
        <f t="shared" ca="1" si="43"/>
        <v>1</v>
      </c>
    </row>
    <row r="1348" spans="1:22">
      <c r="A1348" t="s">
        <v>487</v>
      </c>
      <c r="B1348" s="1">
        <v>41058.011747685188</v>
      </c>
      <c r="C1348" s="2" t="s">
        <v>312</v>
      </c>
      <c r="D1348">
        <v>900000</v>
      </c>
      <c r="E1348" t="s">
        <v>1908</v>
      </c>
      <c r="F1348" s="5">
        <v>16027.125018698311</v>
      </c>
      <c r="G1348" s="5">
        <v>44816.253361219002</v>
      </c>
      <c r="H1348" s="5">
        <f ca="1">OFFSET(F1348,0,Brains!$D$1,1,1)</f>
        <v>44816.253361219002</v>
      </c>
      <c r="I1348" t="s">
        <v>488</v>
      </c>
      <c r="J1348" t="s">
        <v>1882</v>
      </c>
      <c r="K1348" t="s">
        <v>1859</v>
      </c>
      <c r="L1348" t="s">
        <v>1859</v>
      </c>
      <c r="M1348" s="11" t="s">
        <v>3916</v>
      </c>
      <c r="N1348" t="s">
        <v>1884</v>
      </c>
      <c r="O1348" s="7" t="s">
        <v>3922</v>
      </c>
      <c r="P1348" s="17" t="str">
        <f t="shared" ca="1" si="42"/>
        <v>30-49.9K</v>
      </c>
      <c r="Q1348" s="17">
        <v>1.5</v>
      </c>
      <c r="R1348">
        <v>13</v>
      </c>
      <c r="S1348">
        <v>2</v>
      </c>
      <c r="T1348">
        <v>3</v>
      </c>
      <c r="U1348">
        <v>7</v>
      </c>
      <c r="V1348" s="15">
        <f t="shared" ca="1" si="43"/>
        <v>3</v>
      </c>
    </row>
    <row r="1349" spans="1:22">
      <c r="A1349" t="s">
        <v>1357</v>
      </c>
      <c r="B1349" s="1">
        <v>41064.409537037034</v>
      </c>
      <c r="C1349" s="2">
        <v>155000</v>
      </c>
      <c r="D1349">
        <v>155000</v>
      </c>
      <c r="E1349" t="s">
        <v>1856</v>
      </c>
      <c r="F1349" s="5">
        <v>155000</v>
      </c>
      <c r="G1349" s="5">
        <v>155000</v>
      </c>
      <c r="H1349" s="5">
        <f ca="1">OFFSET(F1349,0,Brains!$D$1,1,1)</f>
        <v>155000</v>
      </c>
      <c r="I1349" t="s">
        <v>1358</v>
      </c>
      <c r="J1349" t="s">
        <v>1882</v>
      </c>
      <c r="K1349" t="s">
        <v>1869</v>
      </c>
      <c r="L1349" t="s">
        <v>1869</v>
      </c>
      <c r="M1349" s="11" t="s">
        <v>3916</v>
      </c>
      <c r="N1349" t="s">
        <v>1884</v>
      </c>
      <c r="O1349" s="7" t="s">
        <v>3922</v>
      </c>
      <c r="P1349" s="17" t="str">
        <f t="shared" ca="1" si="42"/>
        <v>150-249.9K</v>
      </c>
      <c r="Q1349" s="17">
        <v>1.5</v>
      </c>
      <c r="R1349">
        <v>14</v>
      </c>
      <c r="S1349">
        <v>2</v>
      </c>
      <c r="T1349">
        <v>3</v>
      </c>
      <c r="U1349">
        <v>7</v>
      </c>
      <c r="V1349" s="15">
        <f t="shared" ca="1" si="43"/>
        <v>7</v>
      </c>
    </row>
    <row r="1350" spans="1:22">
      <c r="A1350" t="s">
        <v>3804</v>
      </c>
      <c r="B1350" s="1">
        <v>41056.720416666663</v>
      </c>
      <c r="C1350" s="2" t="s">
        <v>2801</v>
      </c>
      <c r="D1350">
        <v>65000</v>
      </c>
      <c r="E1350" t="s">
        <v>1954</v>
      </c>
      <c r="F1350" s="5">
        <v>102451.58768437347</v>
      </c>
      <c r="G1350" s="5">
        <v>96439.16913946587</v>
      </c>
      <c r="H1350" s="5">
        <f ca="1">OFFSET(F1350,0,Brains!$D$1,1,1)</f>
        <v>96439.16913946587</v>
      </c>
      <c r="I1350" t="s">
        <v>1882</v>
      </c>
      <c r="J1350" t="s">
        <v>1882</v>
      </c>
      <c r="K1350" t="s">
        <v>1956</v>
      </c>
      <c r="L1350" t="s">
        <v>1956</v>
      </c>
      <c r="M1350" s="11" t="s">
        <v>3916</v>
      </c>
      <c r="N1350" t="s">
        <v>1884</v>
      </c>
      <c r="O1350" s="7" t="s">
        <v>3922</v>
      </c>
      <c r="P1350" s="17" t="str">
        <f t="shared" ca="1" si="42"/>
        <v>75-99.9K</v>
      </c>
      <c r="Q1350" s="17">
        <v>1.5</v>
      </c>
      <c r="R1350">
        <v>15</v>
      </c>
      <c r="S1350">
        <v>2</v>
      </c>
      <c r="T1350">
        <v>3</v>
      </c>
      <c r="U1350">
        <v>7</v>
      </c>
      <c r="V1350" s="15">
        <f t="shared" ca="1" si="43"/>
        <v>5</v>
      </c>
    </row>
    <row r="1351" spans="1:22">
      <c r="A1351" t="s">
        <v>265</v>
      </c>
      <c r="B1351" s="1">
        <v>41057.691192129627</v>
      </c>
      <c r="C1351" s="2">
        <v>57000</v>
      </c>
      <c r="D1351">
        <v>57000</v>
      </c>
      <c r="E1351" t="s">
        <v>1880</v>
      </c>
      <c r="F1351" s="5">
        <v>72412.768022521646</v>
      </c>
      <c r="G1351" s="5">
        <v>71603.362594403385</v>
      </c>
      <c r="H1351" s="5">
        <f ca="1">OFFSET(F1351,0,Brains!$D$1,1,1)</f>
        <v>71603.362594403385</v>
      </c>
      <c r="I1351" t="s">
        <v>266</v>
      </c>
      <c r="J1351" t="s">
        <v>1882</v>
      </c>
      <c r="K1351" t="s">
        <v>2909</v>
      </c>
      <c r="L1351" t="s">
        <v>2909</v>
      </c>
      <c r="M1351" s="11" t="s">
        <v>3916</v>
      </c>
      <c r="N1351" t="s">
        <v>1884</v>
      </c>
      <c r="O1351" s="7" t="s">
        <v>3922</v>
      </c>
      <c r="P1351" s="17" t="str">
        <f t="shared" ca="1" si="42"/>
        <v>50-74.9K</v>
      </c>
      <c r="Q1351" s="17">
        <v>1.5</v>
      </c>
      <c r="R1351">
        <v>15</v>
      </c>
      <c r="S1351">
        <v>2</v>
      </c>
      <c r="T1351">
        <v>3</v>
      </c>
      <c r="U1351">
        <v>7</v>
      </c>
      <c r="V1351" s="15">
        <f t="shared" ca="1" si="43"/>
        <v>4</v>
      </c>
    </row>
    <row r="1352" spans="1:22">
      <c r="A1352" t="s">
        <v>3508</v>
      </c>
      <c r="B1352" s="1">
        <v>41055.774537037039</v>
      </c>
      <c r="C1352" s="2" t="s">
        <v>3509</v>
      </c>
      <c r="D1352">
        <v>45000</v>
      </c>
      <c r="E1352" t="s">
        <v>1856</v>
      </c>
      <c r="F1352" s="5">
        <v>45000</v>
      </c>
      <c r="G1352" s="5">
        <v>45000</v>
      </c>
      <c r="H1352" s="5">
        <f ca="1">OFFSET(F1352,0,Brains!$D$1,1,1)</f>
        <v>45000</v>
      </c>
      <c r="I1352" t="s">
        <v>1924</v>
      </c>
      <c r="J1352" t="s">
        <v>1882</v>
      </c>
      <c r="K1352" t="s">
        <v>1859</v>
      </c>
      <c r="L1352" t="s">
        <v>1859</v>
      </c>
      <c r="M1352" s="11" t="s">
        <v>3916</v>
      </c>
      <c r="N1352" t="s">
        <v>1884</v>
      </c>
      <c r="O1352" s="7" t="s">
        <v>3922</v>
      </c>
      <c r="P1352" s="17" t="str">
        <f t="shared" ca="1" si="42"/>
        <v>30-49.9K</v>
      </c>
      <c r="Q1352" s="17">
        <v>1.5</v>
      </c>
      <c r="R1352">
        <v>15</v>
      </c>
      <c r="S1352">
        <v>2</v>
      </c>
      <c r="T1352">
        <v>3</v>
      </c>
      <c r="U1352">
        <v>7</v>
      </c>
      <c r="V1352" s="15">
        <f t="shared" ca="1" si="43"/>
        <v>3</v>
      </c>
    </row>
    <row r="1353" spans="1:22">
      <c r="A1353" t="s">
        <v>291</v>
      </c>
      <c r="B1353" s="1">
        <v>41057.719085648147</v>
      </c>
      <c r="C1353" s="2" t="s">
        <v>2888</v>
      </c>
      <c r="D1353">
        <v>28500</v>
      </c>
      <c r="E1353" t="s">
        <v>1954</v>
      </c>
      <c r="F1353" s="5">
        <v>44921.080753917595</v>
      </c>
      <c r="G1353" s="5">
        <v>42284.866468842731</v>
      </c>
      <c r="H1353" s="5">
        <f ca="1">OFFSET(F1353,0,Brains!$D$1,1,1)</f>
        <v>42284.866468842731</v>
      </c>
      <c r="I1353" t="s">
        <v>292</v>
      </c>
      <c r="J1353" t="s">
        <v>1882</v>
      </c>
      <c r="K1353" t="s">
        <v>1956</v>
      </c>
      <c r="L1353" t="s">
        <v>1956</v>
      </c>
      <c r="M1353" s="11" t="s">
        <v>3916</v>
      </c>
      <c r="N1353" t="s">
        <v>1884</v>
      </c>
      <c r="O1353" s="7" t="s">
        <v>3922</v>
      </c>
      <c r="P1353" s="17" t="str">
        <f t="shared" ca="1" si="42"/>
        <v>30-49.9K</v>
      </c>
      <c r="Q1353" s="17">
        <v>1.5</v>
      </c>
      <c r="R1353">
        <v>15</v>
      </c>
      <c r="S1353">
        <v>2</v>
      </c>
      <c r="T1353">
        <v>3</v>
      </c>
      <c r="U1353">
        <v>7</v>
      </c>
      <c r="V1353" s="15">
        <f t="shared" ca="1" si="43"/>
        <v>3</v>
      </c>
    </row>
    <row r="1354" spans="1:22">
      <c r="A1354" t="s">
        <v>854</v>
      </c>
      <c r="B1354" s="1">
        <v>41058.910243055558</v>
      </c>
      <c r="C1354" s="2" t="s">
        <v>855</v>
      </c>
      <c r="D1354">
        <v>250000</v>
      </c>
      <c r="E1354" t="s">
        <v>1908</v>
      </c>
      <c r="F1354" s="5">
        <v>4451.9791718606421</v>
      </c>
      <c r="G1354" s="5">
        <v>12448.959267005279</v>
      </c>
      <c r="H1354" s="5">
        <f ca="1">OFFSET(F1354,0,Brains!$D$1,1,1)</f>
        <v>12448.959267005279</v>
      </c>
      <c r="I1354" t="s">
        <v>1882</v>
      </c>
      <c r="J1354" t="s">
        <v>1882</v>
      </c>
      <c r="K1354" t="s">
        <v>1859</v>
      </c>
      <c r="L1354" t="s">
        <v>1859</v>
      </c>
      <c r="M1354" s="11" t="s">
        <v>3916</v>
      </c>
      <c r="N1354" t="s">
        <v>1884</v>
      </c>
      <c r="O1354" s="7" t="s">
        <v>3922</v>
      </c>
      <c r="P1354" s="17" t="str">
        <f t="shared" ca="1" si="42"/>
        <v>0-14.9K</v>
      </c>
      <c r="Q1354" s="17">
        <v>1.5</v>
      </c>
      <c r="R1354">
        <v>15</v>
      </c>
      <c r="S1354">
        <v>2</v>
      </c>
      <c r="T1354">
        <v>3</v>
      </c>
      <c r="U1354">
        <v>7</v>
      </c>
      <c r="V1354" s="15">
        <f t="shared" ca="1" si="43"/>
        <v>1</v>
      </c>
    </row>
    <row r="1355" spans="1:22">
      <c r="A1355" t="s">
        <v>297</v>
      </c>
      <c r="B1355" s="1">
        <v>41057.72383101852</v>
      </c>
      <c r="C1355" s="2" t="s">
        <v>298</v>
      </c>
      <c r="D1355">
        <v>252000</v>
      </c>
      <c r="E1355" t="s">
        <v>1908</v>
      </c>
      <c r="F1355" s="5">
        <v>4487.5950052355274</v>
      </c>
      <c r="G1355" s="5">
        <v>12548.55094114132</v>
      </c>
      <c r="H1355" s="5">
        <f ca="1">OFFSET(F1355,0,Brains!$D$1,1,1)</f>
        <v>12548.55094114132</v>
      </c>
      <c r="I1355" t="s">
        <v>299</v>
      </c>
      <c r="J1355" t="s">
        <v>1882</v>
      </c>
      <c r="K1355" t="s">
        <v>1859</v>
      </c>
      <c r="L1355" t="s">
        <v>1859</v>
      </c>
      <c r="M1355" s="11" t="s">
        <v>3916</v>
      </c>
      <c r="N1355" t="s">
        <v>1884</v>
      </c>
      <c r="O1355" s="7" t="s">
        <v>3922</v>
      </c>
      <c r="P1355" s="17" t="str">
        <f t="shared" ca="1" si="42"/>
        <v>0-14.9K</v>
      </c>
      <c r="Q1355" s="17">
        <v>1.5</v>
      </c>
      <c r="R1355">
        <v>16</v>
      </c>
      <c r="S1355">
        <v>2</v>
      </c>
      <c r="T1355">
        <v>3</v>
      </c>
      <c r="U1355">
        <v>7</v>
      </c>
      <c r="V1355" s="15">
        <f t="shared" ca="1" si="43"/>
        <v>1</v>
      </c>
    </row>
    <row r="1356" spans="1:22">
      <c r="A1356" t="s">
        <v>3653</v>
      </c>
      <c r="B1356" s="1">
        <v>41056.022986111115</v>
      </c>
      <c r="C1356" s="2" t="s">
        <v>3654</v>
      </c>
      <c r="D1356">
        <v>1200000</v>
      </c>
      <c r="E1356" t="s">
        <v>1908</v>
      </c>
      <c r="F1356" s="5">
        <v>21369.500024931083</v>
      </c>
      <c r="G1356" s="5">
        <v>59755.004481625336</v>
      </c>
      <c r="H1356" s="5">
        <f ca="1">OFFSET(F1356,0,Brains!$D$1,1,1)</f>
        <v>59755.004481625336</v>
      </c>
      <c r="I1356" t="s">
        <v>2190</v>
      </c>
      <c r="J1356" t="s">
        <v>1882</v>
      </c>
      <c r="K1356" t="s">
        <v>1859</v>
      </c>
      <c r="L1356" t="s">
        <v>1859</v>
      </c>
      <c r="M1356" s="11" t="s">
        <v>3916</v>
      </c>
      <c r="N1356" t="s">
        <v>1884</v>
      </c>
      <c r="O1356" s="7" t="s">
        <v>3922</v>
      </c>
      <c r="P1356" s="17" t="str">
        <f t="shared" ca="1" si="42"/>
        <v>50-74.9K</v>
      </c>
      <c r="Q1356" s="17">
        <v>1.5</v>
      </c>
      <c r="R1356">
        <v>18</v>
      </c>
      <c r="S1356">
        <v>2</v>
      </c>
      <c r="T1356">
        <v>3</v>
      </c>
      <c r="U1356">
        <v>7</v>
      </c>
      <c r="V1356" s="15">
        <f t="shared" ca="1" si="43"/>
        <v>4</v>
      </c>
    </row>
    <row r="1357" spans="1:22">
      <c r="A1357" t="s">
        <v>3296</v>
      </c>
      <c r="B1357" s="1">
        <v>41055.544421296298</v>
      </c>
      <c r="C1357" s="2">
        <v>100000</v>
      </c>
      <c r="D1357">
        <v>100000</v>
      </c>
      <c r="E1357" t="s">
        <v>1973</v>
      </c>
      <c r="F1357" s="5">
        <v>101990.96564026357</v>
      </c>
      <c r="G1357" s="5">
        <v>63613.231552162855</v>
      </c>
      <c r="H1357" s="5">
        <f ca="1">OFFSET(F1357,0,Brains!$D$1,1,1)</f>
        <v>63613.231552162855</v>
      </c>
      <c r="I1357" t="s">
        <v>3297</v>
      </c>
      <c r="J1357" t="s">
        <v>1882</v>
      </c>
      <c r="K1357" t="s">
        <v>1975</v>
      </c>
      <c r="L1357" t="s">
        <v>1975</v>
      </c>
      <c r="M1357" s="11" t="s">
        <v>3916</v>
      </c>
      <c r="N1357" t="s">
        <v>1884</v>
      </c>
      <c r="O1357" s="7" t="s">
        <v>3922</v>
      </c>
      <c r="P1357" s="17" t="str">
        <f t="shared" ca="1" si="42"/>
        <v>50-74.9K</v>
      </c>
      <c r="Q1357" s="17">
        <v>1.5</v>
      </c>
      <c r="R1357">
        <v>20</v>
      </c>
      <c r="S1357">
        <v>2</v>
      </c>
      <c r="T1357">
        <v>3</v>
      </c>
      <c r="U1357">
        <v>7</v>
      </c>
      <c r="V1357" s="15">
        <f t="shared" ca="1" si="43"/>
        <v>4</v>
      </c>
    </row>
    <row r="1358" spans="1:22">
      <c r="A1358" t="s">
        <v>920</v>
      </c>
      <c r="B1358" s="1">
        <v>41059.052453703705</v>
      </c>
      <c r="C1358" s="2">
        <v>72000</v>
      </c>
      <c r="D1358">
        <v>72000</v>
      </c>
      <c r="E1358" t="s">
        <v>1856</v>
      </c>
      <c r="F1358" s="5">
        <v>72000</v>
      </c>
      <c r="G1358" s="5">
        <v>72000</v>
      </c>
      <c r="H1358" s="5">
        <f ca="1">OFFSET(F1358,0,Brains!$D$1,1,1)</f>
        <v>72000</v>
      </c>
      <c r="I1358" t="s">
        <v>1882</v>
      </c>
      <c r="J1358" t="s">
        <v>1882</v>
      </c>
      <c r="K1358" t="s">
        <v>1869</v>
      </c>
      <c r="L1358" t="s">
        <v>1869</v>
      </c>
      <c r="M1358" s="11" t="s">
        <v>3916</v>
      </c>
      <c r="N1358" t="s">
        <v>1884</v>
      </c>
      <c r="O1358" s="7" t="s">
        <v>3922</v>
      </c>
      <c r="P1358" s="17" t="str">
        <f t="shared" ca="1" si="42"/>
        <v>50-74.9K</v>
      </c>
      <c r="Q1358" s="17">
        <v>1.5</v>
      </c>
      <c r="R1358">
        <v>20</v>
      </c>
      <c r="S1358">
        <v>2</v>
      </c>
      <c r="T1358">
        <v>3</v>
      </c>
      <c r="U1358">
        <v>7</v>
      </c>
      <c r="V1358" s="15">
        <f t="shared" ca="1" si="43"/>
        <v>4</v>
      </c>
    </row>
    <row r="1359" spans="1:22">
      <c r="A1359" t="s">
        <v>263</v>
      </c>
      <c r="B1359" s="1">
        <v>41057.690833333334</v>
      </c>
      <c r="C1359" s="2" t="s">
        <v>264</v>
      </c>
      <c r="D1359">
        <v>40000</v>
      </c>
      <c r="E1359" t="s">
        <v>1954</v>
      </c>
      <c r="F1359" s="5">
        <v>63047.130882691366</v>
      </c>
      <c r="G1359" s="5">
        <v>59347.181008902073</v>
      </c>
      <c r="H1359" s="5">
        <f ca="1">OFFSET(F1359,0,Brains!$D$1,1,1)</f>
        <v>59347.181008902073</v>
      </c>
      <c r="I1359" t="s">
        <v>2337</v>
      </c>
      <c r="J1359" t="s">
        <v>1882</v>
      </c>
      <c r="K1359" t="s">
        <v>1956</v>
      </c>
      <c r="L1359" t="s">
        <v>1956</v>
      </c>
      <c r="M1359" s="11" t="s">
        <v>3916</v>
      </c>
      <c r="N1359" t="s">
        <v>1884</v>
      </c>
      <c r="O1359" s="7" t="s">
        <v>3922</v>
      </c>
      <c r="P1359" s="17" t="str">
        <f t="shared" ca="1" si="42"/>
        <v>50-74.9K</v>
      </c>
      <c r="Q1359" s="17">
        <v>1.5</v>
      </c>
      <c r="R1359">
        <v>20</v>
      </c>
      <c r="S1359">
        <v>2</v>
      </c>
      <c r="T1359">
        <v>3</v>
      </c>
      <c r="U1359">
        <v>7</v>
      </c>
      <c r="V1359" s="15">
        <f t="shared" ca="1" si="43"/>
        <v>4</v>
      </c>
    </row>
    <row r="1360" spans="1:22">
      <c r="A1360" t="s">
        <v>3095</v>
      </c>
      <c r="B1360" s="1">
        <v>41055.301412037035</v>
      </c>
      <c r="C1360" s="2">
        <v>6000</v>
      </c>
      <c r="D1360">
        <v>6000</v>
      </c>
      <c r="E1360" t="s">
        <v>1856</v>
      </c>
      <c r="F1360" s="5">
        <v>6000</v>
      </c>
      <c r="G1360" s="5">
        <v>6000</v>
      </c>
      <c r="H1360" s="5">
        <f ca="1">OFFSET(F1360,0,Brains!$D$1,1,1)</f>
        <v>6000</v>
      </c>
      <c r="I1360" t="s">
        <v>3096</v>
      </c>
      <c r="J1360" t="s">
        <v>1882</v>
      </c>
      <c r="K1360" t="s">
        <v>3097</v>
      </c>
      <c r="L1360" t="s">
        <v>3097</v>
      </c>
      <c r="M1360" s="11" t="s">
        <v>3916</v>
      </c>
      <c r="N1360" t="s">
        <v>1884</v>
      </c>
      <c r="O1360" s="7" t="s">
        <v>3922</v>
      </c>
      <c r="P1360" s="17" t="str">
        <f t="shared" ca="1" si="42"/>
        <v>0-14.9K</v>
      </c>
      <c r="Q1360" s="17">
        <v>1.5</v>
      </c>
      <c r="R1360">
        <v>20</v>
      </c>
      <c r="S1360">
        <v>2</v>
      </c>
      <c r="T1360">
        <v>3</v>
      </c>
      <c r="U1360">
        <v>7</v>
      </c>
      <c r="V1360" s="15">
        <f t="shared" ca="1" si="43"/>
        <v>1</v>
      </c>
    </row>
    <row r="1361" spans="1:22">
      <c r="A1361" t="s">
        <v>3715</v>
      </c>
      <c r="B1361" s="1">
        <v>41056.426006944443</v>
      </c>
      <c r="C1361" s="2">
        <v>87456</v>
      </c>
      <c r="D1361">
        <v>87456</v>
      </c>
      <c r="E1361" t="s">
        <v>1856</v>
      </c>
      <c r="F1361" s="5">
        <v>87456</v>
      </c>
      <c r="G1361" s="5">
        <v>87456</v>
      </c>
      <c r="H1361" s="5">
        <f ca="1">OFFSET(F1361,0,Brains!$D$1,1,1)</f>
        <v>87456</v>
      </c>
      <c r="I1361" t="s">
        <v>3716</v>
      </c>
      <c r="J1361" t="s">
        <v>1882</v>
      </c>
      <c r="K1361" t="s">
        <v>1869</v>
      </c>
      <c r="L1361" t="s">
        <v>1869</v>
      </c>
      <c r="M1361" s="11" t="s">
        <v>3917</v>
      </c>
      <c r="N1361" t="s">
        <v>1873</v>
      </c>
      <c r="O1361" s="7" t="s">
        <v>3922</v>
      </c>
      <c r="P1361" s="17" t="str">
        <f t="shared" ca="1" si="42"/>
        <v>75-99.9K</v>
      </c>
      <c r="Q1361" s="17">
        <v>2.5</v>
      </c>
      <c r="R1361">
        <v>12</v>
      </c>
      <c r="S1361">
        <v>3</v>
      </c>
      <c r="T1361">
        <v>3</v>
      </c>
      <c r="U1361">
        <v>7</v>
      </c>
      <c r="V1361" s="15">
        <f t="shared" ca="1" si="43"/>
        <v>5</v>
      </c>
    </row>
    <row r="1362" spans="1:22">
      <c r="A1362" t="s">
        <v>206</v>
      </c>
      <c r="B1362" s="1">
        <v>41057.640173611115</v>
      </c>
      <c r="C1362" s="2" t="s">
        <v>207</v>
      </c>
      <c r="D1362">
        <v>50000</v>
      </c>
      <c r="E1362" t="s">
        <v>1954</v>
      </c>
      <c r="F1362" s="5">
        <v>78808.913603364199</v>
      </c>
      <c r="G1362" s="5">
        <v>74183.976261127595</v>
      </c>
      <c r="H1362" s="5">
        <f ca="1">OFFSET(F1362,0,Brains!$D$1,1,1)</f>
        <v>74183.976261127595</v>
      </c>
      <c r="I1362" t="s">
        <v>208</v>
      </c>
      <c r="J1362" t="s">
        <v>1882</v>
      </c>
      <c r="K1362" t="s">
        <v>1956</v>
      </c>
      <c r="L1362" t="s">
        <v>1956</v>
      </c>
      <c r="M1362" s="11" t="s">
        <v>3917</v>
      </c>
      <c r="N1362" t="s">
        <v>1873</v>
      </c>
      <c r="O1362" s="7" t="s">
        <v>3922</v>
      </c>
      <c r="P1362" s="17" t="str">
        <f t="shared" ca="1" si="42"/>
        <v>50-74.9K</v>
      </c>
      <c r="Q1362" s="17">
        <v>2.5</v>
      </c>
      <c r="R1362">
        <v>12</v>
      </c>
      <c r="S1362">
        <v>3</v>
      </c>
      <c r="T1362">
        <v>3</v>
      </c>
      <c r="U1362">
        <v>7</v>
      </c>
      <c r="V1362" s="15">
        <f t="shared" ca="1" si="43"/>
        <v>4</v>
      </c>
    </row>
    <row r="1363" spans="1:22">
      <c r="A1363" t="s">
        <v>1046</v>
      </c>
      <c r="B1363" s="1">
        <v>41059.847118055557</v>
      </c>
      <c r="C1363" s="2">
        <v>64000</v>
      </c>
      <c r="D1363">
        <v>64000</v>
      </c>
      <c r="E1363" t="s">
        <v>1856</v>
      </c>
      <c r="F1363" s="5">
        <v>64000</v>
      </c>
      <c r="G1363" s="5">
        <v>64000</v>
      </c>
      <c r="H1363" s="5">
        <f ca="1">OFFSET(F1363,0,Brains!$D$1,1,1)</f>
        <v>64000</v>
      </c>
      <c r="I1363" t="s">
        <v>2874</v>
      </c>
      <c r="J1363" t="s">
        <v>1882</v>
      </c>
      <c r="K1363" t="s">
        <v>1869</v>
      </c>
      <c r="L1363" t="s">
        <v>1869</v>
      </c>
      <c r="M1363" s="11" t="s">
        <v>3917</v>
      </c>
      <c r="N1363" t="s">
        <v>1873</v>
      </c>
      <c r="O1363" s="7" t="s">
        <v>3922</v>
      </c>
      <c r="P1363" s="17" t="str">
        <f t="shared" ca="1" si="42"/>
        <v>50-74.9K</v>
      </c>
      <c r="Q1363" s="17">
        <v>2.5</v>
      </c>
      <c r="R1363">
        <v>12</v>
      </c>
      <c r="S1363">
        <v>3</v>
      </c>
      <c r="T1363">
        <v>3</v>
      </c>
      <c r="U1363">
        <v>7</v>
      </c>
      <c r="V1363" s="15">
        <f t="shared" ca="1" si="43"/>
        <v>4</v>
      </c>
    </row>
    <row r="1364" spans="1:22">
      <c r="A1364" t="s">
        <v>3522</v>
      </c>
      <c r="B1364" s="1">
        <v>41055.807557870372</v>
      </c>
      <c r="C1364" s="2" t="s">
        <v>3523</v>
      </c>
      <c r="D1364">
        <v>36000</v>
      </c>
      <c r="E1364" t="s">
        <v>1856</v>
      </c>
      <c r="F1364" s="5">
        <v>36000</v>
      </c>
      <c r="G1364" s="5">
        <v>36000</v>
      </c>
      <c r="H1364" s="5">
        <f ca="1">OFFSET(F1364,0,Brains!$D$1,1,1)</f>
        <v>36000</v>
      </c>
      <c r="I1364" t="s">
        <v>3524</v>
      </c>
      <c r="J1364" t="s">
        <v>1882</v>
      </c>
      <c r="K1364" t="s">
        <v>1975</v>
      </c>
      <c r="L1364" t="s">
        <v>1975</v>
      </c>
      <c r="M1364" s="11" t="s">
        <v>3917</v>
      </c>
      <c r="N1364" t="s">
        <v>1873</v>
      </c>
      <c r="O1364" s="7" t="s">
        <v>3922</v>
      </c>
      <c r="P1364" s="17" t="str">
        <f t="shared" ca="1" si="42"/>
        <v>30-49.9K</v>
      </c>
      <c r="Q1364" s="17">
        <v>2.5</v>
      </c>
      <c r="R1364">
        <v>12</v>
      </c>
      <c r="S1364">
        <v>3</v>
      </c>
      <c r="T1364">
        <v>3</v>
      </c>
      <c r="U1364">
        <v>7</v>
      </c>
      <c r="V1364" s="15">
        <f t="shared" ca="1" si="43"/>
        <v>3</v>
      </c>
    </row>
    <row r="1365" spans="1:22">
      <c r="A1365" t="s">
        <v>305</v>
      </c>
      <c r="B1365" s="1">
        <v>41057.737754629627</v>
      </c>
      <c r="C1365" s="2" t="s">
        <v>306</v>
      </c>
      <c r="D1365">
        <v>120000</v>
      </c>
      <c r="E1365" t="s">
        <v>2490</v>
      </c>
      <c r="F1365" s="5">
        <v>32666.305522511171</v>
      </c>
      <c r="G1365" s="5">
        <v>22675.73696145125</v>
      </c>
      <c r="H1365" s="5">
        <f ca="1">OFFSET(F1365,0,Brains!$D$1,1,1)</f>
        <v>22675.73696145125</v>
      </c>
      <c r="I1365" t="s">
        <v>3022</v>
      </c>
      <c r="J1365" t="s">
        <v>1882</v>
      </c>
      <c r="K1365" t="s">
        <v>2143</v>
      </c>
      <c r="L1365" t="s">
        <v>2143</v>
      </c>
      <c r="M1365" s="11" t="s">
        <v>3917</v>
      </c>
      <c r="N1365" t="s">
        <v>1873</v>
      </c>
      <c r="O1365" s="7" t="s">
        <v>3922</v>
      </c>
      <c r="P1365" s="17" t="str">
        <f t="shared" ca="1" si="42"/>
        <v>15-29.9K</v>
      </c>
      <c r="Q1365" s="17">
        <v>2.5</v>
      </c>
      <c r="R1365">
        <v>12</v>
      </c>
      <c r="S1365">
        <v>3</v>
      </c>
      <c r="T1365">
        <v>3</v>
      </c>
      <c r="U1365">
        <v>7</v>
      </c>
      <c r="V1365" s="15">
        <f t="shared" ca="1" si="43"/>
        <v>2</v>
      </c>
    </row>
    <row r="1366" spans="1:22">
      <c r="A1366" t="s">
        <v>1331</v>
      </c>
      <c r="B1366" s="1">
        <v>41063.506562499999</v>
      </c>
      <c r="C1366" s="2" t="s">
        <v>1332</v>
      </c>
      <c r="D1366">
        <v>1000000</v>
      </c>
      <c r="E1366" t="s">
        <v>1908</v>
      </c>
      <c r="F1366" s="5">
        <v>17807.916687442568</v>
      </c>
      <c r="G1366" s="5">
        <v>49795.837068021116</v>
      </c>
      <c r="H1366" s="5">
        <f ca="1">OFFSET(F1366,0,Brains!$D$1,1,1)</f>
        <v>49795.837068021116</v>
      </c>
      <c r="I1366" t="s">
        <v>1333</v>
      </c>
      <c r="J1366" t="s">
        <v>1882</v>
      </c>
      <c r="K1366" t="s">
        <v>1859</v>
      </c>
      <c r="L1366" t="s">
        <v>1859</v>
      </c>
      <c r="M1366" s="11" t="s">
        <v>3917</v>
      </c>
      <c r="N1366" t="s">
        <v>1873</v>
      </c>
      <c r="O1366" s="7" t="s">
        <v>3922</v>
      </c>
      <c r="P1366" s="17" t="str">
        <f t="shared" ca="1" si="42"/>
        <v>30-49.9K</v>
      </c>
      <c r="Q1366" s="17">
        <v>2.5</v>
      </c>
      <c r="R1366">
        <v>13</v>
      </c>
      <c r="S1366">
        <v>3</v>
      </c>
      <c r="T1366">
        <v>3</v>
      </c>
      <c r="U1366">
        <v>7</v>
      </c>
      <c r="V1366" s="15">
        <f t="shared" ca="1" si="43"/>
        <v>3</v>
      </c>
    </row>
    <row r="1367" spans="1:22">
      <c r="A1367" t="s">
        <v>3411</v>
      </c>
      <c r="B1367" s="1">
        <v>41055.644305555557</v>
      </c>
      <c r="C1367" s="2" t="s">
        <v>3412</v>
      </c>
      <c r="D1367">
        <v>800000</v>
      </c>
      <c r="E1367" t="s">
        <v>1908</v>
      </c>
      <c r="F1367" s="5">
        <v>14246.333349954055</v>
      </c>
      <c r="G1367" s="5">
        <v>39836.669654416888</v>
      </c>
      <c r="H1367" s="5">
        <f ca="1">OFFSET(F1367,0,Brains!$D$1,1,1)</f>
        <v>39836.669654416888</v>
      </c>
      <c r="I1367" t="s">
        <v>1882</v>
      </c>
      <c r="J1367" t="s">
        <v>1882</v>
      </c>
      <c r="K1367" t="s">
        <v>1859</v>
      </c>
      <c r="L1367" t="s">
        <v>1859</v>
      </c>
      <c r="M1367" s="11" t="s">
        <v>3917</v>
      </c>
      <c r="N1367" t="s">
        <v>1873</v>
      </c>
      <c r="O1367" s="7" t="s">
        <v>3922</v>
      </c>
      <c r="P1367" s="17" t="str">
        <f t="shared" ca="1" si="42"/>
        <v>30-49.9K</v>
      </c>
      <c r="Q1367" s="17">
        <v>2.5</v>
      </c>
      <c r="R1367">
        <v>13</v>
      </c>
      <c r="S1367">
        <v>3</v>
      </c>
      <c r="T1367">
        <v>3</v>
      </c>
      <c r="U1367">
        <v>7</v>
      </c>
      <c r="V1367" s="15">
        <f t="shared" ca="1" si="43"/>
        <v>3</v>
      </c>
    </row>
    <row r="1368" spans="1:22">
      <c r="A1368" t="s">
        <v>109</v>
      </c>
      <c r="B1368" s="1">
        <v>41057.524745370371</v>
      </c>
      <c r="C1368" s="2" t="s">
        <v>110</v>
      </c>
      <c r="D1368">
        <v>612000</v>
      </c>
      <c r="E1368" t="s">
        <v>1908</v>
      </c>
      <c r="F1368" s="5">
        <v>10898.445012714852</v>
      </c>
      <c r="G1368" s="5">
        <v>30475.052285628921</v>
      </c>
      <c r="H1368" s="5">
        <f ca="1">OFFSET(F1368,0,Brains!$D$1,1,1)</f>
        <v>30475.052285628921</v>
      </c>
      <c r="I1368" t="s">
        <v>111</v>
      </c>
      <c r="J1368" t="s">
        <v>1882</v>
      </c>
      <c r="K1368" t="s">
        <v>1859</v>
      </c>
      <c r="L1368" t="s">
        <v>1859</v>
      </c>
      <c r="M1368" s="11" t="s">
        <v>3917</v>
      </c>
      <c r="N1368" t="s">
        <v>1873</v>
      </c>
      <c r="O1368" s="7" t="s">
        <v>3922</v>
      </c>
      <c r="P1368" s="17" t="str">
        <f t="shared" ca="1" si="42"/>
        <v>30-49.9K</v>
      </c>
      <c r="Q1368" s="17">
        <v>2.5</v>
      </c>
      <c r="R1368">
        <v>13</v>
      </c>
      <c r="S1368">
        <v>3</v>
      </c>
      <c r="T1368">
        <v>3</v>
      </c>
      <c r="U1368">
        <v>7</v>
      </c>
      <c r="V1368" s="15">
        <f t="shared" ca="1" si="43"/>
        <v>3</v>
      </c>
    </row>
    <row r="1369" spans="1:22">
      <c r="A1369" t="s">
        <v>3698</v>
      </c>
      <c r="B1369" s="1">
        <v>41056.27584490741</v>
      </c>
      <c r="C1369" s="2">
        <v>98000</v>
      </c>
      <c r="D1369">
        <v>98000</v>
      </c>
      <c r="E1369" t="s">
        <v>1856</v>
      </c>
      <c r="F1369" s="5">
        <v>98000</v>
      </c>
      <c r="G1369" s="5">
        <v>98000</v>
      </c>
      <c r="H1369" s="5">
        <f ca="1">OFFSET(F1369,0,Brains!$D$1,1,1)</f>
        <v>98000</v>
      </c>
      <c r="I1369" t="s">
        <v>3699</v>
      </c>
      <c r="J1369" t="s">
        <v>1882</v>
      </c>
      <c r="K1369" t="s">
        <v>3700</v>
      </c>
      <c r="L1369" t="s">
        <v>3192</v>
      </c>
      <c r="M1369" s="11" t="s">
        <v>3917</v>
      </c>
      <c r="N1369" t="s">
        <v>1873</v>
      </c>
      <c r="O1369" s="7" t="s">
        <v>3922</v>
      </c>
      <c r="P1369" s="17" t="str">
        <f t="shared" ca="1" si="42"/>
        <v>75-99.9K</v>
      </c>
      <c r="Q1369" s="17">
        <v>2.5</v>
      </c>
      <c r="R1369">
        <v>14</v>
      </c>
      <c r="S1369">
        <v>3</v>
      </c>
      <c r="T1369">
        <v>3</v>
      </c>
      <c r="U1369">
        <v>7</v>
      </c>
      <c r="V1369" s="15">
        <f t="shared" ca="1" si="43"/>
        <v>5</v>
      </c>
    </row>
    <row r="1370" spans="1:22">
      <c r="A1370" t="s">
        <v>1075</v>
      </c>
      <c r="B1370" s="1">
        <v>41059.959583333337</v>
      </c>
      <c r="C1370" s="2">
        <v>55000</v>
      </c>
      <c r="D1370">
        <v>55000</v>
      </c>
      <c r="E1370" t="s">
        <v>1856</v>
      </c>
      <c r="F1370" s="5">
        <v>55000</v>
      </c>
      <c r="G1370" s="5">
        <v>55000</v>
      </c>
      <c r="H1370" s="5">
        <f ca="1">OFFSET(F1370,0,Brains!$D$1,1,1)</f>
        <v>55000</v>
      </c>
      <c r="I1370" t="s">
        <v>1076</v>
      </c>
      <c r="J1370" t="s">
        <v>1882</v>
      </c>
      <c r="K1370" t="s">
        <v>1869</v>
      </c>
      <c r="L1370" t="s">
        <v>1869</v>
      </c>
      <c r="M1370" s="11" t="s">
        <v>3917</v>
      </c>
      <c r="N1370" t="s">
        <v>1873</v>
      </c>
      <c r="O1370" s="7" t="s">
        <v>3922</v>
      </c>
      <c r="P1370" s="17" t="str">
        <f t="shared" ca="1" si="42"/>
        <v>50-74.9K</v>
      </c>
      <c r="Q1370" s="17">
        <v>2.5</v>
      </c>
      <c r="R1370">
        <v>14</v>
      </c>
      <c r="S1370">
        <v>3</v>
      </c>
      <c r="T1370">
        <v>3</v>
      </c>
      <c r="U1370">
        <v>7</v>
      </c>
      <c r="V1370" s="15">
        <f t="shared" ca="1" si="43"/>
        <v>4</v>
      </c>
    </row>
    <row r="1371" spans="1:22">
      <c r="A1371" t="s">
        <v>3100</v>
      </c>
      <c r="B1371" s="1">
        <v>41055.304826388892</v>
      </c>
      <c r="C1371" s="2">
        <v>90000</v>
      </c>
      <c r="D1371">
        <v>90000</v>
      </c>
      <c r="E1371" t="s">
        <v>1856</v>
      </c>
      <c r="F1371" s="5">
        <v>90000</v>
      </c>
      <c r="G1371" s="5">
        <v>90000</v>
      </c>
      <c r="H1371" s="5">
        <f ca="1">OFFSET(F1371,0,Brains!$D$1,1,1)</f>
        <v>90000</v>
      </c>
      <c r="I1371" t="s">
        <v>1882</v>
      </c>
      <c r="J1371" t="s">
        <v>1882</v>
      </c>
      <c r="K1371" t="s">
        <v>1869</v>
      </c>
      <c r="L1371" t="s">
        <v>1869</v>
      </c>
      <c r="M1371" s="11" t="s">
        <v>3917</v>
      </c>
      <c r="N1371" t="s">
        <v>1873</v>
      </c>
      <c r="O1371" s="7" t="s">
        <v>3922</v>
      </c>
      <c r="P1371" s="17" t="str">
        <f t="shared" ca="1" si="42"/>
        <v>75-99.9K</v>
      </c>
      <c r="Q1371" s="17">
        <v>2.5</v>
      </c>
      <c r="R1371">
        <v>15</v>
      </c>
      <c r="S1371">
        <v>3</v>
      </c>
      <c r="T1371">
        <v>3</v>
      </c>
      <c r="U1371">
        <v>7</v>
      </c>
      <c r="V1371" s="15">
        <f t="shared" ca="1" si="43"/>
        <v>5</v>
      </c>
    </row>
    <row r="1372" spans="1:22">
      <c r="A1372" t="s">
        <v>1146</v>
      </c>
      <c r="B1372" s="1">
        <v>41060.684305555558</v>
      </c>
      <c r="C1372" s="2">
        <v>320000</v>
      </c>
      <c r="D1372">
        <v>320000</v>
      </c>
      <c r="E1372" t="s">
        <v>903</v>
      </c>
      <c r="F1372" s="5">
        <v>85333.333333333328</v>
      </c>
      <c r="G1372" s="5">
        <v>96124.96245118654</v>
      </c>
      <c r="H1372" s="5">
        <f ca="1">OFFSET(F1372,0,Brains!$D$1,1,1)</f>
        <v>96124.96245118654</v>
      </c>
      <c r="I1372" t="s">
        <v>1147</v>
      </c>
      <c r="J1372" t="s">
        <v>1882</v>
      </c>
      <c r="K1372" t="s">
        <v>2064</v>
      </c>
      <c r="L1372" t="s">
        <v>2064</v>
      </c>
      <c r="M1372" s="11" t="s">
        <v>3917</v>
      </c>
      <c r="N1372" t="s">
        <v>1873</v>
      </c>
      <c r="O1372" s="7" t="s">
        <v>3922</v>
      </c>
      <c r="P1372" s="17" t="str">
        <f t="shared" ca="1" si="42"/>
        <v>75-99.9K</v>
      </c>
      <c r="Q1372" s="17">
        <v>2.5</v>
      </c>
      <c r="R1372">
        <v>15</v>
      </c>
      <c r="S1372">
        <v>3</v>
      </c>
      <c r="T1372">
        <v>3</v>
      </c>
      <c r="U1372">
        <v>7</v>
      </c>
      <c r="V1372" s="15">
        <f t="shared" ca="1" si="43"/>
        <v>5</v>
      </c>
    </row>
    <row r="1373" spans="1:22">
      <c r="A1373" t="s">
        <v>1572</v>
      </c>
      <c r="B1373" s="1">
        <v>41070.097280092596</v>
      </c>
      <c r="C1373" s="2">
        <v>85000</v>
      </c>
      <c r="D1373">
        <v>85000</v>
      </c>
      <c r="E1373" t="s">
        <v>1856</v>
      </c>
      <c r="F1373" s="5">
        <v>85000</v>
      </c>
      <c r="G1373" s="5">
        <v>85000</v>
      </c>
      <c r="H1373" s="5">
        <f ca="1">OFFSET(F1373,0,Brains!$D$1,1,1)</f>
        <v>85000</v>
      </c>
      <c r="I1373" t="s">
        <v>1573</v>
      </c>
      <c r="J1373" t="s">
        <v>1882</v>
      </c>
      <c r="K1373" t="s">
        <v>1869</v>
      </c>
      <c r="L1373" t="s">
        <v>1869</v>
      </c>
      <c r="M1373" s="11" t="s">
        <v>3917</v>
      </c>
      <c r="N1373" t="s">
        <v>1873</v>
      </c>
      <c r="O1373" s="7" t="s">
        <v>3922</v>
      </c>
      <c r="P1373" s="17" t="str">
        <f t="shared" ca="1" si="42"/>
        <v>75-99.9K</v>
      </c>
      <c r="Q1373" s="17">
        <v>2.5</v>
      </c>
      <c r="R1373">
        <v>15</v>
      </c>
      <c r="S1373">
        <v>3</v>
      </c>
      <c r="T1373">
        <v>3</v>
      </c>
      <c r="U1373">
        <v>7</v>
      </c>
      <c r="V1373" s="15">
        <f t="shared" ca="1" si="43"/>
        <v>5</v>
      </c>
    </row>
    <row r="1374" spans="1:22">
      <c r="A1374" t="s">
        <v>1142</v>
      </c>
      <c r="B1374" s="1">
        <v>41060.684293981481</v>
      </c>
      <c r="C1374" s="2" t="s">
        <v>1143</v>
      </c>
      <c r="D1374">
        <v>60000</v>
      </c>
      <c r="E1374" t="s">
        <v>1880</v>
      </c>
      <c r="F1374" s="5">
        <v>76223.966339496474</v>
      </c>
      <c r="G1374" s="5">
        <v>75371.960625687774</v>
      </c>
      <c r="H1374" s="5">
        <f ca="1">OFFSET(F1374,0,Brains!$D$1,1,1)</f>
        <v>75371.960625687774</v>
      </c>
      <c r="I1374" t="s">
        <v>1144</v>
      </c>
      <c r="J1374" t="s">
        <v>1882</v>
      </c>
      <c r="K1374" t="s">
        <v>1145</v>
      </c>
      <c r="L1374" t="s">
        <v>2998</v>
      </c>
      <c r="M1374" s="11" t="s">
        <v>3917</v>
      </c>
      <c r="N1374" t="s">
        <v>1873</v>
      </c>
      <c r="O1374" s="7" t="s">
        <v>3922</v>
      </c>
      <c r="P1374" s="17" t="str">
        <f t="shared" ca="1" si="42"/>
        <v>75-99.9K</v>
      </c>
      <c r="Q1374" s="17">
        <v>2.5</v>
      </c>
      <c r="R1374">
        <v>15</v>
      </c>
      <c r="S1374">
        <v>3</v>
      </c>
      <c r="T1374">
        <v>3</v>
      </c>
      <c r="U1374">
        <v>7</v>
      </c>
      <c r="V1374" s="15">
        <f t="shared" ca="1" si="43"/>
        <v>5</v>
      </c>
    </row>
    <row r="1375" spans="1:22">
      <c r="A1375" t="s">
        <v>822</v>
      </c>
      <c r="B1375" s="1">
        <v>41058.829606481479</v>
      </c>
      <c r="C1375" s="2" t="s">
        <v>285</v>
      </c>
      <c r="D1375">
        <v>45000</v>
      </c>
      <c r="E1375" t="s">
        <v>1954</v>
      </c>
      <c r="F1375" s="5">
        <v>70928.022243027779</v>
      </c>
      <c r="G1375" s="5">
        <v>66765.578635014841</v>
      </c>
      <c r="H1375" s="5">
        <f ca="1">OFFSET(F1375,0,Brains!$D$1,1,1)</f>
        <v>66765.578635014841</v>
      </c>
      <c r="I1375" t="s">
        <v>3279</v>
      </c>
      <c r="J1375" t="s">
        <v>1882</v>
      </c>
      <c r="K1375" t="s">
        <v>1956</v>
      </c>
      <c r="L1375" t="s">
        <v>1956</v>
      </c>
      <c r="M1375" s="11" t="s">
        <v>3917</v>
      </c>
      <c r="N1375" t="s">
        <v>1873</v>
      </c>
      <c r="O1375" s="7" t="s">
        <v>3922</v>
      </c>
      <c r="P1375" s="17" t="str">
        <f t="shared" ca="1" si="42"/>
        <v>50-74.9K</v>
      </c>
      <c r="Q1375" s="17">
        <v>2.5</v>
      </c>
      <c r="R1375">
        <v>15</v>
      </c>
      <c r="S1375">
        <v>3</v>
      </c>
      <c r="T1375">
        <v>3</v>
      </c>
      <c r="U1375">
        <v>7</v>
      </c>
      <c r="V1375" s="15">
        <f t="shared" ca="1" si="43"/>
        <v>4</v>
      </c>
    </row>
    <row r="1376" spans="1:22">
      <c r="A1376" t="s">
        <v>587</v>
      </c>
      <c r="B1376" s="1">
        <v>41058.328425925924</v>
      </c>
      <c r="C1376" s="2">
        <v>65000</v>
      </c>
      <c r="D1376">
        <v>65000</v>
      </c>
      <c r="E1376" t="s">
        <v>1979</v>
      </c>
      <c r="F1376" s="5">
        <v>63918.498996971248</v>
      </c>
      <c r="G1376" s="5">
        <v>52041.633306645308</v>
      </c>
      <c r="H1376" s="5">
        <f ca="1">OFFSET(F1376,0,Brains!$D$1,1,1)</f>
        <v>52041.633306645308</v>
      </c>
      <c r="I1376" t="s">
        <v>588</v>
      </c>
      <c r="J1376" t="s">
        <v>1882</v>
      </c>
      <c r="K1376" t="s">
        <v>1981</v>
      </c>
      <c r="L1376" t="s">
        <v>1981</v>
      </c>
      <c r="M1376" s="11" t="s">
        <v>3917</v>
      </c>
      <c r="N1376" t="s">
        <v>1873</v>
      </c>
      <c r="O1376" s="7" t="s">
        <v>3922</v>
      </c>
      <c r="P1376" s="17" t="str">
        <f t="shared" ca="1" si="42"/>
        <v>50-74.9K</v>
      </c>
      <c r="Q1376" s="17">
        <v>2.5</v>
      </c>
      <c r="R1376">
        <v>15</v>
      </c>
      <c r="S1376">
        <v>3</v>
      </c>
      <c r="T1376">
        <v>3</v>
      </c>
      <c r="U1376">
        <v>7</v>
      </c>
      <c r="V1376" s="15">
        <f t="shared" ca="1" si="43"/>
        <v>4</v>
      </c>
    </row>
    <row r="1377" spans="1:22">
      <c r="A1377" t="s">
        <v>3581</v>
      </c>
      <c r="B1377" s="1">
        <v>41055.918668981481</v>
      </c>
      <c r="C1377" s="2">
        <v>5000</v>
      </c>
      <c r="D1377">
        <v>60000</v>
      </c>
      <c r="E1377" t="s">
        <v>1856</v>
      </c>
      <c r="F1377" s="5">
        <v>60000</v>
      </c>
      <c r="G1377" s="5">
        <v>60000</v>
      </c>
      <c r="H1377" s="5">
        <f ca="1">OFFSET(F1377,0,Brains!$D$1,1,1)</f>
        <v>60000</v>
      </c>
      <c r="I1377" t="s">
        <v>3365</v>
      </c>
      <c r="J1377" t="s">
        <v>1882</v>
      </c>
      <c r="K1377" t="s">
        <v>2143</v>
      </c>
      <c r="L1377" t="s">
        <v>2143</v>
      </c>
      <c r="M1377" s="11" t="s">
        <v>3917</v>
      </c>
      <c r="N1377" t="s">
        <v>1873</v>
      </c>
      <c r="O1377" s="7" t="s">
        <v>3922</v>
      </c>
      <c r="P1377" s="17" t="str">
        <f t="shared" ca="1" si="42"/>
        <v>50-74.9K</v>
      </c>
      <c r="Q1377" s="17">
        <v>2.5</v>
      </c>
      <c r="R1377">
        <v>15</v>
      </c>
      <c r="S1377">
        <v>3</v>
      </c>
      <c r="T1377">
        <v>3</v>
      </c>
      <c r="U1377">
        <v>7</v>
      </c>
      <c r="V1377" s="15">
        <f t="shared" ca="1" si="43"/>
        <v>4</v>
      </c>
    </row>
    <row r="1378" spans="1:22">
      <c r="A1378" t="s">
        <v>991</v>
      </c>
      <c r="B1378" s="1">
        <v>41059.596608796295</v>
      </c>
      <c r="C1378" s="2" t="s">
        <v>992</v>
      </c>
      <c r="D1378">
        <v>250000</v>
      </c>
      <c r="E1378" t="s">
        <v>1908</v>
      </c>
      <c r="F1378" s="5">
        <v>4451.9791718606421</v>
      </c>
      <c r="G1378" s="5">
        <v>12448.959267005279</v>
      </c>
      <c r="H1378" s="5">
        <f ca="1">OFFSET(F1378,0,Brains!$D$1,1,1)</f>
        <v>12448.959267005279</v>
      </c>
      <c r="I1378" t="s">
        <v>993</v>
      </c>
      <c r="J1378" t="s">
        <v>1882</v>
      </c>
      <c r="K1378" t="s">
        <v>1859</v>
      </c>
      <c r="L1378" t="s">
        <v>1859</v>
      </c>
      <c r="M1378" s="11" t="s">
        <v>3917</v>
      </c>
      <c r="N1378" t="s">
        <v>1873</v>
      </c>
      <c r="O1378" s="7" t="s">
        <v>3922</v>
      </c>
      <c r="P1378" s="17" t="str">
        <f t="shared" ca="1" si="42"/>
        <v>0-14.9K</v>
      </c>
      <c r="Q1378" s="17">
        <v>2.5</v>
      </c>
      <c r="R1378">
        <v>15</v>
      </c>
      <c r="S1378">
        <v>3</v>
      </c>
      <c r="T1378">
        <v>3</v>
      </c>
      <c r="U1378">
        <v>7</v>
      </c>
      <c r="V1378" s="15">
        <f t="shared" ca="1" si="43"/>
        <v>1</v>
      </c>
    </row>
    <row r="1379" spans="1:22">
      <c r="A1379" t="s">
        <v>1308</v>
      </c>
      <c r="B1379" s="1">
        <v>41062.943703703706</v>
      </c>
      <c r="C1379" s="2">
        <v>60000</v>
      </c>
      <c r="D1379">
        <v>60000</v>
      </c>
      <c r="E1379" t="s">
        <v>1856</v>
      </c>
      <c r="F1379" s="5">
        <v>60000</v>
      </c>
      <c r="G1379" s="5">
        <v>60000</v>
      </c>
      <c r="H1379" s="5">
        <f ca="1">OFFSET(F1379,0,Brains!$D$1,1,1)</f>
        <v>60000</v>
      </c>
      <c r="I1379" t="s">
        <v>1309</v>
      </c>
      <c r="J1379" t="s">
        <v>1882</v>
      </c>
      <c r="K1379" t="s">
        <v>3192</v>
      </c>
      <c r="L1379" t="s">
        <v>3192</v>
      </c>
      <c r="M1379" s="11" t="s">
        <v>3917</v>
      </c>
      <c r="N1379" t="s">
        <v>1873</v>
      </c>
      <c r="O1379" s="7" t="s">
        <v>3922</v>
      </c>
      <c r="P1379" s="17" t="str">
        <f t="shared" ca="1" si="42"/>
        <v>50-74.9K</v>
      </c>
      <c r="Q1379" s="17">
        <v>2.5</v>
      </c>
      <c r="R1379">
        <v>16</v>
      </c>
      <c r="S1379">
        <v>3</v>
      </c>
      <c r="T1379">
        <v>3</v>
      </c>
      <c r="U1379">
        <v>7</v>
      </c>
      <c r="V1379" s="15">
        <f t="shared" ca="1" si="43"/>
        <v>4</v>
      </c>
    </row>
    <row r="1380" spans="1:22">
      <c r="A1380" t="s">
        <v>3575</v>
      </c>
      <c r="B1380" s="1">
        <v>41055.905486111114</v>
      </c>
      <c r="C1380" s="2">
        <v>48000</v>
      </c>
      <c r="D1380">
        <v>48000</v>
      </c>
      <c r="E1380" t="s">
        <v>1856</v>
      </c>
      <c r="F1380" s="5">
        <v>48000</v>
      </c>
      <c r="G1380" s="5">
        <v>48000</v>
      </c>
      <c r="H1380" s="5">
        <f ca="1">OFFSET(F1380,0,Brains!$D$1,1,1)</f>
        <v>48000</v>
      </c>
      <c r="I1380" t="s">
        <v>3576</v>
      </c>
      <c r="J1380" t="s">
        <v>1882</v>
      </c>
      <c r="K1380" t="s">
        <v>1869</v>
      </c>
      <c r="L1380" t="s">
        <v>1869</v>
      </c>
      <c r="M1380" s="11" t="s">
        <v>3917</v>
      </c>
      <c r="N1380" t="s">
        <v>1873</v>
      </c>
      <c r="O1380" s="7" t="s">
        <v>3922</v>
      </c>
      <c r="P1380" s="17" t="str">
        <f t="shared" ca="1" si="42"/>
        <v>30-49.9K</v>
      </c>
      <c r="Q1380" s="17">
        <v>2.5</v>
      </c>
      <c r="R1380">
        <v>16</v>
      </c>
      <c r="S1380">
        <v>3</v>
      </c>
      <c r="T1380">
        <v>3</v>
      </c>
      <c r="U1380">
        <v>7</v>
      </c>
      <c r="V1380" s="15">
        <f t="shared" ca="1" si="43"/>
        <v>3</v>
      </c>
    </row>
    <row r="1381" spans="1:22">
      <c r="A1381" t="s">
        <v>600</v>
      </c>
      <c r="B1381" s="1">
        <v>41058.366527777776</v>
      </c>
      <c r="C1381" s="2">
        <v>40000</v>
      </c>
      <c r="D1381">
        <v>40000</v>
      </c>
      <c r="E1381" t="s">
        <v>1856</v>
      </c>
      <c r="F1381" s="5">
        <v>40000</v>
      </c>
      <c r="G1381" s="5">
        <v>40000</v>
      </c>
      <c r="H1381" s="5">
        <f ca="1">OFFSET(F1381,0,Brains!$D$1,1,1)</f>
        <v>40000</v>
      </c>
      <c r="I1381" t="s">
        <v>601</v>
      </c>
      <c r="J1381" t="s">
        <v>1882</v>
      </c>
      <c r="K1381" t="s">
        <v>1869</v>
      </c>
      <c r="L1381" t="s">
        <v>1869</v>
      </c>
      <c r="M1381" s="11" t="s">
        <v>3917</v>
      </c>
      <c r="N1381" t="s">
        <v>1873</v>
      </c>
      <c r="O1381" s="7" t="s">
        <v>3922</v>
      </c>
      <c r="P1381" s="17" t="str">
        <f t="shared" ca="1" si="42"/>
        <v>30-49.9K</v>
      </c>
      <c r="Q1381" s="17">
        <v>2.5</v>
      </c>
      <c r="R1381">
        <v>18</v>
      </c>
      <c r="S1381">
        <v>3</v>
      </c>
      <c r="T1381">
        <v>3</v>
      </c>
      <c r="U1381">
        <v>7</v>
      </c>
      <c r="V1381" s="15">
        <f t="shared" ca="1" si="43"/>
        <v>3</v>
      </c>
    </row>
    <row r="1382" spans="1:22">
      <c r="A1382" t="s">
        <v>3638</v>
      </c>
      <c r="B1382" s="1">
        <v>41055.983495370368</v>
      </c>
      <c r="C1382" s="2" t="s">
        <v>3639</v>
      </c>
      <c r="D1382">
        <v>600000</v>
      </c>
      <c r="E1382" t="s">
        <v>1908</v>
      </c>
      <c r="F1382" s="5">
        <v>10684.750012465542</v>
      </c>
      <c r="G1382" s="5">
        <v>29877.502240812668</v>
      </c>
      <c r="H1382" s="5">
        <f ca="1">OFFSET(F1382,0,Brains!$D$1,1,1)</f>
        <v>29877.502240812668</v>
      </c>
      <c r="I1382" t="s">
        <v>2184</v>
      </c>
      <c r="J1382" t="s">
        <v>1882</v>
      </c>
      <c r="K1382" t="s">
        <v>1859</v>
      </c>
      <c r="L1382" t="s">
        <v>1859</v>
      </c>
      <c r="M1382" s="11" t="s">
        <v>3917</v>
      </c>
      <c r="N1382" t="s">
        <v>1873</v>
      </c>
      <c r="O1382" s="7" t="s">
        <v>3922</v>
      </c>
      <c r="P1382" s="17" t="str">
        <f t="shared" ca="1" si="42"/>
        <v>15-29.9K</v>
      </c>
      <c r="Q1382" s="17">
        <v>2.5</v>
      </c>
      <c r="R1382">
        <v>18</v>
      </c>
      <c r="S1382">
        <v>3</v>
      </c>
      <c r="T1382">
        <v>3</v>
      </c>
      <c r="U1382">
        <v>7</v>
      </c>
      <c r="V1382" s="15">
        <f t="shared" ca="1" si="43"/>
        <v>2</v>
      </c>
    </row>
    <row r="1383" spans="1:22">
      <c r="A1383" t="s">
        <v>405</v>
      </c>
      <c r="B1383" s="1">
        <v>41057.945439814815</v>
      </c>
      <c r="C1383" s="2" t="s">
        <v>406</v>
      </c>
      <c r="D1383">
        <v>8725</v>
      </c>
      <c r="E1383" t="s">
        <v>1856</v>
      </c>
      <c r="F1383" s="5">
        <v>8725</v>
      </c>
      <c r="G1383" s="5">
        <v>8725</v>
      </c>
      <c r="H1383" s="5">
        <f ca="1">OFFSET(F1383,0,Brains!$D$1,1,1)</f>
        <v>8725</v>
      </c>
      <c r="I1383" t="s">
        <v>2930</v>
      </c>
      <c r="J1383" t="s">
        <v>1882</v>
      </c>
      <c r="K1383" t="s">
        <v>1872</v>
      </c>
      <c r="L1383" t="s">
        <v>1872</v>
      </c>
      <c r="M1383" s="11" t="s">
        <v>3917</v>
      </c>
      <c r="N1383" t="s">
        <v>1873</v>
      </c>
      <c r="O1383" s="7" t="s">
        <v>3922</v>
      </c>
      <c r="P1383" s="17" t="str">
        <f t="shared" ca="1" si="42"/>
        <v>0-14.9K</v>
      </c>
      <c r="Q1383" s="17">
        <v>2.5</v>
      </c>
      <c r="R1383">
        <v>18</v>
      </c>
      <c r="S1383">
        <v>3</v>
      </c>
      <c r="T1383">
        <v>3</v>
      </c>
      <c r="U1383">
        <v>7</v>
      </c>
      <c r="V1383" s="15">
        <f t="shared" ca="1" si="43"/>
        <v>1</v>
      </c>
    </row>
    <row r="1384" spans="1:22">
      <c r="A1384" t="s">
        <v>346</v>
      </c>
      <c r="B1384" s="1">
        <v>41057.809432870374</v>
      </c>
      <c r="C1384" s="2">
        <v>90000</v>
      </c>
      <c r="D1384">
        <v>90000</v>
      </c>
      <c r="E1384" t="s">
        <v>1880</v>
      </c>
      <c r="F1384" s="5">
        <v>114335.9495092447</v>
      </c>
      <c r="G1384" s="5">
        <v>113057.94093853167</v>
      </c>
      <c r="H1384" s="5">
        <f ca="1">OFFSET(F1384,0,Brains!$D$1,1,1)</f>
        <v>113057.94093853167</v>
      </c>
      <c r="I1384" t="s">
        <v>347</v>
      </c>
      <c r="J1384" t="s">
        <v>1882</v>
      </c>
      <c r="K1384" t="s">
        <v>348</v>
      </c>
      <c r="L1384" t="s">
        <v>749</v>
      </c>
      <c r="M1384" s="11" t="s">
        <v>3917</v>
      </c>
      <c r="N1384" t="s">
        <v>1873</v>
      </c>
      <c r="O1384" s="7" t="s">
        <v>3922</v>
      </c>
      <c r="P1384" s="17" t="str">
        <f t="shared" ca="1" si="42"/>
        <v>100-149.9K</v>
      </c>
      <c r="Q1384" s="17">
        <v>2.5</v>
      </c>
      <c r="R1384">
        <v>20</v>
      </c>
      <c r="S1384">
        <v>3</v>
      </c>
      <c r="T1384">
        <v>3</v>
      </c>
      <c r="U1384">
        <v>7</v>
      </c>
      <c r="V1384" s="15">
        <f t="shared" ca="1" si="43"/>
        <v>6</v>
      </c>
    </row>
    <row r="1385" spans="1:22">
      <c r="A1385" t="s">
        <v>3155</v>
      </c>
      <c r="B1385" s="1">
        <v>41055.411365740743</v>
      </c>
      <c r="C1385" s="2">
        <v>100000</v>
      </c>
      <c r="D1385">
        <v>100000</v>
      </c>
      <c r="E1385" t="s">
        <v>1973</v>
      </c>
      <c r="F1385" s="5">
        <v>101990.96564026357</v>
      </c>
      <c r="G1385" s="5">
        <v>63613.231552162855</v>
      </c>
      <c r="H1385" s="5">
        <f ca="1">OFFSET(F1385,0,Brains!$D$1,1,1)</f>
        <v>63613.231552162855</v>
      </c>
      <c r="I1385" t="s">
        <v>3156</v>
      </c>
      <c r="J1385" t="s">
        <v>1882</v>
      </c>
      <c r="K1385" t="s">
        <v>1975</v>
      </c>
      <c r="L1385" t="s">
        <v>1975</v>
      </c>
      <c r="M1385" s="11" t="s">
        <v>3917</v>
      </c>
      <c r="N1385" t="s">
        <v>1873</v>
      </c>
      <c r="O1385" s="7" t="s">
        <v>3922</v>
      </c>
      <c r="P1385" s="17" t="str">
        <f t="shared" ca="1" si="42"/>
        <v>50-74.9K</v>
      </c>
      <c r="Q1385" s="17">
        <v>2.5</v>
      </c>
      <c r="R1385">
        <v>20</v>
      </c>
      <c r="S1385">
        <v>3</v>
      </c>
      <c r="T1385">
        <v>3</v>
      </c>
      <c r="U1385">
        <v>7</v>
      </c>
      <c r="V1385" s="15">
        <f t="shared" ca="1" si="43"/>
        <v>4</v>
      </c>
    </row>
    <row r="1386" spans="1:22">
      <c r="A1386" t="s">
        <v>3141</v>
      </c>
      <c r="B1386" s="1">
        <v>41055.372372685182</v>
      </c>
      <c r="C1386" s="2" t="s">
        <v>3142</v>
      </c>
      <c r="D1386">
        <v>90000</v>
      </c>
      <c r="E1386" t="s">
        <v>1856</v>
      </c>
      <c r="F1386" s="5">
        <v>90000</v>
      </c>
      <c r="G1386" s="5">
        <v>90000</v>
      </c>
      <c r="H1386" s="5">
        <f ca="1">OFFSET(F1386,0,Brains!$D$1,1,1)</f>
        <v>90000</v>
      </c>
      <c r="I1386" t="s">
        <v>3143</v>
      </c>
      <c r="J1386" t="s">
        <v>1882</v>
      </c>
      <c r="K1386" t="s">
        <v>1869</v>
      </c>
      <c r="L1386" t="s">
        <v>1869</v>
      </c>
      <c r="M1386" s="11" t="s">
        <v>3917</v>
      </c>
      <c r="N1386" t="s">
        <v>1873</v>
      </c>
      <c r="O1386" s="7" t="s">
        <v>3922</v>
      </c>
      <c r="P1386" s="17" t="str">
        <f t="shared" ca="1" si="42"/>
        <v>75-99.9K</v>
      </c>
      <c r="Q1386" s="17">
        <v>2.5</v>
      </c>
      <c r="R1386">
        <v>20</v>
      </c>
      <c r="S1386">
        <v>3</v>
      </c>
      <c r="T1386">
        <v>3</v>
      </c>
      <c r="U1386">
        <v>7</v>
      </c>
      <c r="V1386" s="15">
        <f t="shared" ca="1" si="43"/>
        <v>5</v>
      </c>
    </row>
    <row r="1387" spans="1:22">
      <c r="A1387" t="s">
        <v>1830</v>
      </c>
      <c r="B1387" s="1">
        <v>41080.545335648145</v>
      </c>
      <c r="C1387" s="2" t="s">
        <v>1172</v>
      </c>
      <c r="D1387">
        <v>60000</v>
      </c>
      <c r="E1387" t="s">
        <v>1880</v>
      </c>
      <c r="F1387" s="5">
        <v>76223.966339496474</v>
      </c>
      <c r="G1387" s="5">
        <v>75371.960625687774</v>
      </c>
      <c r="H1387" s="5">
        <f ca="1">OFFSET(F1387,0,Brains!$D$1,1,1)</f>
        <v>75371.960625687774</v>
      </c>
      <c r="I1387" t="s">
        <v>2184</v>
      </c>
      <c r="J1387" t="s">
        <v>1882</v>
      </c>
      <c r="K1387" t="s">
        <v>864</v>
      </c>
      <c r="L1387" t="s">
        <v>864</v>
      </c>
      <c r="M1387" s="11" t="s">
        <v>3917</v>
      </c>
      <c r="N1387" t="s">
        <v>1873</v>
      </c>
      <c r="O1387" s="7" t="s">
        <v>3922</v>
      </c>
      <c r="P1387" s="17" t="str">
        <f t="shared" ca="1" si="42"/>
        <v>75-99.9K</v>
      </c>
      <c r="Q1387" s="17">
        <v>2.5</v>
      </c>
      <c r="R1387">
        <v>20</v>
      </c>
      <c r="S1387">
        <v>3</v>
      </c>
      <c r="T1387">
        <v>3</v>
      </c>
      <c r="U1387">
        <v>7</v>
      </c>
      <c r="V1387" s="15">
        <f t="shared" ca="1" si="43"/>
        <v>5</v>
      </c>
    </row>
    <row r="1388" spans="1:22">
      <c r="A1388" t="s">
        <v>963</v>
      </c>
      <c r="B1388" s="1">
        <v>41059.508773148147</v>
      </c>
      <c r="C1388" s="2">
        <v>67000</v>
      </c>
      <c r="D1388">
        <v>67000</v>
      </c>
      <c r="E1388" t="s">
        <v>1856</v>
      </c>
      <c r="F1388" s="5">
        <v>67000</v>
      </c>
      <c r="G1388" s="5">
        <v>67000</v>
      </c>
      <c r="H1388" s="5">
        <f ca="1">OFFSET(F1388,0,Brains!$D$1,1,1)</f>
        <v>67000</v>
      </c>
      <c r="I1388" t="s">
        <v>964</v>
      </c>
      <c r="J1388" t="s">
        <v>1882</v>
      </c>
      <c r="K1388" t="s">
        <v>1869</v>
      </c>
      <c r="L1388" t="s">
        <v>1869</v>
      </c>
      <c r="M1388" s="11" t="s">
        <v>3917</v>
      </c>
      <c r="N1388" t="s">
        <v>1873</v>
      </c>
      <c r="O1388" s="7" t="s">
        <v>3922</v>
      </c>
      <c r="P1388" s="17" t="str">
        <f t="shared" ca="1" si="42"/>
        <v>50-74.9K</v>
      </c>
      <c r="Q1388" s="17">
        <v>2.5</v>
      </c>
      <c r="R1388">
        <v>20</v>
      </c>
      <c r="S1388">
        <v>3</v>
      </c>
      <c r="T1388">
        <v>3</v>
      </c>
      <c r="U1388">
        <v>7</v>
      </c>
      <c r="V1388" s="15">
        <f t="shared" ca="1" si="43"/>
        <v>4</v>
      </c>
    </row>
    <row r="1389" spans="1:22">
      <c r="A1389" t="s">
        <v>827</v>
      </c>
      <c r="B1389" s="1">
        <v>41058.861250000002</v>
      </c>
      <c r="C1389" s="2" t="s">
        <v>828</v>
      </c>
      <c r="D1389">
        <v>60000</v>
      </c>
      <c r="E1389" t="s">
        <v>1856</v>
      </c>
      <c r="F1389" s="5">
        <v>60000</v>
      </c>
      <c r="G1389" s="5">
        <v>60000</v>
      </c>
      <c r="H1389" s="5">
        <f ca="1">OFFSET(F1389,0,Brains!$D$1,1,1)</f>
        <v>60000</v>
      </c>
      <c r="I1389" t="s">
        <v>2190</v>
      </c>
      <c r="J1389" t="s">
        <v>1882</v>
      </c>
      <c r="K1389" t="s">
        <v>1869</v>
      </c>
      <c r="L1389" t="s">
        <v>1869</v>
      </c>
      <c r="M1389" s="11" t="s">
        <v>3917</v>
      </c>
      <c r="N1389" t="s">
        <v>1873</v>
      </c>
      <c r="O1389" s="7" t="s">
        <v>3922</v>
      </c>
      <c r="P1389" s="17" t="str">
        <f t="shared" ca="1" si="42"/>
        <v>50-74.9K</v>
      </c>
      <c r="Q1389" s="17">
        <v>2.5</v>
      </c>
      <c r="R1389">
        <v>20</v>
      </c>
      <c r="S1389">
        <v>3</v>
      </c>
      <c r="T1389">
        <v>3</v>
      </c>
      <c r="U1389">
        <v>7</v>
      </c>
      <c r="V1389" s="15">
        <f t="shared" ca="1" si="43"/>
        <v>4</v>
      </c>
    </row>
    <row r="1390" spans="1:22">
      <c r="A1390" t="s">
        <v>3317</v>
      </c>
      <c r="B1390" s="1">
        <v>41055.555347222224</v>
      </c>
      <c r="C1390" s="2">
        <v>50000</v>
      </c>
      <c r="D1390">
        <v>50000</v>
      </c>
      <c r="E1390" t="s">
        <v>1856</v>
      </c>
      <c r="F1390" s="5">
        <v>50000</v>
      </c>
      <c r="G1390" s="5">
        <v>50000</v>
      </c>
      <c r="H1390" s="5">
        <f ca="1">OFFSET(F1390,0,Brains!$D$1,1,1)</f>
        <v>50000</v>
      </c>
      <c r="I1390" t="s">
        <v>3318</v>
      </c>
      <c r="J1390" t="s">
        <v>1882</v>
      </c>
      <c r="K1390" t="s">
        <v>1859</v>
      </c>
      <c r="L1390" t="s">
        <v>1859</v>
      </c>
      <c r="M1390" s="11" t="s">
        <v>3917</v>
      </c>
      <c r="N1390" t="s">
        <v>1873</v>
      </c>
      <c r="O1390" s="7" t="s">
        <v>3922</v>
      </c>
      <c r="P1390" s="17" t="str">
        <f t="shared" ca="1" si="42"/>
        <v>50-74.9K</v>
      </c>
      <c r="Q1390" s="17">
        <v>2.5</v>
      </c>
      <c r="R1390">
        <v>20</v>
      </c>
      <c r="S1390">
        <v>3</v>
      </c>
      <c r="T1390">
        <v>3</v>
      </c>
      <c r="U1390">
        <v>7</v>
      </c>
      <c r="V1390" s="15">
        <f t="shared" ca="1" si="43"/>
        <v>4</v>
      </c>
    </row>
    <row r="1391" spans="1:22">
      <c r="A1391" t="s">
        <v>3624</v>
      </c>
      <c r="B1391" s="1">
        <v>41055.96197916667</v>
      </c>
      <c r="C1391" s="2">
        <v>40000</v>
      </c>
      <c r="D1391">
        <v>40000</v>
      </c>
      <c r="E1391" t="s">
        <v>1856</v>
      </c>
      <c r="F1391" s="5">
        <v>40000</v>
      </c>
      <c r="G1391" s="5">
        <v>40000</v>
      </c>
      <c r="H1391" s="5">
        <f ca="1">OFFSET(F1391,0,Brains!$D$1,1,1)</f>
        <v>40000</v>
      </c>
      <c r="I1391" t="s">
        <v>3625</v>
      </c>
      <c r="J1391" t="s">
        <v>1882</v>
      </c>
      <c r="K1391" t="s">
        <v>1869</v>
      </c>
      <c r="L1391" t="s">
        <v>1869</v>
      </c>
      <c r="M1391" s="11" t="s">
        <v>3917</v>
      </c>
      <c r="N1391" t="s">
        <v>1873</v>
      </c>
      <c r="O1391" s="7" t="s">
        <v>3922</v>
      </c>
      <c r="P1391" s="17" t="str">
        <f t="shared" ca="1" si="42"/>
        <v>30-49.9K</v>
      </c>
      <c r="Q1391" s="17">
        <v>2.5</v>
      </c>
      <c r="R1391">
        <v>20</v>
      </c>
      <c r="S1391">
        <v>3</v>
      </c>
      <c r="T1391">
        <v>3</v>
      </c>
      <c r="U1391">
        <v>7</v>
      </c>
      <c r="V1391" s="15">
        <f t="shared" ca="1" si="43"/>
        <v>3</v>
      </c>
    </row>
    <row r="1392" spans="1:22">
      <c r="A1392" t="s">
        <v>624</v>
      </c>
      <c r="B1392" s="1">
        <v>41058.448449074072</v>
      </c>
      <c r="C1392" s="2" t="s">
        <v>625</v>
      </c>
      <c r="D1392">
        <v>89500</v>
      </c>
      <c r="E1392" t="s">
        <v>51</v>
      </c>
      <c r="F1392" s="5">
        <v>28353.650809742252</v>
      </c>
      <c r="G1392" s="5">
        <v>46134.020618556708</v>
      </c>
      <c r="H1392" s="5">
        <f ca="1">OFFSET(F1392,0,Brains!$D$1,1,1)</f>
        <v>46134.020618556708</v>
      </c>
      <c r="I1392" t="s">
        <v>1882</v>
      </c>
      <c r="J1392" t="s">
        <v>1882</v>
      </c>
      <c r="K1392" t="s">
        <v>53</v>
      </c>
      <c r="L1392" t="s">
        <v>53</v>
      </c>
      <c r="M1392" s="11" t="s">
        <v>3917</v>
      </c>
      <c r="N1392" t="s">
        <v>1873</v>
      </c>
      <c r="O1392" s="7" t="s">
        <v>3922</v>
      </c>
      <c r="P1392" s="17" t="str">
        <f t="shared" ca="1" si="42"/>
        <v>30-49.9K</v>
      </c>
      <c r="Q1392" s="17">
        <v>2.5</v>
      </c>
      <c r="R1392">
        <v>20</v>
      </c>
      <c r="S1392">
        <v>3</v>
      </c>
      <c r="T1392">
        <v>3</v>
      </c>
      <c r="U1392">
        <v>7</v>
      </c>
      <c r="V1392" s="15">
        <f t="shared" ca="1" si="43"/>
        <v>3</v>
      </c>
    </row>
    <row r="1393" spans="1:22">
      <c r="A1393" t="s">
        <v>707</v>
      </c>
      <c r="B1393" s="1">
        <v>41058.632222222222</v>
      </c>
      <c r="C1393" s="2">
        <v>13500</v>
      </c>
      <c r="D1393">
        <v>13500</v>
      </c>
      <c r="E1393" t="s">
        <v>1856</v>
      </c>
      <c r="F1393" s="5">
        <v>13500</v>
      </c>
      <c r="G1393" s="5">
        <v>13500</v>
      </c>
      <c r="H1393" s="5">
        <f ca="1">OFFSET(F1393,0,Brains!$D$1,1,1)</f>
        <v>13500</v>
      </c>
      <c r="I1393" t="s">
        <v>3339</v>
      </c>
      <c r="J1393" t="s">
        <v>1882</v>
      </c>
      <c r="K1393" t="s">
        <v>1859</v>
      </c>
      <c r="L1393" t="s">
        <v>1859</v>
      </c>
      <c r="M1393" s="11" t="s">
        <v>3917</v>
      </c>
      <c r="N1393" t="s">
        <v>1873</v>
      </c>
      <c r="O1393" s="7" t="s">
        <v>3922</v>
      </c>
      <c r="P1393" s="17" t="str">
        <f t="shared" ca="1" si="42"/>
        <v>0-14.9K</v>
      </c>
      <c r="Q1393" s="17">
        <v>2.5</v>
      </c>
      <c r="R1393">
        <v>20</v>
      </c>
      <c r="S1393">
        <v>3</v>
      </c>
      <c r="T1393">
        <v>3</v>
      </c>
      <c r="U1393">
        <v>7</v>
      </c>
      <c r="V1393" s="15">
        <f t="shared" ca="1" si="43"/>
        <v>1</v>
      </c>
    </row>
    <row r="1394" spans="1:22">
      <c r="A1394" t="s">
        <v>522</v>
      </c>
      <c r="B1394" s="1">
        <v>41058.072256944448</v>
      </c>
      <c r="C1394" s="2">
        <v>100000</v>
      </c>
      <c r="D1394">
        <v>100000</v>
      </c>
      <c r="E1394" t="s">
        <v>1856</v>
      </c>
      <c r="F1394" s="5">
        <v>100000</v>
      </c>
      <c r="G1394" s="5">
        <v>100000</v>
      </c>
      <c r="H1394" s="5">
        <f ca="1">OFFSET(F1394,0,Brains!$D$1,1,1)</f>
        <v>100000</v>
      </c>
      <c r="I1394" t="s">
        <v>3022</v>
      </c>
      <c r="J1394" t="s">
        <v>1882</v>
      </c>
      <c r="K1394" t="s">
        <v>1869</v>
      </c>
      <c r="L1394" t="s">
        <v>1869</v>
      </c>
      <c r="M1394" s="11" t="s">
        <v>3918</v>
      </c>
      <c r="N1394" t="s">
        <v>1860</v>
      </c>
      <c r="O1394" s="7" t="s">
        <v>3922</v>
      </c>
      <c r="P1394" s="17" t="str">
        <f t="shared" ca="1" si="42"/>
        <v>100-149.9K</v>
      </c>
      <c r="Q1394" s="17">
        <v>5</v>
      </c>
      <c r="R1394">
        <v>11</v>
      </c>
      <c r="S1394">
        <v>4</v>
      </c>
      <c r="T1394">
        <v>3</v>
      </c>
      <c r="U1394">
        <v>7</v>
      </c>
      <c r="V1394" s="15">
        <f t="shared" ca="1" si="43"/>
        <v>6</v>
      </c>
    </row>
    <row r="1395" spans="1:22">
      <c r="A1395" t="s">
        <v>3228</v>
      </c>
      <c r="B1395" s="1">
        <v>41055.493449074071</v>
      </c>
      <c r="C1395" s="2" t="s">
        <v>3229</v>
      </c>
      <c r="D1395">
        <v>600000</v>
      </c>
      <c r="E1395" t="s">
        <v>1908</v>
      </c>
      <c r="F1395" s="5">
        <v>10684.750012465542</v>
      </c>
      <c r="G1395" s="5">
        <v>29877.502240812668</v>
      </c>
      <c r="H1395" s="5">
        <f ca="1">OFFSET(F1395,0,Brains!$D$1,1,1)</f>
        <v>29877.502240812668</v>
      </c>
      <c r="I1395" t="s">
        <v>3230</v>
      </c>
      <c r="J1395" t="s">
        <v>1882</v>
      </c>
      <c r="K1395" t="s">
        <v>1859</v>
      </c>
      <c r="L1395" t="s">
        <v>1859</v>
      </c>
      <c r="M1395" s="11" t="s">
        <v>3918</v>
      </c>
      <c r="N1395" t="s">
        <v>1860</v>
      </c>
      <c r="O1395" s="7" t="s">
        <v>3922</v>
      </c>
      <c r="P1395" s="17" t="str">
        <f t="shared" ca="1" si="42"/>
        <v>15-29.9K</v>
      </c>
      <c r="Q1395" s="17">
        <v>5</v>
      </c>
      <c r="R1395">
        <v>11</v>
      </c>
      <c r="S1395">
        <v>4</v>
      </c>
      <c r="T1395">
        <v>3</v>
      </c>
      <c r="U1395">
        <v>7</v>
      </c>
      <c r="V1395" s="15">
        <f t="shared" ca="1" si="43"/>
        <v>2</v>
      </c>
    </row>
    <row r="1396" spans="1:22">
      <c r="A1396" t="s">
        <v>1504</v>
      </c>
      <c r="B1396" s="1">
        <v>41067.704097222224</v>
      </c>
      <c r="C1396" s="2">
        <v>10000</v>
      </c>
      <c r="D1396">
        <v>10000</v>
      </c>
      <c r="E1396" t="s">
        <v>1856</v>
      </c>
      <c r="F1396" s="5">
        <v>10000</v>
      </c>
      <c r="G1396" s="5">
        <v>10000</v>
      </c>
      <c r="H1396" s="5">
        <f ca="1">OFFSET(F1396,0,Brains!$D$1,1,1)</f>
        <v>10000</v>
      </c>
      <c r="I1396" t="s">
        <v>1505</v>
      </c>
      <c r="J1396" t="s">
        <v>1882</v>
      </c>
      <c r="K1396" t="s">
        <v>1859</v>
      </c>
      <c r="L1396" t="s">
        <v>1859</v>
      </c>
      <c r="M1396" s="11" t="s">
        <v>3918</v>
      </c>
      <c r="N1396" t="s">
        <v>1860</v>
      </c>
      <c r="O1396" s="7" t="s">
        <v>3922</v>
      </c>
      <c r="P1396" s="17" t="str">
        <f t="shared" ca="1" si="42"/>
        <v>0-14.9K</v>
      </c>
      <c r="Q1396" s="17">
        <v>5</v>
      </c>
      <c r="R1396">
        <v>11</v>
      </c>
      <c r="S1396">
        <v>4</v>
      </c>
      <c r="T1396">
        <v>3</v>
      </c>
      <c r="U1396">
        <v>7</v>
      </c>
      <c r="V1396" s="15">
        <f t="shared" ca="1" si="43"/>
        <v>1</v>
      </c>
    </row>
    <row r="1397" spans="1:22">
      <c r="A1397" t="s">
        <v>3512</v>
      </c>
      <c r="B1397" s="1">
        <v>41055.778831018521</v>
      </c>
      <c r="C1397" s="2" t="s">
        <v>3513</v>
      </c>
      <c r="D1397">
        <v>480000</v>
      </c>
      <c r="E1397" t="s">
        <v>1908</v>
      </c>
      <c r="F1397" s="5">
        <v>8547.8000099724322</v>
      </c>
      <c r="G1397" s="5">
        <v>23902.001792650135</v>
      </c>
      <c r="H1397" s="5">
        <f ca="1">OFFSET(F1397,0,Brains!$D$1,1,1)</f>
        <v>23902.001792650135</v>
      </c>
      <c r="I1397" t="s">
        <v>3514</v>
      </c>
      <c r="J1397" t="s">
        <v>1882</v>
      </c>
      <c r="K1397" t="s">
        <v>1859</v>
      </c>
      <c r="L1397" t="s">
        <v>1859</v>
      </c>
      <c r="M1397" s="11" t="s">
        <v>3918</v>
      </c>
      <c r="N1397" t="s">
        <v>1860</v>
      </c>
      <c r="O1397" s="7" t="s">
        <v>3922</v>
      </c>
      <c r="P1397" s="17" t="str">
        <f t="shared" ca="1" si="42"/>
        <v>15-29.9K</v>
      </c>
      <c r="Q1397" s="17">
        <v>5</v>
      </c>
      <c r="R1397">
        <v>11</v>
      </c>
      <c r="S1397">
        <v>4</v>
      </c>
      <c r="T1397">
        <v>3</v>
      </c>
      <c r="U1397">
        <v>7</v>
      </c>
      <c r="V1397" s="15">
        <f t="shared" ca="1" si="43"/>
        <v>2</v>
      </c>
    </row>
    <row r="1398" spans="1:22">
      <c r="A1398" t="s">
        <v>1299</v>
      </c>
      <c r="B1398" s="1">
        <v>41062.801793981482</v>
      </c>
      <c r="C1398" s="2">
        <v>140000</v>
      </c>
      <c r="D1398">
        <v>140000</v>
      </c>
      <c r="E1398" t="s">
        <v>1856</v>
      </c>
      <c r="F1398" s="5">
        <v>140000</v>
      </c>
      <c r="G1398" s="5">
        <v>140000</v>
      </c>
      <c r="H1398" s="5">
        <f ca="1">OFFSET(F1398,0,Brains!$D$1,1,1)</f>
        <v>140000</v>
      </c>
      <c r="I1398" t="s">
        <v>3855</v>
      </c>
      <c r="J1398" t="s">
        <v>1882</v>
      </c>
      <c r="K1398" t="s">
        <v>1869</v>
      </c>
      <c r="L1398" t="s">
        <v>1869</v>
      </c>
      <c r="M1398" s="11" t="s">
        <v>3918</v>
      </c>
      <c r="N1398" t="s">
        <v>1860</v>
      </c>
      <c r="O1398" s="7" t="s">
        <v>3922</v>
      </c>
      <c r="P1398" s="17" t="str">
        <f t="shared" ca="1" si="42"/>
        <v>100-149.9K</v>
      </c>
      <c r="Q1398" s="17">
        <v>5</v>
      </c>
      <c r="R1398">
        <v>12</v>
      </c>
      <c r="S1398">
        <v>4</v>
      </c>
      <c r="T1398">
        <v>3</v>
      </c>
      <c r="U1398">
        <v>7</v>
      </c>
      <c r="V1398" s="15">
        <f t="shared" ca="1" si="43"/>
        <v>6</v>
      </c>
    </row>
    <row r="1399" spans="1:22">
      <c r="A1399" t="s">
        <v>497</v>
      </c>
      <c r="B1399" s="1">
        <v>41058.020509259259</v>
      </c>
      <c r="C1399" s="2">
        <v>60000</v>
      </c>
      <c r="D1399">
        <v>60000</v>
      </c>
      <c r="E1399" t="s">
        <v>1856</v>
      </c>
      <c r="F1399" s="5">
        <v>60000</v>
      </c>
      <c r="G1399" s="5">
        <v>60000</v>
      </c>
      <c r="H1399" s="5">
        <f ca="1">OFFSET(F1399,0,Brains!$D$1,1,1)</f>
        <v>60000</v>
      </c>
      <c r="I1399" t="s">
        <v>498</v>
      </c>
      <c r="J1399" t="s">
        <v>1882</v>
      </c>
      <c r="K1399" t="s">
        <v>1869</v>
      </c>
      <c r="L1399" t="s">
        <v>1869</v>
      </c>
      <c r="M1399" s="11" t="s">
        <v>3918</v>
      </c>
      <c r="N1399" t="s">
        <v>1860</v>
      </c>
      <c r="O1399" s="7" t="s">
        <v>3922</v>
      </c>
      <c r="P1399" s="17" t="str">
        <f t="shared" ca="1" si="42"/>
        <v>50-74.9K</v>
      </c>
      <c r="Q1399" s="17">
        <v>5</v>
      </c>
      <c r="R1399">
        <v>12</v>
      </c>
      <c r="S1399">
        <v>4</v>
      </c>
      <c r="T1399">
        <v>3</v>
      </c>
      <c r="U1399">
        <v>7</v>
      </c>
      <c r="V1399" s="15">
        <f t="shared" ca="1" si="43"/>
        <v>4</v>
      </c>
    </row>
    <row r="1400" spans="1:22">
      <c r="A1400" t="s">
        <v>1609</v>
      </c>
      <c r="B1400" s="1">
        <v>41071.911273148151</v>
      </c>
      <c r="C1400" s="2">
        <v>56600</v>
      </c>
      <c r="D1400">
        <v>56600</v>
      </c>
      <c r="E1400" t="s">
        <v>1856</v>
      </c>
      <c r="F1400" s="5">
        <v>56600</v>
      </c>
      <c r="G1400" s="5">
        <v>56600</v>
      </c>
      <c r="H1400" s="5">
        <f ca="1">OFFSET(F1400,0,Brains!$D$1,1,1)</f>
        <v>56600</v>
      </c>
      <c r="I1400" t="s">
        <v>1610</v>
      </c>
      <c r="J1400" t="s">
        <v>1882</v>
      </c>
      <c r="K1400" t="s">
        <v>1869</v>
      </c>
      <c r="L1400" t="s">
        <v>1869</v>
      </c>
      <c r="M1400" s="11" t="s">
        <v>3918</v>
      </c>
      <c r="N1400" t="s">
        <v>1860</v>
      </c>
      <c r="O1400" s="7" t="s">
        <v>3922</v>
      </c>
      <c r="P1400" s="17" t="str">
        <f t="shared" ca="1" si="42"/>
        <v>50-74.9K</v>
      </c>
      <c r="Q1400" s="17">
        <v>5</v>
      </c>
      <c r="R1400">
        <v>12</v>
      </c>
      <c r="S1400">
        <v>4</v>
      </c>
      <c r="T1400">
        <v>3</v>
      </c>
      <c r="U1400">
        <v>7</v>
      </c>
      <c r="V1400" s="15">
        <f t="shared" ca="1" si="43"/>
        <v>4</v>
      </c>
    </row>
    <row r="1401" spans="1:22">
      <c r="A1401" t="s">
        <v>3278</v>
      </c>
      <c r="B1401" s="1">
        <v>41055.536539351851</v>
      </c>
      <c r="C1401" s="2">
        <v>24000</v>
      </c>
      <c r="D1401">
        <v>24000</v>
      </c>
      <c r="E1401" t="s">
        <v>1856</v>
      </c>
      <c r="F1401" s="5">
        <v>24000</v>
      </c>
      <c r="G1401" s="5">
        <v>24000</v>
      </c>
      <c r="H1401" s="5">
        <f ca="1">OFFSET(F1401,0,Brains!$D$1,1,1)</f>
        <v>24000</v>
      </c>
      <c r="I1401" t="s">
        <v>3279</v>
      </c>
      <c r="J1401" t="s">
        <v>1882</v>
      </c>
      <c r="K1401" t="s">
        <v>3280</v>
      </c>
      <c r="L1401" t="s">
        <v>2064</v>
      </c>
      <c r="M1401" s="11" t="s">
        <v>3918</v>
      </c>
      <c r="N1401" t="s">
        <v>1860</v>
      </c>
      <c r="O1401" s="7" t="s">
        <v>3922</v>
      </c>
      <c r="P1401" s="17" t="str">
        <f t="shared" ca="1" si="42"/>
        <v>15-29.9K</v>
      </c>
      <c r="Q1401" s="17">
        <v>5</v>
      </c>
      <c r="R1401">
        <v>12</v>
      </c>
      <c r="S1401">
        <v>4</v>
      </c>
      <c r="T1401">
        <v>3</v>
      </c>
      <c r="U1401">
        <v>7</v>
      </c>
      <c r="V1401" s="15">
        <f t="shared" ca="1" si="43"/>
        <v>2</v>
      </c>
    </row>
    <row r="1402" spans="1:22">
      <c r="A1402" t="s">
        <v>645</v>
      </c>
      <c r="B1402" s="1">
        <v>41058.511886574073</v>
      </c>
      <c r="C1402" s="2">
        <v>18000</v>
      </c>
      <c r="D1402">
        <v>18000</v>
      </c>
      <c r="E1402" t="s">
        <v>1856</v>
      </c>
      <c r="F1402" s="5">
        <v>18000</v>
      </c>
      <c r="G1402" s="5">
        <v>18000</v>
      </c>
      <c r="H1402" s="5">
        <f ca="1">OFFSET(F1402,0,Brains!$D$1,1,1)</f>
        <v>18000</v>
      </c>
      <c r="I1402" t="s">
        <v>1882</v>
      </c>
      <c r="J1402" t="s">
        <v>1882</v>
      </c>
      <c r="K1402" t="s">
        <v>1859</v>
      </c>
      <c r="L1402" t="s">
        <v>1859</v>
      </c>
      <c r="M1402" s="11" t="s">
        <v>3918</v>
      </c>
      <c r="N1402" t="s">
        <v>1860</v>
      </c>
      <c r="O1402" s="7" t="s">
        <v>3922</v>
      </c>
      <c r="P1402" s="17" t="str">
        <f t="shared" ca="1" si="42"/>
        <v>15-29.9K</v>
      </c>
      <c r="Q1402" s="17">
        <v>5</v>
      </c>
      <c r="R1402">
        <v>12</v>
      </c>
      <c r="S1402">
        <v>4</v>
      </c>
      <c r="T1402">
        <v>3</v>
      </c>
      <c r="U1402">
        <v>7</v>
      </c>
      <c r="V1402" s="15">
        <f t="shared" ca="1" si="43"/>
        <v>2</v>
      </c>
    </row>
    <row r="1403" spans="1:22">
      <c r="A1403" t="s">
        <v>759</v>
      </c>
      <c r="B1403" s="1">
        <v>41058.733483796299</v>
      </c>
      <c r="C1403" s="2">
        <v>18000</v>
      </c>
      <c r="D1403">
        <v>18000</v>
      </c>
      <c r="E1403" t="s">
        <v>1856</v>
      </c>
      <c r="F1403" s="5">
        <v>18000</v>
      </c>
      <c r="G1403" s="5">
        <v>18000</v>
      </c>
      <c r="H1403" s="5">
        <f ca="1">OFFSET(F1403,0,Brains!$D$1,1,1)</f>
        <v>18000</v>
      </c>
      <c r="I1403" t="s">
        <v>760</v>
      </c>
      <c r="J1403" t="s">
        <v>1882</v>
      </c>
      <c r="K1403" t="s">
        <v>761</v>
      </c>
      <c r="L1403" t="s">
        <v>761</v>
      </c>
      <c r="M1403" s="11" t="s">
        <v>3918</v>
      </c>
      <c r="N1403" t="s">
        <v>1860</v>
      </c>
      <c r="O1403" s="7" t="s">
        <v>3922</v>
      </c>
      <c r="P1403" s="17" t="str">
        <f t="shared" ca="1" si="42"/>
        <v>15-29.9K</v>
      </c>
      <c r="Q1403" s="17">
        <v>5</v>
      </c>
      <c r="R1403">
        <v>12</v>
      </c>
      <c r="S1403">
        <v>4</v>
      </c>
      <c r="T1403">
        <v>3</v>
      </c>
      <c r="U1403">
        <v>7</v>
      </c>
      <c r="V1403" s="15">
        <f t="shared" ca="1" si="43"/>
        <v>2</v>
      </c>
    </row>
    <row r="1404" spans="1:22">
      <c r="A1404" t="s">
        <v>3194</v>
      </c>
      <c r="B1404" s="1">
        <v>41055.465543981481</v>
      </c>
      <c r="C1404" s="2" t="s">
        <v>3195</v>
      </c>
      <c r="D1404">
        <v>720000</v>
      </c>
      <c r="E1404" t="s">
        <v>1908</v>
      </c>
      <c r="F1404" s="5">
        <v>12821.700014958649</v>
      </c>
      <c r="G1404" s="5">
        <v>35853.002688975197</v>
      </c>
      <c r="H1404" s="5">
        <f ca="1">OFFSET(F1404,0,Brains!$D$1,1,1)</f>
        <v>35853.002688975197</v>
      </c>
      <c r="I1404" t="s">
        <v>3196</v>
      </c>
      <c r="J1404" t="s">
        <v>1882</v>
      </c>
      <c r="K1404" t="s">
        <v>1859</v>
      </c>
      <c r="L1404" t="s">
        <v>1859</v>
      </c>
      <c r="M1404" s="11" t="s">
        <v>3918</v>
      </c>
      <c r="N1404" t="s">
        <v>1860</v>
      </c>
      <c r="O1404" s="7" t="s">
        <v>3922</v>
      </c>
      <c r="P1404" s="17" t="str">
        <f t="shared" ca="1" si="42"/>
        <v>30-49.9K</v>
      </c>
      <c r="Q1404" s="17">
        <v>5</v>
      </c>
      <c r="R1404">
        <v>12</v>
      </c>
      <c r="S1404">
        <v>4</v>
      </c>
      <c r="T1404">
        <v>3</v>
      </c>
      <c r="U1404">
        <v>7</v>
      </c>
      <c r="V1404" s="15">
        <f t="shared" ca="1" si="43"/>
        <v>3</v>
      </c>
    </row>
    <row r="1405" spans="1:22">
      <c r="A1405" t="s">
        <v>1749</v>
      </c>
      <c r="B1405" s="1">
        <v>41076.71371527778</v>
      </c>
      <c r="C1405" s="2" t="s">
        <v>1750</v>
      </c>
      <c r="D1405">
        <v>600000</v>
      </c>
      <c r="E1405" t="s">
        <v>1908</v>
      </c>
      <c r="F1405" s="5">
        <v>10684.750012465542</v>
      </c>
      <c r="G1405" s="5">
        <v>29877.502240812668</v>
      </c>
      <c r="H1405" s="5">
        <f ca="1">OFFSET(F1405,0,Brains!$D$1,1,1)</f>
        <v>29877.502240812668</v>
      </c>
      <c r="I1405" t="s">
        <v>1751</v>
      </c>
      <c r="J1405" t="s">
        <v>1882</v>
      </c>
      <c r="K1405" t="s">
        <v>1859</v>
      </c>
      <c r="L1405" t="s">
        <v>1859</v>
      </c>
      <c r="M1405" s="11" t="s">
        <v>3918</v>
      </c>
      <c r="N1405" t="s">
        <v>1860</v>
      </c>
      <c r="O1405" s="7" t="s">
        <v>3922</v>
      </c>
      <c r="P1405" s="17" t="str">
        <f t="shared" ca="1" si="42"/>
        <v>15-29.9K</v>
      </c>
      <c r="Q1405" s="17">
        <v>5</v>
      </c>
      <c r="R1405">
        <v>12</v>
      </c>
      <c r="S1405">
        <v>4</v>
      </c>
      <c r="T1405">
        <v>3</v>
      </c>
      <c r="U1405">
        <v>7</v>
      </c>
      <c r="V1405" s="15">
        <f t="shared" ca="1" si="43"/>
        <v>2</v>
      </c>
    </row>
    <row r="1406" spans="1:22">
      <c r="A1406" t="s">
        <v>364</v>
      </c>
      <c r="B1406" s="1">
        <v>41057.864988425928</v>
      </c>
      <c r="C1406" s="2">
        <v>13.5</v>
      </c>
      <c r="D1406">
        <v>13500</v>
      </c>
      <c r="E1406" t="s">
        <v>1856</v>
      </c>
      <c r="F1406" s="5">
        <v>13500</v>
      </c>
      <c r="G1406" s="5">
        <v>13500</v>
      </c>
      <c r="H1406" s="5">
        <f ca="1">OFFSET(F1406,0,Brains!$D$1,1,1)</f>
        <v>13500</v>
      </c>
      <c r="I1406" t="s">
        <v>2129</v>
      </c>
      <c r="J1406" t="s">
        <v>1882</v>
      </c>
      <c r="K1406" t="s">
        <v>365</v>
      </c>
      <c r="L1406" t="s">
        <v>365</v>
      </c>
      <c r="M1406" s="11" t="s">
        <v>3918</v>
      </c>
      <c r="N1406" t="s">
        <v>1860</v>
      </c>
      <c r="O1406" s="7" t="s">
        <v>3922</v>
      </c>
      <c r="P1406" s="17" t="str">
        <f t="shared" ca="1" si="42"/>
        <v>0-14.9K</v>
      </c>
      <c r="Q1406" s="17">
        <v>5</v>
      </c>
      <c r="R1406">
        <v>13</v>
      </c>
      <c r="S1406">
        <v>4</v>
      </c>
      <c r="T1406">
        <v>3</v>
      </c>
      <c r="U1406">
        <v>7</v>
      </c>
      <c r="V1406" s="15">
        <f t="shared" ca="1" si="43"/>
        <v>1</v>
      </c>
    </row>
    <row r="1407" spans="1:22">
      <c r="A1407" t="s">
        <v>1474</v>
      </c>
      <c r="B1407" s="1">
        <v>41066.818819444445</v>
      </c>
      <c r="C1407" s="2">
        <v>550000</v>
      </c>
      <c r="D1407">
        <v>550000</v>
      </c>
      <c r="E1407" t="s">
        <v>1908</v>
      </c>
      <c r="F1407" s="5">
        <v>9794.354178093412</v>
      </c>
      <c r="G1407" s="5">
        <v>27387.710387411611</v>
      </c>
      <c r="H1407" s="5">
        <f ca="1">OFFSET(F1407,0,Brains!$D$1,1,1)</f>
        <v>27387.710387411611</v>
      </c>
      <c r="I1407" t="s">
        <v>1475</v>
      </c>
      <c r="J1407" t="s">
        <v>1882</v>
      </c>
      <c r="K1407" t="s">
        <v>1859</v>
      </c>
      <c r="L1407" t="s">
        <v>1859</v>
      </c>
      <c r="M1407" s="11" t="s">
        <v>3918</v>
      </c>
      <c r="N1407" t="s">
        <v>1860</v>
      </c>
      <c r="O1407" s="7" t="s">
        <v>3922</v>
      </c>
      <c r="P1407" s="17" t="str">
        <f t="shared" ca="1" si="42"/>
        <v>15-29.9K</v>
      </c>
      <c r="Q1407" s="17">
        <v>5</v>
      </c>
      <c r="R1407">
        <v>13</v>
      </c>
      <c r="S1407">
        <v>4</v>
      </c>
      <c r="T1407">
        <v>3</v>
      </c>
      <c r="U1407">
        <v>7</v>
      </c>
      <c r="V1407" s="15">
        <f t="shared" ca="1" si="43"/>
        <v>2</v>
      </c>
    </row>
    <row r="1408" spans="1:22">
      <c r="A1408" t="s">
        <v>847</v>
      </c>
      <c r="B1408" s="1">
        <v>41058.907268518517</v>
      </c>
      <c r="C1408" s="2" t="s">
        <v>848</v>
      </c>
      <c r="D1408">
        <v>97000</v>
      </c>
      <c r="E1408" t="s">
        <v>1856</v>
      </c>
      <c r="F1408" s="5">
        <v>97000</v>
      </c>
      <c r="G1408" s="5">
        <v>97000</v>
      </c>
      <c r="H1408" s="5">
        <f ca="1">OFFSET(F1408,0,Brains!$D$1,1,1)</f>
        <v>97000</v>
      </c>
      <c r="I1408" t="s">
        <v>849</v>
      </c>
      <c r="J1408" t="s">
        <v>1882</v>
      </c>
      <c r="K1408" t="s">
        <v>1869</v>
      </c>
      <c r="L1408" t="s">
        <v>1869</v>
      </c>
      <c r="M1408" s="11" t="s">
        <v>3918</v>
      </c>
      <c r="N1408" t="s">
        <v>1860</v>
      </c>
      <c r="O1408" s="7" t="s">
        <v>3922</v>
      </c>
      <c r="P1408" s="17" t="str">
        <f t="shared" ca="1" si="42"/>
        <v>75-99.9K</v>
      </c>
      <c r="Q1408" s="17">
        <v>5</v>
      </c>
      <c r="R1408">
        <v>14</v>
      </c>
      <c r="S1408">
        <v>4</v>
      </c>
      <c r="T1408">
        <v>3</v>
      </c>
      <c r="U1408">
        <v>7</v>
      </c>
      <c r="V1408" s="15">
        <f t="shared" ca="1" si="43"/>
        <v>5</v>
      </c>
    </row>
    <row r="1409" spans="1:22">
      <c r="A1409" t="s">
        <v>320</v>
      </c>
      <c r="B1409" s="1">
        <v>41057.758055555554</v>
      </c>
      <c r="C1409" s="2" t="s">
        <v>321</v>
      </c>
      <c r="D1409">
        <v>45000</v>
      </c>
      <c r="E1409" t="s">
        <v>1880</v>
      </c>
      <c r="F1409" s="5">
        <v>57167.974754622352</v>
      </c>
      <c r="G1409" s="5">
        <v>56528.970469265834</v>
      </c>
      <c r="H1409" s="5">
        <f ca="1">OFFSET(F1409,0,Brains!$D$1,1,1)</f>
        <v>56528.970469265834</v>
      </c>
      <c r="I1409" t="s">
        <v>322</v>
      </c>
      <c r="J1409" t="s">
        <v>1882</v>
      </c>
      <c r="K1409" t="s">
        <v>2957</v>
      </c>
      <c r="L1409" t="s">
        <v>2957</v>
      </c>
      <c r="M1409" s="11" t="s">
        <v>3918</v>
      </c>
      <c r="N1409" t="s">
        <v>1860</v>
      </c>
      <c r="O1409" s="7" t="s">
        <v>3922</v>
      </c>
      <c r="P1409" s="17" t="str">
        <f t="shared" ca="1" si="42"/>
        <v>50-74.9K</v>
      </c>
      <c r="Q1409" s="17">
        <v>5</v>
      </c>
      <c r="R1409">
        <v>14</v>
      </c>
      <c r="S1409">
        <v>4</v>
      </c>
      <c r="T1409">
        <v>3</v>
      </c>
      <c r="U1409">
        <v>7</v>
      </c>
      <c r="V1409" s="15">
        <f t="shared" ca="1" si="43"/>
        <v>4</v>
      </c>
    </row>
    <row r="1410" spans="1:22">
      <c r="A1410" t="s">
        <v>7</v>
      </c>
      <c r="B1410" s="1">
        <v>41057.311192129629</v>
      </c>
      <c r="C1410" s="2" t="s">
        <v>8</v>
      </c>
      <c r="D1410">
        <v>200000</v>
      </c>
      <c r="E1410" t="s">
        <v>1973</v>
      </c>
      <c r="F1410" s="5">
        <v>203981.93128052715</v>
      </c>
      <c r="G1410" s="5">
        <v>127226.46310432571</v>
      </c>
      <c r="H1410" s="5">
        <f ca="1">OFFSET(F1410,0,Brains!$D$1,1,1)</f>
        <v>127226.46310432571</v>
      </c>
      <c r="I1410" t="s">
        <v>3439</v>
      </c>
      <c r="J1410" t="s">
        <v>1882</v>
      </c>
      <c r="K1410" t="s">
        <v>1975</v>
      </c>
      <c r="L1410" t="s">
        <v>1975</v>
      </c>
      <c r="M1410" s="11" t="s">
        <v>3918</v>
      </c>
      <c r="N1410" t="s">
        <v>1860</v>
      </c>
      <c r="O1410" s="7" t="s">
        <v>3922</v>
      </c>
      <c r="P1410" s="17" t="str">
        <f t="shared" ref="P1410:P1473" ca="1" si="44">IF(H1410&lt;15000,"0-14.9K",IF(H1410&lt;30000,"15-29.9K",IF(H1410&lt;50000,"30-49.9K",IF(H1410&lt;75000,"50-74.9K",IF(H1410&lt;100000,"75-99.9K",IF(H1410&lt;150000,"100-149.9K",IF(H1410&lt;250000,"150-249.9K","250K+")))))))</f>
        <v>100-149.9K</v>
      </c>
      <c r="Q1410" s="17">
        <v>5</v>
      </c>
      <c r="R1410">
        <v>15</v>
      </c>
      <c r="S1410">
        <v>4</v>
      </c>
      <c r="T1410">
        <v>3</v>
      </c>
      <c r="U1410">
        <v>7</v>
      </c>
      <c r="V1410" s="15">
        <f t="shared" ref="V1410:V1473" ca="1" si="45">IF(H1410&lt;15000,1,IF(H1410&lt;30000,2,IF(H1410&lt;50000,3,IF(H1410&lt;75000,4,IF(H1410&lt;100000,5,IF(H1410&lt;150000,6,IF(H1410&lt;250000,7,8)))))))</f>
        <v>6</v>
      </c>
    </row>
    <row r="1411" spans="1:22">
      <c r="A1411" t="s">
        <v>3109</v>
      </c>
      <c r="B1411" s="1">
        <v>41055.326967592591</v>
      </c>
      <c r="C1411" s="2">
        <v>115000</v>
      </c>
      <c r="D1411">
        <v>115000</v>
      </c>
      <c r="E1411" t="s">
        <v>1856</v>
      </c>
      <c r="F1411" s="5">
        <v>115000</v>
      </c>
      <c r="G1411" s="5">
        <v>115000</v>
      </c>
      <c r="H1411" s="5">
        <f ca="1">OFFSET(F1411,0,Brains!$D$1,1,1)</f>
        <v>115000</v>
      </c>
      <c r="I1411" t="s">
        <v>3110</v>
      </c>
      <c r="J1411" t="s">
        <v>1882</v>
      </c>
      <c r="K1411" t="s">
        <v>1869</v>
      </c>
      <c r="L1411" t="s">
        <v>1869</v>
      </c>
      <c r="M1411" s="11" t="s">
        <v>3918</v>
      </c>
      <c r="N1411" t="s">
        <v>1860</v>
      </c>
      <c r="O1411" s="7" t="s">
        <v>3922</v>
      </c>
      <c r="P1411" s="17" t="str">
        <f t="shared" ca="1" si="44"/>
        <v>100-149.9K</v>
      </c>
      <c r="Q1411" s="17">
        <v>5</v>
      </c>
      <c r="R1411">
        <v>15</v>
      </c>
      <c r="S1411">
        <v>4</v>
      </c>
      <c r="T1411">
        <v>3</v>
      </c>
      <c r="U1411">
        <v>7</v>
      </c>
      <c r="V1411" s="15">
        <f t="shared" ca="1" si="45"/>
        <v>6</v>
      </c>
    </row>
    <row r="1412" spans="1:22">
      <c r="A1412" t="s">
        <v>1039</v>
      </c>
      <c r="B1412" s="1">
        <v>41059.794953703706</v>
      </c>
      <c r="C1412" s="2">
        <v>109000</v>
      </c>
      <c r="D1412">
        <v>109000</v>
      </c>
      <c r="E1412" t="s">
        <v>1856</v>
      </c>
      <c r="F1412" s="5">
        <v>109000</v>
      </c>
      <c r="G1412" s="5">
        <v>109000</v>
      </c>
      <c r="H1412" s="5">
        <f ca="1">OFFSET(F1412,0,Brains!$D$1,1,1)</f>
        <v>109000</v>
      </c>
      <c r="I1412" t="s">
        <v>1040</v>
      </c>
      <c r="J1412" t="s">
        <v>1882</v>
      </c>
      <c r="K1412" t="s">
        <v>1869</v>
      </c>
      <c r="L1412" t="s">
        <v>1869</v>
      </c>
      <c r="M1412" s="11" t="s">
        <v>3918</v>
      </c>
      <c r="N1412" t="s">
        <v>1860</v>
      </c>
      <c r="O1412" s="7" t="s">
        <v>3922</v>
      </c>
      <c r="P1412" s="17" t="str">
        <f t="shared" ca="1" si="44"/>
        <v>100-149.9K</v>
      </c>
      <c r="Q1412" s="17">
        <v>5</v>
      </c>
      <c r="R1412">
        <v>15</v>
      </c>
      <c r="S1412">
        <v>4</v>
      </c>
      <c r="T1412">
        <v>3</v>
      </c>
      <c r="U1412">
        <v>7</v>
      </c>
      <c r="V1412" s="15">
        <f t="shared" ca="1" si="45"/>
        <v>6</v>
      </c>
    </row>
    <row r="1413" spans="1:22">
      <c r="A1413" t="s">
        <v>3442</v>
      </c>
      <c r="B1413" s="1">
        <v>41055.678229166668</v>
      </c>
      <c r="C1413" s="2">
        <v>65000</v>
      </c>
      <c r="D1413">
        <v>65000</v>
      </c>
      <c r="E1413" t="s">
        <v>1954</v>
      </c>
      <c r="F1413" s="5">
        <v>102451.58768437347</v>
      </c>
      <c r="G1413" s="5">
        <v>96439.16913946587</v>
      </c>
      <c r="H1413" s="5">
        <f ca="1">OFFSET(F1413,0,Brains!$D$1,1,1)</f>
        <v>96439.16913946587</v>
      </c>
      <c r="I1413" t="s">
        <v>3443</v>
      </c>
      <c r="J1413" t="s">
        <v>1882</v>
      </c>
      <c r="K1413" t="s">
        <v>1956</v>
      </c>
      <c r="L1413" t="s">
        <v>1956</v>
      </c>
      <c r="M1413" s="11" t="s">
        <v>3918</v>
      </c>
      <c r="N1413" t="s">
        <v>1860</v>
      </c>
      <c r="O1413" s="7" t="s">
        <v>3922</v>
      </c>
      <c r="P1413" s="17" t="str">
        <f t="shared" ca="1" si="44"/>
        <v>75-99.9K</v>
      </c>
      <c r="Q1413" s="17">
        <v>5</v>
      </c>
      <c r="R1413">
        <v>15</v>
      </c>
      <c r="S1413">
        <v>4</v>
      </c>
      <c r="T1413">
        <v>3</v>
      </c>
      <c r="U1413">
        <v>7</v>
      </c>
      <c r="V1413" s="15">
        <f t="shared" ca="1" si="45"/>
        <v>5</v>
      </c>
    </row>
    <row r="1414" spans="1:22">
      <c r="A1414" t="s">
        <v>3383</v>
      </c>
      <c r="B1414" s="1">
        <v>41055.618773148148</v>
      </c>
      <c r="C1414" s="2">
        <v>85000</v>
      </c>
      <c r="D1414">
        <v>85000</v>
      </c>
      <c r="E1414" t="s">
        <v>3081</v>
      </c>
      <c r="F1414" s="5">
        <v>67794.987956419791</v>
      </c>
      <c r="G1414" s="5">
        <v>49275.362318840584</v>
      </c>
      <c r="H1414" s="5">
        <f ca="1">OFFSET(F1414,0,Brains!$D$1,1,1)</f>
        <v>49275.362318840584</v>
      </c>
      <c r="I1414" t="s">
        <v>3384</v>
      </c>
      <c r="J1414" t="s">
        <v>1882</v>
      </c>
      <c r="K1414" t="s">
        <v>3083</v>
      </c>
      <c r="L1414" t="s">
        <v>3083</v>
      </c>
      <c r="M1414" s="11" t="s">
        <v>3918</v>
      </c>
      <c r="N1414" t="s">
        <v>1860</v>
      </c>
      <c r="O1414" s="7" t="s">
        <v>3922</v>
      </c>
      <c r="P1414" s="17" t="str">
        <f t="shared" ca="1" si="44"/>
        <v>30-49.9K</v>
      </c>
      <c r="Q1414" s="17">
        <v>5</v>
      </c>
      <c r="R1414">
        <v>15</v>
      </c>
      <c r="S1414">
        <v>4</v>
      </c>
      <c r="T1414">
        <v>3</v>
      </c>
      <c r="U1414">
        <v>7</v>
      </c>
      <c r="V1414" s="15">
        <f t="shared" ca="1" si="45"/>
        <v>3</v>
      </c>
    </row>
    <row r="1415" spans="1:22">
      <c r="A1415" t="s">
        <v>1483</v>
      </c>
      <c r="B1415" s="1">
        <v>41066.889328703706</v>
      </c>
      <c r="C1415" s="2">
        <v>40000</v>
      </c>
      <c r="D1415">
        <v>40000</v>
      </c>
      <c r="E1415" t="s">
        <v>1954</v>
      </c>
      <c r="F1415" s="5">
        <v>63047.130882691366</v>
      </c>
      <c r="G1415" s="5">
        <v>59347.181008902073</v>
      </c>
      <c r="H1415" s="5">
        <f ca="1">OFFSET(F1415,0,Brains!$D$1,1,1)</f>
        <v>59347.181008902073</v>
      </c>
      <c r="I1415" t="s">
        <v>2190</v>
      </c>
      <c r="J1415" t="s">
        <v>1882</v>
      </c>
      <c r="K1415" t="s">
        <v>1956</v>
      </c>
      <c r="L1415" t="s">
        <v>1956</v>
      </c>
      <c r="M1415" s="11" t="s">
        <v>3918</v>
      </c>
      <c r="N1415" t="s">
        <v>1860</v>
      </c>
      <c r="O1415" s="7" t="s">
        <v>3922</v>
      </c>
      <c r="P1415" s="17" t="str">
        <f t="shared" ca="1" si="44"/>
        <v>50-74.9K</v>
      </c>
      <c r="Q1415" s="17">
        <v>5</v>
      </c>
      <c r="R1415">
        <v>15</v>
      </c>
      <c r="S1415">
        <v>4</v>
      </c>
      <c r="T1415">
        <v>3</v>
      </c>
      <c r="U1415">
        <v>7</v>
      </c>
      <c r="V1415" s="15">
        <f t="shared" ca="1" si="45"/>
        <v>4</v>
      </c>
    </row>
    <row r="1416" spans="1:22">
      <c r="A1416" t="s">
        <v>1180</v>
      </c>
      <c r="B1416" s="1">
        <v>41060.95579861111</v>
      </c>
      <c r="C1416" s="2" t="s">
        <v>1181</v>
      </c>
      <c r="D1416">
        <v>59000</v>
      </c>
      <c r="E1416" t="s">
        <v>1856</v>
      </c>
      <c r="F1416" s="5">
        <v>59000</v>
      </c>
      <c r="G1416" s="5">
        <v>59000</v>
      </c>
      <c r="H1416" s="5">
        <f ca="1">OFFSET(F1416,0,Brains!$D$1,1,1)</f>
        <v>59000</v>
      </c>
      <c r="I1416" t="s">
        <v>1182</v>
      </c>
      <c r="J1416" t="s">
        <v>1882</v>
      </c>
      <c r="K1416" t="s">
        <v>1869</v>
      </c>
      <c r="L1416" t="s">
        <v>1869</v>
      </c>
      <c r="M1416" s="11" t="s">
        <v>3918</v>
      </c>
      <c r="N1416" t="s">
        <v>1860</v>
      </c>
      <c r="O1416" s="7" t="s">
        <v>3922</v>
      </c>
      <c r="P1416" s="17" t="str">
        <f t="shared" ca="1" si="44"/>
        <v>50-74.9K</v>
      </c>
      <c r="Q1416" s="17">
        <v>5</v>
      </c>
      <c r="R1416">
        <v>15</v>
      </c>
      <c r="S1416">
        <v>4</v>
      </c>
      <c r="T1416">
        <v>3</v>
      </c>
      <c r="U1416">
        <v>7</v>
      </c>
      <c r="V1416" s="15">
        <f t="shared" ca="1" si="45"/>
        <v>4</v>
      </c>
    </row>
    <row r="1417" spans="1:22">
      <c r="A1417" t="s">
        <v>528</v>
      </c>
      <c r="B1417" s="1">
        <v>41058.085173611114</v>
      </c>
      <c r="C1417" s="2" t="s">
        <v>529</v>
      </c>
      <c r="D1417">
        <v>40000</v>
      </c>
      <c r="E1417" t="s">
        <v>1856</v>
      </c>
      <c r="F1417" s="5">
        <v>40000</v>
      </c>
      <c r="G1417" s="5">
        <v>40000</v>
      </c>
      <c r="H1417" s="5">
        <f ca="1">OFFSET(F1417,0,Brains!$D$1,1,1)</f>
        <v>40000</v>
      </c>
      <c r="I1417" t="s">
        <v>530</v>
      </c>
      <c r="J1417" t="s">
        <v>1882</v>
      </c>
      <c r="K1417" t="s">
        <v>531</v>
      </c>
      <c r="L1417" t="s">
        <v>1872</v>
      </c>
      <c r="M1417" s="11" t="s">
        <v>3918</v>
      </c>
      <c r="N1417" t="s">
        <v>1860</v>
      </c>
      <c r="O1417" s="7" t="s">
        <v>3922</v>
      </c>
      <c r="P1417" s="17" t="str">
        <f t="shared" ca="1" si="44"/>
        <v>30-49.9K</v>
      </c>
      <c r="Q1417" s="17">
        <v>5</v>
      </c>
      <c r="R1417">
        <v>15</v>
      </c>
      <c r="S1417">
        <v>4</v>
      </c>
      <c r="T1417">
        <v>3</v>
      </c>
      <c r="U1417">
        <v>7</v>
      </c>
      <c r="V1417" s="15">
        <f t="shared" ca="1" si="45"/>
        <v>3</v>
      </c>
    </row>
    <row r="1418" spans="1:22">
      <c r="A1418" t="s">
        <v>1216</v>
      </c>
      <c r="B1418" s="1">
        <v>41061.234398148146</v>
      </c>
      <c r="C1418" s="2">
        <v>240000</v>
      </c>
      <c r="D1418">
        <v>240000</v>
      </c>
      <c r="E1418" t="s">
        <v>2467</v>
      </c>
      <c r="F1418" s="5">
        <v>5689.2125418690484</v>
      </c>
      <c r="G1418" s="5">
        <v>9415.0876780040016</v>
      </c>
      <c r="H1418" s="5">
        <f ca="1">OFFSET(F1418,0,Brains!$D$1,1,1)</f>
        <v>9415.0876780040016</v>
      </c>
      <c r="I1418" t="s">
        <v>1217</v>
      </c>
      <c r="J1418" t="s">
        <v>1882</v>
      </c>
      <c r="K1418" t="s">
        <v>2469</v>
      </c>
      <c r="L1418" t="s">
        <v>2469</v>
      </c>
      <c r="M1418" s="11" t="s">
        <v>3918</v>
      </c>
      <c r="N1418" t="s">
        <v>1860</v>
      </c>
      <c r="O1418" s="7" t="s">
        <v>3922</v>
      </c>
      <c r="P1418" s="17" t="str">
        <f t="shared" ca="1" si="44"/>
        <v>0-14.9K</v>
      </c>
      <c r="Q1418" s="17">
        <v>5</v>
      </c>
      <c r="R1418">
        <v>15</v>
      </c>
      <c r="S1418">
        <v>4</v>
      </c>
      <c r="T1418">
        <v>3</v>
      </c>
      <c r="U1418">
        <v>7</v>
      </c>
      <c r="V1418" s="15">
        <f t="shared" ca="1" si="45"/>
        <v>1</v>
      </c>
    </row>
    <row r="1419" spans="1:22">
      <c r="A1419" t="s">
        <v>1548</v>
      </c>
      <c r="B1419" s="1">
        <v>41068.875289351854</v>
      </c>
      <c r="C1419" s="2">
        <v>67000</v>
      </c>
      <c r="D1419">
        <v>67000</v>
      </c>
      <c r="E1419" t="s">
        <v>1856</v>
      </c>
      <c r="F1419" s="5">
        <v>67000</v>
      </c>
      <c r="G1419" s="5">
        <v>67000</v>
      </c>
      <c r="H1419" s="5">
        <f ca="1">OFFSET(F1419,0,Brains!$D$1,1,1)</f>
        <v>67000</v>
      </c>
      <c r="I1419" t="s">
        <v>1882</v>
      </c>
      <c r="J1419" t="s">
        <v>1882</v>
      </c>
      <c r="K1419" t="s">
        <v>1869</v>
      </c>
      <c r="L1419" t="s">
        <v>1869</v>
      </c>
      <c r="M1419" s="11" t="s">
        <v>3918</v>
      </c>
      <c r="N1419" t="s">
        <v>1860</v>
      </c>
      <c r="O1419" s="7" t="s">
        <v>3922</v>
      </c>
      <c r="P1419" s="17" t="str">
        <f t="shared" ca="1" si="44"/>
        <v>50-74.9K</v>
      </c>
      <c r="Q1419" s="17">
        <v>5</v>
      </c>
      <c r="R1419">
        <v>16</v>
      </c>
      <c r="S1419">
        <v>4</v>
      </c>
      <c r="T1419">
        <v>3</v>
      </c>
      <c r="U1419">
        <v>7</v>
      </c>
      <c r="V1419" s="15">
        <f t="shared" ca="1" si="45"/>
        <v>4</v>
      </c>
    </row>
    <row r="1420" spans="1:22">
      <c r="A1420" t="s">
        <v>1598</v>
      </c>
      <c r="B1420" s="1">
        <v>41071.705324074072</v>
      </c>
      <c r="C1420" s="2" t="s">
        <v>1599</v>
      </c>
      <c r="D1420">
        <v>26500</v>
      </c>
      <c r="E1420" t="s">
        <v>1954</v>
      </c>
      <c r="F1420" s="5">
        <v>41768.724209783031</v>
      </c>
      <c r="G1420" s="5">
        <v>39317.507418397625</v>
      </c>
      <c r="H1420" s="5">
        <f ca="1">OFFSET(F1420,0,Brains!$D$1,1,1)</f>
        <v>39317.507418397625</v>
      </c>
      <c r="I1420" t="s">
        <v>1600</v>
      </c>
      <c r="J1420" t="s">
        <v>1882</v>
      </c>
      <c r="K1420" t="s">
        <v>1956</v>
      </c>
      <c r="L1420" t="s">
        <v>1956</v>
      </c>
      <c r="M1420" s="11" t="s">
        <v>3918</v>
      </c>
      <c r="N1420" t="s">
        <v>1860</v>
      </c>
      <c r="O1420" s="7" t="s">
        <v>3922</v>
      </c>
      <c r="P1420" s="17" t="str">
        <f t="shared" ca="1" si="44"/>
        <v>30-49.9K</v>
      </c>
      <c r="Q1420" s="17">
        <v>5</v>
      </c>
      <c r="R1420">
        <v>16</v>
      </c>
      <c r="S1420">
        <v>4</v>
      </c>
      <c r="T1420">
        <v>3</v>
      </c>
      <c r="U1420">
        <v>7</v>
      </c>
      <c r="V1420" s="15">
        <f t="shared" ca="1" si="45"/>
        <v>3</v>
      </c>
    </row>
    <row r="1421" spans="1:22">
      <c r="A1421" t="s">
        <v>1373</v>
      </c>
      <c r="B1421" s="1">
        <v>41064.799513888887</v>
      </c>
      <c r="C1421" s="2" t="s">
        <v>1374</v>
      </c>
      <c r="D1421">
        <v>22000</v>
      </c>
      <c r="E1421" t="s">
        <v>1954</v>
      </c>
      <c r="F1421" s="5">
        <v>34675.92198548025</v>
      </c>
      <c r="G1421" s="5">
        <v>32640.949554896142</v>
      </c>
      <c r="H1421" s="5">
        <f ca="1">OFFSET(F1421,0,Brains!$D$1,1,1)</f>
        <v>32640.949554896142</v>
      </c>
      <c r="I1421" t="s">
        <v>1375</v>
      </c>
      <c r="J1421" t="s">
        <v>1882</v>
      </c>
      <c r="K1421" t="s">
        <v>1956</v>
      </c>
      <c r="L1421" t="s">
        <v>1956</v>
      </c>
      <c r="M1421" s="11" t="s">
        <v>3918</v>
      </c>
      <c r="N1421" t="s">
        <v>1860</v>
      </c>
      <c r="O1421" s="7" t="s">
        <v>3922</v>
      </c>
      <c r="P1421" s="17" t="str">
        <f t="shared" ca="1" si="44"/>
        <v>30-49.9K</v>
      </c>
      <c r="Q1421" s="17">
        <v>5</v>
      </c>
      <c r="R1421">
        <v>17</v>
      </c>
      <c r="S1421">
        <v>4</v>
      </c>
      <c r="T1421">
        <v>3</v>
      </c>
      <c r="U1421">
        <v>7</v>
      </c>
      <c r="V1421" s="15">
        <f t="shared" ca="1" si="45"/>
        <v>3</v>
      </c>
    </row>
    <row r="1422" spans="1:22">
      <c r="A1422" t="s">
        <v>954</v>
      </c>
      <c r="B1422" s="1">
        <v>41059.424525462964</v>
      </c>
      <c r="C1422" s="2">
        <v>96230</v>
      </c>
      <c r="D1422">
        <v>96230</v>
      </c>
      <c r="E1422" t="s">
        <v>1856</v>
      </c>
      <c r="F1422" s="5">
        <v>96230</v>
      </c>
      <c r="G1422" s="5">
        <v>96230</v>
      </c>
      <c r="H1422" s="5">
        <f ca="1">OFFSET(F1422,0,Brains!$D$1,1,1)</f>
        <v>96230</v>
      </c>
      <c r="I1422" t="s">
        <v>955</v>
      </c>
      <c r="J1422" t="s">
        <v>1882</v>
      </c>
      <c r="K1422" t="s">
        <v>1869</v>
      </c>
      <c r="L1422" t="s">
        <v>1869</v>
      </c>
      <c r="M1422" s="11" t="s">
        <v>3918</v>
      </c>
      <c r="N1422" t="s">
        <v>1860</v>
      </c>
      <c r="O1422" s="7" t="s">
        <v>3922</v>
      </c>
      <c r="P1422" s="17" t="str">
        <f t="shared" ca="1" si="44"/>
        <v>75-99.9K</v>
      </c>
      <c r="Q1422" s="17">
        <v>5</v>
      </c>
      <c r="R1422">
        <v>18</v>
      </c>
      <c r="S1422">
        <v>4</v>
      </c>
      <c r="T1422">
        <v>3</v>
      </c>
      <c r="U1422">
        <v>7</v>
      </c>
      <c r="V1422" s="15">
        <f t="shared" ca="1" si="45"/>
        <v>5</v>
      </c>
    </row>
    <row r="1423" spans="1:22">
      <c r="A1423" t="s">
        <v>3076</v>
      </c>
      <c r="B1423" s="1">
        <v>41055.282638888886</v>
      </c>
      <c r="C1423" s="2" t="s">
        <v>3077</v>
      </c>
      <c r="D1423">
        <v>155000</v>
      </c>
      <c r="E1423" t="s">
        <v>1973</v>
      </c>
      <c r="F1423" s="5">
        <v>158085.99674240855</v>
      </c>
      <c r="G1423" s="5">
        <v>98600.508905852417</v>
      </c>
      <c r="H1423" s="5">
        <f ca="1">OFFSET(F1423,0,Brains!$D$1,1,1)</f>
        <v>98600.508905852417</v>
      </c>
      <c r="I1423" t="s">
        <v>3078</v>
      </c>
      <c r="J1423" t="s">
        <v>1882</v>
      </c>
      <c r="K1423" t="s">
        <v>1975</v>
      </c>
      <c r="L1423" t="s">
        <v>1975</v>
      </c>
      <c r="M1423" s="11" t="s">
        <v>3918</v>
      </c>
      <c r="N1423" t="s">
        <v>1860</v>
      </c>
      <c r="O1423" s="7" t="s">
        <v>3922</v>
      </c>
      <c r="P1423" s="17" t="str">
        <f t="shared" ca="1" si="44"/>
        <v>75-99.9K</v>
      </c>
      <c r="Q1423" s="17">
        <v>5</v>
      </c>
      <c r="R1423">
        <v>20</v>
      </c>
      <c r="S1423">
        <v>4</v>
      </c>
      <c r="T1423">
        <v>3</v>
      </c>
      <c r="U1423">
        <v>7</v>
      </c>
      <c r="V1423" s="15">
        <f t="shared" ca="1" si="45"/>
        <v>5</v>
      </c>
    </row>
    <row r="1424" spans="1:22">
      <c r="A1424" t="s">
        <v>548</v>
      </c>
      <c r="B1424" s="1">
        <v>41058.160740740743</v>
      </c>
      <c r="C1424" s="2">
        <v>75000</v>
      </c>
      <c r="D1424">
        <v>75000</v>
      </c>
      <c r="E1424" t="s">
        <v>1954</v>
      </c>
      <c r="F1424" s="5">
        <v>118213.37040504631</v>
      </c>
      <c r="G1424" s="5">
        <v>111275.96439169139</v>
      </c>
      <c r="H1424" s="5">
        <f ca="1">OFFSET(F1424,0,Brains!$D$1,1,1)</f>
        <v>111275.96439169139</v>
      </c>
      <c r="I1424" t="s">
        <v>3022</v>
      </c>
      <c r="J1424" t="s">
        <v>1882</v>
      </c>
      <c r="K1424" t="s">
        <v>1956</v>
      </c>
      <c r="L1424" t="s">
        <v>1956</v>
      </c>
      <c r="M1424" s="11" t="s">
        <v>3918</v>
      </c>
      <c r="N1424" t="s">
        <v>1860</v>
      </c>
      <c r="O1424" s="7" t="s">
        <v>3922</v>
      </c>
      <c r="P1424" s="17" t="str">
        <f t="shared" ca="1" si="44"/>
        <v>100-149.9K</v>
      </c>
      <c r="Q1424" s="17">
        <v>5</v>
      </c>
      <c r="R1424">
        <v>20</v>
      </c>
      <c r="S1424">
        <v>4</v>
      </c>
      <c r="T1424">
        <v>3</v>
      </c>
      <c r="U1424">
        <v>7</v>
      </c>
      <c r="V1424" s="15">
        <f t="shared" ca="1" si="45"/>
        <v>6</v>
      </c>
    </row>
    <row r="1425" spans="1:22">
      <c r="A1425" t="s">
        <v>1229</v>
      </c>
      <c r="B1425" s="1">
        <v>41061.30736111111</v>
      </c>
      <c r="C1425" s="2">
        <v>100000</v>
      </c>
      <c r="D1425">
        <v>100000</v>
      </c>
      <c r="E1425" t="s">
        <v>1973</v>
      </c>
      <c r="F1425" s="5">
        <v>101990.96564026357</v>
      </c>
      <c r="G1425" s="5">
        <v>63613.231552162855</v>
      </c>
      <c r="H1425" s="5">
        <f ca="1">OFFSET(F1425,0,Brains!$D$1,1,1)</f>
        <v>63613.231552162855</v>
      </c>
      <c r="I1425" t="s">
        <v>3279</v>
      </c>
      <c r="J1425" t="s">
        <v>1882</v>
      </c>
      <c r="K1425" t="s">
        <v>1975</v>
      </c>
      <c r="L1425" t="s">
        <v>1975</v>
      </c>
      <c r="M1425" s="11" t="s">
        <v>3918</v>
      </c>
      <c r="N1425" t="s">
        <v>1860</v>
      </c>
      <c r="O1425" s="7" t="s">
        <v>3922</v>
      </c>
      <c r="P1425" s="17" t="str">
        <f t="shared" ca="1" si="44"/>
        <v>50-74.9K</v>
      </c>
      <c r="Q1425" s="17">
        <v>5</v>
      </c>
      <c r="R1425">
        <v>20</v>
      </c>
      <c r="S1425">
        <v>4</v>
      </c>
      <c r="T1425">
        <v>3</v>
      </c>
      <c r="U1425">
        <v>7</v>
      </c>
      <c r="V1425" s="15">
        <f t="shared" ca="1" si="45"/>
        <v>4</v>
      </c>
    </row>
    <row r="1426" spans="1:22">
      <c r="A1426" t="s">
        <v>791</v>
      </c>
      <c r="B1426" s="1">
        <v>41058.79241898148</v>
      </c>
      <c r="C1426" s="2">
        <v>40000</v>
      </c>
      <c r="D1426">
        <v>40000</v>
      </c>
      <c r="E1426" t="s">
        <v>1880</v>
      </c>
      <c r="F1426" s="5">
        <v>50815.977559664309</v>
      </c>
      <c r="G1426" s="5">
        <v>50247.973750458514</v>
      </c>
      <c r="H1426" s="5">
        <f ca="1">OFFSET(F1426,0,Brains!$D$1,1,1)</f>
        <v>50247.973750458514</v>
      </c>
      <c r="I1426" t="s">
        <v>313</v>
      </c>
      <c r="J1426" t="s">
        <v>1882</v>
      </c>
      <c r="K1426" t="s">
        <v>792</v>
      </c>
      <c r="L1426" t="s">
        <v>792</v>
      </c>
      <c r="M1426" s="11" t="s">
        <v>3918</v>
      </c>
      <c r="N1426" t="s">
        <v>1860</v>
      </c>
      <c r="O1426" s="7" t="s">
        <v>3922</v>
      </c>
      <c r="P1426" s="17" t="str">
        <f t="shared" ca="1" si="44"/>
        <v>50-74.9K</v>
      </c>
      <c r="Q1426" s="17">
        <v>5</v>
      </c>
      <c r="R1426">
        <v>20</v>
      </c>
      <c r="S1426">
        <v>4</v>
      </c>
      <c r="T1426">
        <v>3</v>
      </c>
      <c r="U1426">
        <v>7</v>
      </c>
      <c r="V1426" s="15">
        <f t="shared" ca="1" si="45"/>
        <v>4</v>
      </c>
    </row>
    <row r="1427" spans="1:22">
      <c r="A1427" t="s">
        <v>3185</v>
      </c>
      <c r="B1427" s="1">
        <v>41055.460486111115</v>
      </c>
      <c r="C1427" s="2">
        <v>50000</v>
      </c>
      <c r="D1427">
        <v>50000</v>
      </c>
      <c r="E1427" t="s">
        <v>1856</v>
      </c>
      <c r="F1427" s="5">
        <v>50000</v>
      </c>
      <c r="G1427" s="5">
        <v>50000</v>
      </c>
      <c r="H1427" s="5">
        <f ca="1">OFFSET(F1427,0,Brains!$D$1,1,1)</f>
        <v>50000</v>
      </c>
      <c r="I1427" t="s">
        <v>3186</v>
      </c>
      <c r="J1427" t="s">
        <v>1882</v>
      </c>
      <c r="K1427" t="s">
        <v>1869</v>
      </c>
      <c r="L1427" t="s">
        <v>1869</v>
      </c>
      <c r="M1427" s="11" t="s">
        <v>3918</v>
      </c>
      <c r="N1427" t="s">
        <v>1860</v>
      </c>
      <c r="O1427" s="7" t="s">
        <v>3922</v>
      </c>
      <c r="P1427" s="17" t="str">
        <f t="shared" ca="1" si="44"/>
        <v>50-74.9K</v>
      </c>
      <c r="Q1427" s="17">
        <v>5</v>
      </c>
      <c r="R1427">
        <v>20</v>
      </c>
      <c r="S1427">
        <v>4</v>
      </c>
      <c r="T1427">
        <v>3</v>
      </c>
      <c r="U1427">
        <v>7</v>
      </c>
      <c r="V1427" s="15">
        <f t="shared" ca="1" si="45"/>
        <v>4</v>
      </c>
    </row>
    <row r="1428" spans="1:22">
      <c r="A1428" t="s">
        <v>1555</v>
      </c>
      <c r="B1428" s="1">
        <v>41068.972638888888</v>
      </c>
      <c r="C1428" s="2">
        <v>71500</v>
      </c>
      <c r="D1428">
        <v>71500</v>
      </c>
      <c r="E1428" t="s">
        <v>1856</v>
      </c>
      <c r="F1428" s="5">
        <v>71500</v>
      </c>
      <c r="G1428" s="5">
        <v>71500</v>
      </c>
      <c r="H1428" s="5">
        <f ca="1">OFFSET(F1428,0,Brains!$D$1,1,1)</f>
        <v>71500</v>
      </c>
      <c r="I1428" t="s">
        <v>1556</v>
      </c>
      <c r="J1428" t="s">
        <v>1882</v>
      </c>
      <c r="K1428" t="s">
        <v>1869</v>
      </c>
      <c r="L1428" t="s">
        <v>1869</v>
      </c>
      <c r="M1428" t="s">
        <v>3941</v>
      </c>
      <c r="N1428" t="s">
        <v>1866</v>
      </c>
      <c r="O1428" s="7" t="s">
        <v>3922</v>
      </c>
      <c r="P1428" s="17" t="str">
        <f t="shared" ca="1" si="44"/>
        <v>50-74.9K</v>
      </c>
      <c r="Q1428" s="17">
        <v>8</v>
      </c>
      <c r="R1428">
        <v>11</v>
      </c>
      <c r="S1428">
        <v>5</v>
      </c>
      <c r="T1428">
        <v>3</v>
      </c>
      <c r="U1428">
        <v>7</v>
      </c>
      <c r="V1428" s="15">
        <f t="shared" ca="1" si="45"/>
        <v>4</v>
      </c>
    </row>
    <row r="1429" spans="1:22">
      <c r="A1429" t="s">
        <v>3872</v>
      </c>
      <c r="B1429" s="1">
        <v>41057.074641203704</v>
      </c>
      <c r="C1429" s="2">
        <v>135000</v>
      </c>
      <c r="D1429">
        <v>135000</v>
      </c>
      <c r="E1429" t="s">
        <v>1856</v>
      </c>
      <c r="F1429" s="5">
        <v>135000</v>
      </c>
      <c r="G1429" s="5">
        <v>135000</v>
      </c>
      <c r="H1429" s="5">
        <f ca="1">OFFSET(F1429,0,Brains!$D$1,1,1)</f>
        <v>135000</v>
      </c>
      <c r="I1429" t="s">
        <v>3873</v>
      </c>
      <c r="J1429" t="s">
        <v>1882</v>
      </c>
      <c r="K1429" t="s">
        <v>1869</v>
      </c>
      <c r="L1429" t="s">
        <v>1869</v>
      </c>
      <c r="M1429" t="s">
        <v>3941</v>
      </c>
      <c r="N1429" t="s">
        <v>1866</v>
      </c>
      <c r="O1429" s="7" t="s">
        <v>3922</v>
      </c>
      <c r="P1429" s="17" t="str">
        <f t="shared" ca="1" si="44"/>
        <v>100-149.9K</v>
      </c>
      <c r="Q1429" s="17">
        <v>8</v>
      </c>
      <c r="R1429">
        <v>15</v>
      </c>
      <c r="S1429">
        <v>5</v>
      </c>
      <c r="T1429">
        <v>3</v>
      </c>
      <c r="U1429">
        <v>7</v>
      </c>
      <c r="V1429" s="15">
        <f t="shared" ca="1" si="45"/>
        <v>6</v>
      </c>
    </row>
    <row r="1430" spans="1:22">
      <c r="A1430" t="s">
        <v>1662</v>
      </c>
      <c r="B1430" s="1">
        <v>41073.194479166668</v>
      </c>
      <c r="C1430" s="2">
        <v>33250</v>
      </c>
      <c r="D1430">
        <v>33250</v>
      </c>
      <c r="E1430" t="s">
        <v>1856</v>
      </c>
      <c r="F1430" s="5">
        <v>33250</v>
      </c>
      <c r="G1430" s="5">
        <v>33250</v>
      </c>
      <c r="H1430" s="5">
        <f ca="1">OFFSET(F1430,0,Brains!$D$1,1,1)</f>
        <v>33250</v>
      </c>
      <c r="I1430" t="s">
        <v>1663</v>
      </c>
      <c r="J1430" t="s">
        <v>1882</v>
      </c>
      <c r="K1430" t="s">
        <v>1869</v>
      </c>
      <c r="L1430" t="s">
        <v>1869</v>
      </c>
      <c r="M1430" t="s">
        <v>3941</v>
      </c>
      <c r="N1430" t="s">
        <v>1866</v>
      </c>
      <c r="O1430" s="7" t="s">
        <v>3922</v>
      </c>
      <c r="P1430" s="17" t="str">
        <f t="shared" ca="1" si="44"/>
        <v>30-49.9K</v>
      </c>
      <c r="Q1430" s="17">
        <v>8</v>
      </c>
      <c r="R1430">
        <v>20</v>
      </c>
      <c r="S1430">
        <v>5</v>
      </c>
      <c r="T1430">
        <v>3</v>
      </c>
      <c r="U1430">
        <v>7</v>
      </c>
      <c r="V1430" s="15">
        <f t="shared" ca="1" si="45"/>
        <v>3</v>
      </c>
    </row>
    <row r="1431" spans="1:22">
      <c r="A1431" t="s">
        <v>3176</v>
      </c>
      <c r="B1431" s="1">
        <v>41055.454421296294</v>
      </c>
      <c r="C1431" s="2">
        <v>21000</v>
      </c>
      <c r="D1431">
        <v>21000</v>
      </c>
      <c r="E1431" t="s">
        <v>1856</v>
      </c>
      <c r="F1431" s="5">
        <v>21000</v>
      </c>
      <c r="G1431" s="5">
        <v>21000</v>
      </c>
      <c r="H1431" s="5">
        <f ca="1">OFFSET(F1431,0,Brains!$D$1,1,1)</f>
        <v>21000</v>
      </c>
      <c r="I1431" t="s">
        <v>1882</v>
      </c>
      <c r="J1431" t="s">
        <v>1882</v>
      </c>
      <c r="K1431" t="s">
        <v>1859</v>
      </c>
      <c r="L1431" t="s">
        <v>1859</v>
      </c>
      <c r="M1431" s="7" t="s">
        <v>3941</v>
      </c>
      <c r="N1431" t="s">
        <v>1866</v>
      </c>
      <c r="O1431" s="7" t="s">
        <v>3923</v>
      </c>
      <c r="P1431" s="17" t="str">
        <f t="shared" ca="1" si="44"/>
        <v>15-29.9K</v>
      </c>
      <c r="Q1431" s="17">
        <v>8</v>
      </c>
      <c r="R1431">
        <v>23</v>
      </c>
      <c r="S1431">
        <v>5</v>
      </c>
      <c r="T1431">
        <v>4</v>
      </c>
      <c r="U1431">
        <v>7</v>
      </c>
      <c r="V1431" s="15">
        <f t="shared" ca="1" si="45"/>
        <v>2</v>
      </c>
    </row>
    <row r="1432" spans="1:22">
      <c r="A1432" t="s">
        <v>460</v>
      </c>
      <c r="B1432" s="1">
        <v>41057.976064814815</v>
      </c>
      <c r="C1432" s="2" t="s">
        <v>461</v>
      </c>
      <c r="D1432">
        <v>82000</v>
      </c>
      <c r="E1432" t="s">
        <v>1880</v>
      </c>
      <c r="F1432" s="5">
        <v>104172.75399731184</v>
      </c>
      <c r="G1432" s="5">
        <v>103008.34618843996</v>
      </c>
      <c r="H1432" s="5">
        <f ca="1">OFFSET(F1432,0,Brains!$D$1,1,1)</f>
        <v>103008.34618843996</v>
      </c>
      <c r="I1432" t="s">
        <v>462</v>
      </c>
      <c r="J1432" t="s">
        <v>1882</v>
      </c>
      <c r="K1432" t="s">
        <v>2998</v>
      </c>
      <c r="L1432" t="s">
        <v>2998</v>
      </c>
      <c r="M1432" s="7" t="s">
        <v>3941</v>
      </c>
      <c r="N1432" t="s">
        <v>1866</v>
      </c>
      <c r="O1432" s="7" t="s">
        <v>3923</v>
      </c>
      <c r="P1432" s="17" t="str">
        <f t="shared" ca="1" si="44"/>
        <v>100-149.9K</v>
      </c>
      <c r="Q1432" s="17">
        <v>8</v>
      </c>
      <c r="R1432">
        <v>25</v>
      </c>
      <c r="S1432">
        <v>5</v>
      </c>
      <c r="T1432">
        <v>4</v>
      </c>
      <c r="U1432">
        <v>7</v>
      </c>
      <c r="V1432" s="15">
        <f t="shared" ca="1" si="45"/>
        <v>6</v>
      </c>
    </row>
    <row r="1433" spans="1:22">
      <c r="A1433" t="s">
        <v>3181</v>
      </c>
      <c r="B1433" s="1">
        <v>41055.459675925929</v>
      </c>
      <c r="C1433" s="2">
        <v>700</v>
      </c>
      <c r="D1433">
        <v>8400</v>
      </c>
      <c r="E1433" t="s">
        <v>1856</v>
      </c>
      <c r="F1433" s="5">
        <v>8400</v>
      </c>
      <c r="G1433" s="5">
        <v>8400</v>
      </c>
      <c r="H1433" s="5">
        <f ca="1">OFFSET(F1433,0,Brains!$D$1,1,1)</f>
        <v>8400</v>
      </c>
      <c r="I1433" t="s">
        <v>3182</v>
      </c>
      <c r="J1433" t="s">
        <v>1882</v>
      </c>
      <c r="K1433" t="s">
        <v>1859</v>
      </c>
      <c r="L1433" t="s">
        <v>1859</v>
      </c>
      <c r="M1433" s="7" t="s">
        <v>3941</v>
      </c>
      <c r="N1433" t="s">
        <v>1866</v>
      </c>
      <c r="O1433" s="7" t="s">
        <v>3923</v>
      </c>
      <c r="P1433" s="17" t="str">
        <f t="shared" ca="1" si="44"/>
        <v>0-14.9K</v>
      </c>
      <c r="Q1433" s="17">
        <v>8</v>
      </c>
      <c r="R1433">
        <v>26</v>
      </c>
      <c r="S1433">
        <v>5</v>
      </c>
      <c r="T1433">
        <v>4</v>
      </c>
      <c r="U1433">
        <v>7</v>
      </c>
      <c r="V1433" s="15">
        <f t="shared" ca="1" si="45"/>
        <v>1</v>
      </c>
    </row>
    <row r="1434" spans="1:22">
      <c r="A1434" t="s">
        <v>1193</v>
      </c>
      <c r="B1434" s="1">
        <v>41061.001782407409</v>
      </c>
      <c r="C1434" s="2" t="s">
        <v>156</v>
      </c>
      <c r="D1434">
        <v>700000</v>
      </c>
      <c r="E1434" t="s">
        <v>1908</v>
      </c>
      <c r="F1434" s="5">
        <v>12465.541681209797</v>
      </c>
      <c r="G1434" s="5">
        <v>34857.085947614782</v>
      </c>
      <c r="H1434" s="5">
        <f ca="1">OFFSET(F1434,0,Brains!$D$1,1,1)</f>
        <v>34857.085947614782</v>
      </c>
      <c r="I1434" t="s">
        <v>1194</v>
      </c>
      <c r="J1434" t="s">
        <v>1882</v>
      </c>
      <c r="K1434" t="s">
        <v>1859</v>
      </c>
      <c r="L1434" t="s">
        <v>1859</v>
      </c>
      <c r="M1434" s="7" t="s">
        <v>3941</v>
      </c>
      <c r="N1434" t="s">
        <v>1866</v>
      </c>
      <c r="O1434" s="7" t="s">
        <v>3923</v>
      </c>
      <c r="P1434" s="17" t="str">
        <f t="shared" ca="1" si="44"/>
        <v>30-49.9K</v>
      </c>
      <c r="Q1434" s="17">
        <v>8</v>
      </c>
      <c r="R1434">
        <v>30</v>
      </c>
      <c r="S1434">
        <v>5</v>
      </c>
      <c r="T1434">
        <v>4</v>
      </c>
      <c r="U1434">
        <v>7</v>
      </c>
      <c r="V1434" s="15">
        <f t="shared" ca="1" si="45"/>
        <v>3</v>
      </c>
    </row>
    <row r="1435" spans="1:22">
      <c r="A1435" t="s">
        <v>715</v>
      </c>
      <c r="B1435" s="1">
        <v>41058.65048611111</v>
      </c>
      <c r="C1435" s="2">
        <v>139000</v>
      </c>
      <c r="D1435">
        <v>139000</v>
      </c>
      <c r="E1435" t="s">
        <v>1880</v>
      </c>
      <c r="F1435" s="5">
        <v>176585.52201983347</v>
      </c>
      <c r="G1435" s="5">
        <v>174611.70878284334</v>
      </c>
      <c r="H1435" s="5">
        <f ca="1">OFFSET(F1435,0,Brains!$D$1,1,1)</f>
        <v>174611.70878284334</v>
      </c>
      <c r="I1435" t="s">
        <v>716</v>
      </c>
      <c r="J1435" t="s">
        <v>1882</v>
      </c>
      <c r="K1435" t="s">
        <v>1883</v>
      </c>
      <c r="L1435" t="s">
        <v>1883</v>
      </c>
      <c r="M1435" s="11" t="s">
        <v>3916</v>
      </c>
      <c r="N1435" t="s">
        <v>1884</v>
      </c>
      <c r="O1435" s="7" t="s">
        <v>3923</v>
      </c>
      <c r="P1435" s="17" t="str">
        <f t="shared" ca="1" si="44"/>
        <v>150-249.9K</v>
      </c>
      <c r="Q1435" s="17">
        <v>1.5</v>
      </c>
      <c r="R1435">
        <v>25</v>
      </c>
      <c r="S1435">
        <v>2</v>
      </c>
      <c r="T1435">
        <v>4</v>
      </c>
      <c r="U1435">
        <v>7</v>
      </c>
      <c r="V1435" s="15">
        <f t="shared" ca="1" si="45"/>
        <v>7</v>
      </c>
    </row>
    <row r="1436" spans="1:22">
      <c r="A1436" t="s">
        <v>876</v>
      </c>
      <c r="B1436" s="1">
        <v>41058.949421296296</v>
      </c>
      <c r="C1436" s="2">
        <v>130000</v>
      </c>
      <c r="D1436">
        <v>130000</v>
      </c>
      <c r="E1436" t="s">
        <v>1856</v>
      </c>
      <c r="F1436" s="5">
        <v>130000</v>
      </c>
      <c r="G1436" s="5">
        <v>130000</v>
      </c>
      <c r="H1436" s="5">
        <f ca="1">OFFSET(F1436,0,Brains!$D$1,1,1)</f>
        <v>130000</v>
      </c>
      <c r="I1436" t="s">
        <v>1882</v>
      </c>
      <c r="J1436" t="s">
        <v>1882</v>
      </c>
      <c r="K1436" t="s">
        <v>1869</v>
      </c>
      <c r="L1436" t="s">
        <v>1869</v>
      </c>
      <c r="M1436" s="11" t="s">
        <v>3916</v>
      </c>
      <c r="N1436" t="s">
        <v>1884</v>
      </c>
      <c r="O1436" s="7" t="s">
        <v>3923</v>
      </c>
      <c r="P1436" s="17" t="str">
        <f t="shared" ca="1" si="44"/>
        <v>100-149.9K</v>
      </c>
      <c r="Q1436" s="17">
        <v>1.5</v>
      </c>
      <c r="R1436">
        <v>25</v>
      </c>
      <c r="S1436">
        <v>2</v>
      </c>
      <c r="T1436">
        <v>4</v>
      </c>
      <c r="U1436">
        <v>7</v>
      </c>
      <c r="V1436" s="15">
        <f t="shared" ca="1" si="45"/>
        <v>6</v>
      </c>
    </row>
    <row r="1437" spans="1:22">
      <c r="A1437" t="s">
        <v>1484</v>
      </c>
      <c r="B1437" s="1">
        <v>41066.926701388889</v>
      </c>
      <c r="C1437" s="2" t="s">
        <v>1485</v>
      </c>
      <c r="D1437">
        <v>36000</v>
      </c>
      <c r="E1437" t="s">
        <v>1954</v>
      </c>
      <c r="F1437" s="5">
        <v>56742.417794422225</v>
      </c>
      <c r="G1437" s="5">
        <v>53412.462908011868</v>
      </c>
      <c r="H1437" s="5">
        <f ca="1">OFFSET(F1437,0,Brains!$D$1,1,1)</f>
        <v>53412.462908011868</v>
      </c>
      <c r="I1437" t="s">
        <v>1486</v>
      </c>
      <c r="J1437" t="s">
        <v>1882</v>
      </c>
      <c r="K1437" t="s">
        <v>1956</v>
      </c>
      <c r="L1437" t="s">
        <v>1956</v>
      </c>
      <c r="M1437" s="11" t="s">
        <v>3916</v>
      </c>
      <c r="N1437" t="s">
        <v>1884</v>
      </c>
      <c r="O1437" s="7" t="s">
        <v>3923</v>
      </c>
      <c r="P1437" s="17" t="str">
        <f t="shared" ca="1" si="44"/>
        <v>50-74.9K</v>
      </c>
      <c r="Q1437" s="17">
        <v>1.5</v>
      </c>
      <c r="R1437">
        <v>25</v>
      </c>
      <c r="S1437">
        <v>2</v>
      </c>
      <c r="T1437">
        <v>4</v>
      </c>
      <c r="U1437">
        <v>7</v>
      </c>
      <c r="V1437" s="15">
        <f t="shared" ca="1" si="45"/>
        <v>4</v>
      </c>
    </row>
    <row r="1438" spans="1:22">
      <c r="A1438" t="s">
        <v>3135</v>
      </c>
      <c r="B1438" s="1">
        <v>41055.369444444441</v>
      </c>
      <c r="C1438" s="2">
        <v>50000</v>
      </c>
      <c r="D1438">
        <v>50000</v>
      </c>
      <c r="E1438" t="s">
        <v>1856</v>
      </c>
      <c r="F1438" s="5">
        <v>50000</v>
      </c>
      <c r="G1438" s="5">
        <v>50000</v>
      </c>
      <c r="H1438" s="5">
        <f ca="1">OFFSET(F1438,0,Brains!$D$1,1,1)</f>
        <v>50000</v>
      </c>
      <c r="I1438" t="s">
        <v>3136</v>
      </c>
      <c r="J1438" t="s">
        <v>1882</v>
      </c>
      <c r="K1438" t="s">
        <v>1859</v>
      </c>
      <c r="L1438" t="s">
        <v>1859</v>
      </c>
      <c r="M1438" s="11" t="s">
        <v>3916</v>
      </c>
      <c r="N1438" t="s">
        <v>1884</v>
      </c>
      <c r="O1438" s="7" t="s">
        <v>3923</v>
      </c>
      <c r="P1438" s="17" t="str">
        <f t="shared" ca="1" si="44"/>
        <v>50-74.9K</v>
      </c>
      <c r="Q1438" s="17">
        <v>1.5</v>
      </c>
      <c r="R1438">
        <v>25</v>
      </c>
      <c r="S1438">
        <v>2</v>
      </c>
      <c r="T1438">
        <v>4</v>
      </c>
      <c r="U1438">
        <v>7</v>
      </c>
      <c r="V1438" s="15">
        <f t="shared" ca="1" si="45"/>
        <v>4</v>
      </c>
    </row>
    <row r="1439" spans="1:22">
      <c r="A1439" t="s">
        <v>378</v>
      </c>
      <c r="B1439" s="1">
        <v>41057.922361111108</v>
      </c>
      <c r="C1439" s="2" t="s">
        <v>379</v>
      </c>
      <c r="D1439">
        <v>500000</v>
      </c>
      <c r="E1439" t="s">
        <v>1908</v>
      </c>
      <c r="F1439" s="5">
        <v>8903.9583437212841</v>
      </c>
      <c r="G1439" s="5">
        <v>24897.918534010558</v>
      </c>
      <c r="H1439" s="5">
        <f ca="1">OFFSET(F1439,0,Brains!$D$1,1,1)</f>
        <v>24897.918534010558</v>
      </c>
      <c r="I1439" t="s">
        <v>3590</v>
      </c>
      <c r="J1439" t="s">
        <v>1882</v>
      </c>
      <c r="K1439" t="s">
        <v>1859</v>
      </c>
      <c r="L1439" t="s">
        <v>1859</v>
      </c>
      <c r="M1439" s="11" t="s">
        <v>3916</v>
      </c>
      <c r="N1439" t="s">
        <v>1884</v>
      </c>
      <c r="O1439" s="7" t="s">
        <v>3923</v>
      </c>
      <c r="P1439" s="17" t="str">
        <f t="shared" ca="1" si="44"/>
        <v>15-29.9K</v>
      </c>
      <c r="Q1439" s="17">
        <v>1.5</v>
      </c>
      <c r="R1439">
        <v>25</v>
      </c>
      <c r="S1439">
        <v>2</v>
      </c>
      <c r="T1439">
        <v>4</v>
      </c>
      <c r="U1439">
        <v>7</v>
      </c>
      <c r="V1439" s="15">
        <f t="shared" ca="1" si="45"/>
        <v>2</v>
      </c>
    </row>
    <row r="1440" spans="1:22">
      <c r="A1440" t="s">
        <v>1124</v>
      </c>
      <c r="B1440" s="1">
        <v>41060.442800925928</v>
      </c>
      <c r="C1440" s="2">
        <v>105000</v>
      </c>
      <c r="D1440">
        <v>105000</v>
      </c>
      <c r="E1440" t="s">
        <v>1856</v>
      </c>
      <c r="F1440" s="5">
        <v>105000</v>
      </c>
      <c r="G1440" s="5">
        <v>105000</v>
      </c>
      <c r="H1440" s="5">
        <f ca="1">OFFSET(F1440,0,Brains!$D$1,1,1)</f>
        <v>105000</v>
      </c>
      <c r="I1440" t="s">
        <v>1125</v>
      </c>
      <c r="J1440" t="s">
        <v>1882</v>
      </c>
      <c r="K1440" t="s">
        <v>1869</v>
      </c>
      <c r="L1440" t="s">
        <v>1869</v>
      </c>
      <c r="M1440" s="11" t="s">
        <v>3916</v>
      </c>
      <c r="N1440" t="s">
        <v>1884</v>
      </c>
      <c r="O1440" s="7" t="s">
        <v>3923</v>
      </c>
      <c r="P1440" s="17" t="str">
        <f t="shared" ca="1" si="44"/>
        <v>100-149.9K</v>
      </c>
      <c r="Q1440" s="17">
        <v>1.5</v>
      </c>
      <c r="R1440">
        <v>30</v>
      </c>
      <c r="S1440">
        <v>2</v>
      </c>
      <c r="T1440">
        <v>4</v>
      </c>
      <c r="U1440">
        <v>7</v>
      </c>
      <c r="V1440" s="15">
        <f t="shared" ca="1" si="45"/>
        <v>6</v>
      </c>
    </row>
    <row r="1441" spans="1:22">
      <c r="A1441" t="s">
        <v>238</v>
      </c>
      <c r="B1441" s="1">
        <v>41057.666504629633</v>
      </c>
      <c r="C1441" s="2">
        <v>40500</v>
      </c>
      <c r="D1441">
        <v>40500</v>
      </c>
      <c r="E1441" t="s">
        <v>1954</v>
      </c>
      <c r="F1441" s="5">
        <v>63835.220018725006</v>
      </c>
      <c r="G1441" s="5">
        <v>60089.020771513351</v>
      </c>
      <c r="H1441" s="5">
        <f ca="1">OFFSET(F1441,0,Brains!$D$1,1,1)</f>
        <v>60089.020771513351</v>
      </c>
      <c r="I1441" t="s">
        <v>239</v>
      </c>
      <c r="J1441" t="s">
        <v>1882</v>
      </c>
      <c r="K1441" t="s">
        <v>1956</v>
      </c>
      <c r="L1441" t="s">
        <v>1956</v>
      </c>
      <c r="M1441" s="11" t="s">
        <v>3917</v>
      </c>
      <c r="N1441" t="s">
        <v>1873</v>
      </c>
      <c r="O1441" s="7" t="s">
        <v>3923</v>
      </c>
      <c r="P1441" s="17" t="str">
        <f t="shared" ca="1" si="44"/>
        <v>50-74.9K</v>
      </c>
      <c r="Q1441" s="17">
        <v>2.5</v>
      </c>
      <c r="R1441">
        <v>25</v>
      </c>
      <c r="S1441">
        <v>3</v>
      </c>
      <c r="T1441">
        <v>4</v>
      </c>
      <c r="U1441">
        <v>7</v>
      </c>
      <c r="V1441" s="15">
        <f t="shared" ca="1" si="45"/>
        <v>4</v>
      </c>
    </row>
    <row r="1442" spans="1:22">
      <c r="A1442" t="s">
        <v>948</v>
      </c>
      <c r="B1442" s="1">
        <v>41059.17627314815</v>
      </c>
      <c r="C1442" s="2">
        <v>61000</v>
      </c>
      <c r="D1442">
        <v>61000</v>
      </c>
      <c r="E1442" t="s">
        <v>1856</v>
      </c>
      <c r="F1442" s="5">
        <v>61000</v>
      </c>
      <c r="G1442" s="5">
        <v>61000</v>
      </c>
      <c r="H1442" s="5">
        <f ca="1">OFFSET(F1442,0,Brains!$D$1,1,1)</f>
        <v>61000</v>
      </c>
      <c r="I1442" t="s">
        <v>949</v>
      </c>
      <c r="J1442" t="s">
        <v>1882</v>
      </c>
      <c r="K1442" t="s">
        <v>1869</v>
      </c>
      <c r="L1442" t="s">
        <v>1869</v>
      </c>
      <c r="M1442" s="11" t="s">
        <v>3917</v>
      </c>
      <c r="N1442" t="s">
        <v>1873</v>
      </c>
      <c r="O1442" s="7" t="s">
        <v>3923</v>
      </c>
      <c r="P1442" s="17" t="str">
        <f t="shared" ca="1" si="44"/>
        <v>50-74.9K</v>
      </c>
      <c r="Q1442" s="17">
        <v>2.5</v>
      </c>
      <c r="R1442">
        <v>25</v>
      </c>
      <c r="S1442">
        <v>3</v>
      </c>
      <c r="T1442">
        <v>4</v>
      </c>
      <c r="U1442">
        <v>7</v>
      </c>
      <c r="V1442" s="15">
        <f t="shared" ca="1" si="45"/>
        <v>4</v>
      </c>
    </row>
    <row r="1443" spans="1:22">
      <c r="A1443" t="s">
        <v>1781</v>
      </c>
      <c r="B1443" s="1">
        <v>41078.744351851848</v>
      </c>
      <c r="C1443" s="2" t="s">
        <v>429</v>
      </c>
      <c r="D1443">
        <v>350000</v>
      </c>
      <c r="E1443" t="s">
        <v>1908</v>
      </c>
      <c r="F1443" s="5">
        <v>6232.7708406048987</v>
      </c>
      <c r="G1443" s="5">
        <v>17428.542973807391</v>
      </c>
      <c r="H1443" s="5">
        <f ca="1">OFFSET(F1443,0,Brains!$D$1,1,1)</f>
        <v>17428.542973807391</v>
      </c>
      <c r="I1443" t="s">
        <v>1782</v>
      </c>
      <c r="J1443" t="s">
        <v>1882</v>
      </c>
      <c r="K1443" t="s">
        <v>1859</v>
      </c>
      <c r="L1443" t="s">
        <v>1859</v>
      </c>
      <c r="M1443" s="11" t="s">
        <v>3917</v>
      </c>
      <c r="N1443" t="s">
        <v>1873</v>
      </c>
      <c r="O1443" s="7" t="s">
        <v>3923</v>
      </c>
      <c r="P1443" s="17" t="str">
        <f t="shared" ca="1" si="44"/>
        <v>15-29.9K</v>
      </c>
      <c r="Q1443" s="17">
        <v>2.5</v>
      </c>
      <c r="R1443">
        <v>27</v>
      </c>
      <c r="S1443">
        <v>3</v>
      </c>
      <c r="T1443">
        <v>4</v>
      </c>
      <c r="U1443">
        <v>7</v>
      </c>
      <c r="V1443" s="15">
        <f t="shared" ca="1" si="45"/>
        <v>2</v>
      </c>
    </row>
    <row r="1444" spans="1:22">
      <c r="A1444" t="s">
        <v>713</v>
      </c>
      <c r="B1444" s="1">
        <v>41058.650289351855</v>
      </c>
      <c r="C1444" s="2" t="s">
        <v>714</v>
      </c>
      <c r="D1444">
        <v>600000</v>
      </c>
      <c r="E1444" t="s">
        <v>1908</v>
      </c>
      <c r="F1444" s="5">
        <v>10684.750012465542</v>
      </c>
      <c r="G1444" s="5">
        <v>29877.502240812668</v>
      </c>
      <c r="H1444" s="5">
        <f ca="1">OFFSET(F1444,0,Brains!$D$1,1,1)</f>
        <v>29877.502240812668</v>
      </c>
      <c r="I1444" t="s">
        <v>2626</v>
      </c>
      <c r="J1444" t="s">
        <v>1882</v>
      </c>
      <c r="K1444" t="s">
        <v>1859</v>
      </c>
      <c r="L1444" t="s">
        <v>1859</v>
      </c>
      <c r="M1444" s="11" t="s">
        <v>3917</v>
      </c>
      <c r="N1444" t="s">
        <v>1873</v>
      </c>
      <c r="O1444" s="7" t="s">
        <v>3923</v>
      </c>
      <c r="P1444" s="17" t="str">
        <f t="shared" ca="1" si="44"/>
        <v>15-29.9K</v>
      </c>
      <c r="Q1444" s="17">
        <v>2.5</v>
      </c>
      <c r="R1444">
        <v>28</v>
      </c>
      <c r="S1444">
        <v>3</v>
      </c>
      <c r="T1444">
        <v>4</v>
      </c>
      <c r="U1444">
        <v>7</v>
      </c>
      <c r="V1444" s="15">
        <f t="shared" ca="1" si="45"/>
        <v>2</v>
      </c>
    </row>
    <row r="1445" spans="1:22">
      <c r="A1445" t="s">
        <v>622</v>
      </c>
      <c r="B1445" s="1">
        <v>41058.447094907409</v>
      </c>
      <c r="C1445" s="2">
        <v>500000</v>
      </c>
      <c r="D1445">
        <v>500000</v>
      </c>
      <c r="E1445" t="s">
        <v>1908</v>
      </c>
      <c r="F1445" s="5">
        <v>8903.9583437212841</v>
      </c>
      <c r="G1445" s="5">
        <v>24897.918534010558</v>
      </c>
      <c r="H1445" s="5">
        <f ca="1">OFFSET(F1445,0,Brains!$D$1,1,1)</f>
        <v>24897.918534010558</v>
      </c>
      <c r="I1445" t="s">
        <v>623</v>
      </c>
      <c r="J1445" t="s">
        <v>1882</v>
      </c>
      <c r="K1445" t="s">
        <v>1859</v>
      </c>
      <c r="L1445" t="s">
        <v>1859</v>
      </c>
      <c r="M1445" s="11" t="s">
        <v>3917</v>
      </c>
      <c r="N1445" t="s">
        <v>1873</v>
      </c>
      <c r="O1445" s="7" t="s">
        <v>3923</v>
      </c>
      <c r="P1445" s="17" t="str">
        <f t="shared" ca="1" si="44"/>
        <v>15-29.9K</v>
      </c>
      <c r="Q1445" s="17">
        <v>2.5</v>
      </c>
      <c r="R1445">
        <v>29</v>
      </c>
      <c r="S1445">
        <v>3</v>
      </c>
      <c r="T1445">
        <v>4</v>
      </c>
      <c r="U1445">
        <v>7</v>
      </c>
      <c r="V1445" s="15">
        <f t="shared" ca="1" si="45"/>
        <v>2</v>
      </c>
    </row>
    <row r="1446" spans="1:22">
      <c r="A1446" t="s">
        <v>860</v>
      </c>
      <c r="B1446" s="1">
        <v>41058.918414351851</v>
      </c>
      <c r="C1446" s="2">
        <v>150000</v>
      </c>
      <c r="D1446">
        <v>150000</v>
      </c>
      <c r="E1446" t="s">
        <v>1856</v>
      </c>
      <c r="F1446" s="5">
        <v>150000</v>
      </c>
      <c r="G1446" s="5">
        <v>150000</v>
      </c>
      <c r="H1446" s="5">
        <f ca="1">OFFSET(F1446,0,Brains!$D$1,1,1)</f>
        <v>150000</v>
      </c>
      <c r="I1446" t="s">
        <v>861</v>
      </c>
      <c r="J1446" t="s">
        <v>1882</v>
      </c>
      <c r="K1446" t="s">
        <v>1869</v>
      </c>
      <c r="L1446" t="s">
        <v>1869</v>
      </c>
      <c r="M1446" s="11" t="s">
        <v>3917</v>
      </c>
      <c r="N1446" t="s">
        <v>1873</v>
      </c>
      <c r="O1446" s="7" t="s">
        <v>3923</v>
      </c>
      <c r="P1446" s="17" t="str">
        <f t="shared" ca="1" si="44"/>
        <v>150-249.9K</v>
      </c>
      <c r="Q1446" s="17">
        <v>2.5</v>
      </c>
      <c r="R1446">
        <v>30</v>
      </c>
      <c r="S1446">
        <v>3</v>
      </c>
      <c r="T1446">
        <v>4</v>
      </c>
      <c r="U1446">
        <v>7</v>
      </c>
      <c r="V1446" s="15">
        <f t="shared" ca="1" si="45"/>
        <v>7</v>
      </c>
    </row>
    <row r="1447" spans="1:22">
      <c r="A1447" t="s">
        <v>230</v>
      </c>
      <c r="B1447" s="1">
        <v>41057.658599537041</v>
      </c>
      <c r="C1447" s="2" t="s">
        <v>231</v>
      </c>
      <c r="D1447">
        <v>50000</v>
      </c>
      <c r="E1447" t="s">
        <v>1856</v>
      </c>
      <c r="F1447" s="5">
        <v>50000</v>
      </c>
      <c r="G1447" s="5">
        <v>50000</v>
      </c>
      <c r="H1447" s="5">
        <f ca="1">OFFSET(F1447,0,Brains!$D$1,1,1)</f>
        <v>50000</v>
      </c>
      <c r="I1447" t="s">
        <v>232</v>
      </c>
      <c r="J1447" t="s">
        <v>1882</v>
      </c>
      <c r="K1447" t="s">
        <v>1859</v>
      </c>
      <c r="L1447" t="s">
        <v>1859</v>
      </c>
      <c r="M1447" s="11" t="s">
        <v>3917</v>
      </c>
      <c r="N1447" t="s">
        <v>1873</v>
      </c>
      <c r="O1447" s="7" t="s">
        <v>3923</v>
      </c>
      <c r="P1447" s="17" t="str">
        <f t="shared" ca="1" si="44"/>
        <v>50-74.9K</v>
      </c>
      <c r="Q1447" s="17">
        <v>2.5</v>
      </c>
      <c r="R1447">
        <v>30</v>
      </c>
      <c r="S1447">
        <v>3</v>
      </c>
      <c r="T1447">
        <v>4</v>
      </c>
      <c r="U1447">
        <v>7</v>
      </c>
      <c r="V1447" s="15">
        <f t="shared" ca="1" si="45"/>
        <v>4</v>
      </c>
    </row>
    <row r="1448" spans="1:22">
      <c r="A1448" t="s">
        <v>897</v>
      </c>
      <c r="B1448" s="1">
        <v>41058.989189814813</v>
      </c>
      <c r="C1448" s="2">
        <v>88000</v>
      </c>
      <c r="D1448">
        <v>88000</v>
      </c>
      <c r="E1448" t="s">
        <v>1856</v>
      </c>
      <c r="F1448" s="5">
        <v>88000</v>
      </c>
      <c r="G1448" s="5">
        <v>88000</v>
      </c>
      <c r="H1448" s="5">
        <f ca="1">OFFSET(F1448,0,Brains!$D$1,1,1)</f>
        <v>88000</v>
      </c>
      <c r="I1448" t="s">
        <v>898</v>
      </c>
      <c r="J1448" t="s">
        <v>1882</v>
      </c>
      <c r="K1448" t="s">
        <v>1869</v>
      </c>
      <c r="L1448" t="s">
        <v>1869</v>
      </c>
      <c r="M1448" s="11" t="s">
        <v>3918</v>
      </c>
      <c r="N1448" t="s">
        <v>1860</v>
      </c>
      <c r="O1448" s="7" t="s">
        <v>3923</v>
      </c>
      <c r="P1448" s="17" t="str">
        <f t="shared" ca="1" si="44"/>
        <v>75-99.9K</v>
      </c>
      <c r="Q1448" s="17">
        <v>5</v>
      </c>
      <c r="R1448">
        <v>21</v>
      </c>
      <c r="S1448">
        <v>4</v>
      </c>
      <c r="T1448">
        <v>4</v>
      </c>
      <c r="U1448">
        <v>7</v>
      </c>
      <c r="V1448" s="15">
        <f t="shared" ca="1" si="45"/>
        <v>5</v>
      </c>
    </row>
    <row r="1449" spans="1:22">
      <c r="A1449" t="s">
        <v>435</v>
      </c>
      <c r="B1449" s="1">
        <v>41057.957824074074</v>
      </c>
      <c r="C1449" s="2">
        <v>2000</v>
      </c>
      <c r="D1449">
        <v>24000</v>
      </c>
      <c r="E1449" t="s">
        <v>1856</v>
      </c>
      <c r="F1449" s="5">
        <v>24000</v>
      </c>
      <c r="G1449" s="5">
        <v>24000</v>
      </c>
      <c r="H1449" s="5">
        <f ca="1">OFFSET(F1449,0,Brains!$D$1,1,1)</f>
        <v>24000</v>
      </c>
      <c r="I1449" t="s">
        <v>436</v>
      </c>
      <c r="J1449" t="s">
        <v>1882</v>
      </c>
      <c r="K1449" t="s">
        <v>437</v>
      </c>
      <c r="L1449" t="s">
        <v>437</v>
      </c>
      <c r="M1449" s="11" t="s">
        <v>3918</v>
      </c>
      <c r="N1449" t="s">
        <v>1860</v>
      </c>
      <c r="O1449" s="7" t="s">
        <v>3923</v>
      </c>
      <c r="P1449" s="17" t="str">
        <f t="shared" ca="1" si="44"/>
        <v>15-29.9K</v>
      </c>
      <c r="Q1449" s="17">
        <v>5</v>
      </c>
      <c r="R1449">
        <v>21</v>
      </c>
      <c r="S1449">
        <v>4</v>
      </c>
      <c r="T1449">
        <v>4</v>
      </c>
      <c r="U1449">
        <v>7</v>
      </c>
      <c r="V1449" s="15">
        <f t="shared" ca="1" si="45"/>
        <v>2</v>
      </c>
    </row>
    <row r="1450" spans="1:22">
      <c r="A1450" t="s">
        <v>417</v>
      </c>
      <c r="B1450" s="1">
        <v>41057.950868055559</v>
      </c>
      <c r="C1450" s="2" t="s">
        <v>418</v>
      </c>
      <c r="D1450">
        <v>450000</v>
      </c>
      <c r="E1450" t="s">
        <v>1908</v>
      </c>
      <c r="F1450" s="5">
        <v>8013.5625093491553</v>
      </c>
      <c r="G1450" s="5">
        <v>22408.126680609501</v>
      </c>
      <c r="H1450" s="5">
        <f ca="1">OFFSET(F1450,0,Brains!$D$1,1,1)</f>
        <v>22408.126680609501</v>
      </c>
      <c r="I1450" t="s">
        <v>3000</v>
      </c>
      <c r="J1450" t="s">
        <v>1882</v>
      </c>
      <c r="K1450" t="s">
        <v>1859</v>
      </c>
      <c r="L1450" t="s">
        <v>1859</v>
      </c>
      <c r="M1450" s="11" t="s">
        <v>3918</v>
      </c>
      <c r="N1450" t="s">
        <v>1860</v>
      </c>
      <c r="O1450" s="7" t="s">
        <v>3923</v>
      </c>
      <c r="P1450" s="17" t="str">
        <f t="shared" ca="1" si="44"/>
        <v>15-29.9K</v>
      </c>
      <c r="Q1450" s="17">
        <v>5</v>
      </c>
      <c r="R1450">
        <v>21</v>
      </c>
      <c r="S1450">
        <v>4</v>
      </c>
      <c r="T1450">
        <v>4</v>
      </c>
      <c r="U1450">
        <v>7</v>
      </c>
      <c r="V1450" s="15">
        <f t="shared" ca="1" si="45"/>
        <v>2</v>
      </c>
    </row>
    <row r="1451" spans="1:22">
      <c r="A1451" t="s">
        <v>311</v>
      </c>
      <c r="B1451" s="1">
        <v>41057.745636574073</v>
      </c>
      <c r="C1451" s="2" t="s">
        <v>312</v>
      </c>
      <c r="D1451">
        <v>900000</v>
      </c>
      <c r="E1451" t="s">
        <v>1908</v>
      </c>
      <c r="F1451" s="5">
        <v>16027.125018698311</v>
      </c>
      <c r="G1451" s="5">
        <v>44816.253361219002</v>
      </c>
      <c r="H1451" s="5">
        <f ca="1">OFFSET(F1451,0,Brains!$D$1,1,1)</f>
        <v>44816.253361219002</v>
      </c>
      <c r="I1451" t="s">
        <v>313</v>
      </c>
      <c r="J1451" t="s">
        <v>1882</v>
      </c>
      <c r="K1451" t="s">
        <v>1859</v>
      </c>
      <c r="L1451" t="s">
        <v>1859</v>
      </c>
      <c r="M1451" s="11" t="s">
        <v>3918</v>
      </c>
      <c r="N1451" t="s">
        <v>1860</v>
      </c>
      <c r="O1451" s="7" t="s">
        <v>3923</v>
      </c>
      <c r="P1451" s="17" t="str">
        <f t="shared" ca="1" si="44"/>
        <v>30-49.9K</v>
      </c>
      <c r="Q1451" s="17">
        <v>5</v>
      </c>
      <c r="R1451">
        <v>22</v>
      </c>
      <c r="S1451">
        <v>4</v>
      </c>
      <c r="T1451">
        <v>4</v>
      </c>
      <c r="U1451">
        <v>7</v>
      </c>
      <c r="V1451" s="15">
        <f t="shared" ca="1" si="45"/>
        <v>3</v>
      </c>
    </row>
    <row r="1452" spans="1:22">
      <c r="A1452" t="s">
        <v>1370</v>
      </c>
      <c r="B1452" s="1">
        <v>41064.752326388887</v>
      </c>
      <c r="C1452" s="2">
        <v>42000</v>
      </c>
      <c r="D1452">
        <v>42000</v>
      </c>
      <c r="E1452" t="s">
        <v>1954</v>
      </c>
      <c r="F1452" s="5">
        <v>66199.48742682593</v>
      </c>
      <c r="G1452" s="5">
        <v>62314.540059347179</v>
      </c>
      <c r="H1452" s="5">
        <f ca="1">OFFSET(F1452,0,Brains!$D$1,1,1)</f>
        <v>62314.540059347179</v>
      </c>
      <c r="I1452" t="s">
        <v>3279</v>
      </c>
      <c r="J1452" t="s">
        <v>1882</v>
      </c>
      <c r="K1452" t="s">
        <v>1956</v>
      </c>
      <c r="L1452" t="s">
        <v>1956</v>
      </c>
      <c r="M1452" s="11" t="s">
        <v>3918</v>
      </c>
      <c r="N1452" t="s">
        <v>1860</v>
      </c>
      <c r="O1452" s="7" t="s">
        <v>3923</v>
      </c>
      <c r="P1452" s="17" t="str">
        <f t="shared" ca="1" si="44"/>
        <v>50-74.9K</v>
      </c>
      <c r="Q1452" s="17">
        <v>5</v>
      </c>
      <c r="R1452">
        <v>23</v>
      </c>
      <c r="S1452">
        <v>4</v>
      </c>
      <c r="T1452">
        <v>4</v>
      </c>
      <c r="U1452">
        <v>7</v>
      </c>
      <c r="V1452" s="15">
        <f t="shared" ca="1" si="45"/>
        <v>4</v>
      </c>
    </row>
    <row r="1453" spans="1:22">
      <c r="A1453" t="s">
        <v>3324</v>
      </c>
      <c r="B1453" s="1">
        <v>41055.558495370373</v>
      </c>
      <c r="C1453" s="2">
        <v>7000</v>
      </c>
      <c r="D1453">
        <v>7000</v>
      </c>
      <c r="E1453" t="s">
        <v>1856</v>
      </c>
      <c r="F1453" s="5">
        <v>7000</v>
      </c>
      <c r="G1453" s="5">
        <v>7000</v>
      </c>
      <c r="H1453" s="5">
        <f ca="1">OFFSET(F1453,0,Brains!$D$1,1,1)</f>
        <v>7000</v>
      </c>
      <c r="I1453" t="s">
        <v>3325</v>
      </c>
      <c r="J1453" t="s">
        <v>1882</v>
      </c>
      <c r="K1453" t="s">
        <v>1859</v>
      </c>
      <c r="L1453" t="s">
        <v>1859</v>
      </c>
      <c r="M1453" s="11" t="s">
        <v>3918</v>
      </c>
      <c r="N1453" t="s">
        <v>1860</v>
      </c>
      <c r="O1453" s="7" t="s">
        <v>3923</v>
      </c>
      <c r="P1453" s="17" t="str">
        <f t="shared" ca="1" si="44"/>
        <v>0-14.9K</v>
      </c>
      <c r="Q1453" s="17">
        <v>5</v>
      </c>
      <c r="R1453">
        <v>23</v>
      </c>
      <c r="S1453">
        <v>4</v>
      </c>
      <c r="T1453">
        <v>4</v>
      </c>
      <c r="U1453">
        <v>7</v>
      </c>
      <c r="V1453" s="15">
        <f t="shared" ca="1" si="45"/>
        <v>1</v>
      </c>
    </row>
    <row r="1454" spans="1:22">
      <c r="A1454" t="s">
        <v>54</v>
      </c>
      <c r="B1454" s="1">
        <v>41057.431921296295</v>
      </c>
      <c r="C1454" s="2" t="s">
        <v>55</v>
      </c>
      <c r="D1454">
        <v>180000</v>
      </c>
      <c r="E1454" t="s">
        <v>3081</v>
      </c>
      <c r="F1454" s="5">
        <v>143565.85684888897</v>
      </c>
      <c r="G1454" s="5">
        <v>104347.82608695653</v>
      </c>
      <c r="H1454" s="5">
        <f ca="1">OFFSET(F1454,0,Brains!$D$1,1,1)</f>
        <v>104347.82608695653</v>
      </c>
      <c r="I1454" t="s">
        <v>2657</v>
      </c>
      <c r="J1454" t="s">
        <v>1882</v>
      </c>
      <c r="K1454" t="s">
        <v>3083</v>
      </c>
      <c r="L1454" t="s">
        <v>3083</v>
      </c>
      <c r="M1454" s="11" t="s">
        <v>3918</v>
      </c>
      <c r="N1454" t="s">
        <v>1860</v>
      </c>
      <c r="O1454" s="7" t="s">
        <v>3923</v>
      </c>
      <c r="P1454" s="17" t="str">
        <f t="shared" ca="1" si="44"/>
        <v>100-149.9K</v>
      </c>
      <c r="Q1454" s="17">
        <v>5</v>
      </c>
      <c r="R1454">
        <v>25</v>
      </c>
      <c r="S1454">
        <v>4</v>
      </c>
      <c r="T1454">
        <v>4</v>
      </c>
      <c r="U1454">
        <v>7</v>
      </c>
      <c r="V1454" s="15">
        <f t="shared" ca="1" si="45"/>
        <v>6</v>
      </c>
    </row>
    <row r="1455" spans="1:22">
      <c r="A1455" t="s">
        <v>805</v>
      </c>
      <c r="B1455" s="1">
        <v>41058.800219907411</v>
      </c>
      <c r="C1455" s="2">
        <v>125000</v>
      </c>
      <c r="D1455">
        <v>125000</v>
      </c>
      <c r="E1455" t="s">
        <v>1856</v>
      </c>
      <c r="F1455" s="5">
        <v>125000</v>
      </c>
      <c r="G1455" s="5">
        <v>125000</v>
      </c>
      <c r="H1455" s="5">
        <f ca="1">OFFSET(F1455,0,Brains!$D$1,1,1)</f>
        <v>125000</v>
      </c>
      <c r="I1455" t="s">
        <v>3022</v>
      </c>
      <c r="J1455" t="s">
        <v>1882</v>
      </c>
      <c r="K1455" t="s">
        <v>1869</v>
      </c>
      <c r="L1455" t="s">
        <v>1869</v>
      </c>
      <c r="M1455" s="11" t="s">
        <v>3918</v>
      </c>
      <c r="N1455" t="s">
        <v>1860</v>
      </c>
      <c r="O1455" s="7" t="s">
        <v>3923</v>
      </c>
      <c r="P1455" s="17" t="str">
        <f t="shared" ca="1" si="44"/>
        <v>100-149.9K</v>
      </c>
      <c r="Q1455" s="17">
        <v>5</v>
      </c>
      <c r="R1455">
        <v>25</v>
      </c>
      <c r="S1455">
        <v>4</v>
      </c>
      <c r="T1455">
        <v>4</v>
      </c>
      <c r="U1455">
        <v>7</v>
      </c>
      <c r="V1455" s="15">
        <f t="shared" ca="1" si="45"/>
        <v>6</v>
      </c>
    </row>
    <row r="1456" spans="1:22">
      <c r="A1456" t="s">
        <v>492</v>
      </c>
      <c r="B1456" s="1">
        <v>41058.01829861111</v>
      </c>
      <c r="C1456" s="2" t="s">
        <v>493</v>
      </c>
      <c r="D1456">
        <v>625000</v>
      </c>
      <c r="E1456" t="s">
        <v>494</v>
      </c>
      <c r="F1456" s="5">
        <v>106815.148267971</v>
      </c>
      <c r="G1456" s="5">
        <v>71954.869905595202</v>
      </c>
      <c r="H1456" s="5">
        <f ca="1">OFFSET(F1456,0,Brains!$D$1,1,1)</f>
        <v>71954.869905595202</v>
      </c>
      <c r="I1456" t="s">
        <v>495</v>
      </c>
      <c r="J1456" t="s">
        <v>1882</v>
      </c>
      <c r="K1456" t="s">
        <v>3478</v>
      </c>
      <c r="L1456" t="s">
        <v>3478</v>
      </c>
      <c r="M1456" s="11" t="s">
        <v>3918</v>
      </c>
      <c r="N1456" t="s">
        <v>1860</v>
      </c>
      <c r="O1456" s="7" t="s">
        <v>3923</v>
      </c>
      <c r="P1456" s="17" t="str">
        <f t="shared" ca="1" si="44"/>
        <v>50-74.9K</v>
      </c>
      <c r="Q1456" s="17">
        <v>5</v>
      </c>
      <c r="R1456">
        <v>25</v>
      </c>
      <c r="S1456">
        <v>4</v>
      </c>
      <c r="T1456">
        <v>4</v>
      </c>
      <c r="U1456">
        <v>7</v>
      </c>
      <c r="V1456" s="15">
        <f t="shared" ca="1" si="45"/>
        <v>4</v>
      </c>
    </row>
    <row r="1457" spans="1:22">
      <c r="A1457" t="s">
        <v>1190</v>
      </c>
      <c r="B1457" s="1">
        <v>41060.992083333331</v>
      </c>
      <c r="C1457" s="2" t="s">
        <v>1191</v>
      </c>
      <c r="D1457">
        <v>90000</v>
      </c>
      <c r="E1457" t="s">
        <v>1856</v>
      </c>
      <c r="F1457" s="5">
        <v>90000</v>
      </c>
      <c r="G1457" s="5">
        <v>90000</v>
      </c>
      <c r="H1457" s="5">
        <f ca="1">OFFSET(F1457,0,Brains!$D$1,1,1)</f>
        <v>90000</v>
      </c>
      <c r="I1457" t="s">
        <v>1192</v>
      </c>
      <c r="J1457" t="s">
        <v>1882</v>
      </c>
      <c r="K1457" t="s">
        <v>1869</v>
      </c>
      <c r="L1457" t="s">
        <v>1869</v>
      </c>
      <c r="M1457" s="11" t="s">
        <v>3918</v>
      </c>
      <c r="N1457" t="s">
        <v>1860</v>
      </c>
      <c r="O1457" s="7" t="s">
        <v>3923</v>
      </c>
      <c r="P1457" s="17" t="str">
        <f t="shared" ca="1" si="44"/>
        <v>75-99.9K</v>
      </c>
      <c r="Q1457" s="17">
        <v>5</v>
      </c>
      <c r="R1457">
        <v>25</v>
      </c>
      <c r="S1457">
        <v>4</v>
      </c>
      <c r="T1457">
        <v>4</v>
      </c>
      <c r="U1457">
        <v>7</v>
      </c>
      <c r="V1457" s="15">
        <f t="shared" ca="1" si="45"/>
        <v>5</v>
      </c>
    </row>
    <row r="1458" spans="1:22">
      <c r="A1458" t="s">
        <v>3893</v>
      </c>
      <c r="B1458" s="1">
        <v>41057.222696759258</v>
      </c>
      <c r="C1458" s="2">
        <v>80000</v>
      </c>
      <c r="D1458">
        <v>80000</v>
      </c>
      <c r="E1458" t="s">
        <v>1973</v>
      </c>
      <c r="F1458" s="5">
        <v>81592.772512210868</v>
      </c>
      <c r="G1458" s="5">
        <v>50890.585241730281</v>
      </c>
      <c r="H1458" s="5">
        <f ca="1">OFFSET(F1458,0,Brains!$D$1,1,1)</f>
        <v>50890.585241730281</v>
      </c>
      <c r="I1458" t="s">
        <v>3894</v>
      </c>
      <c r="J1458" t="s">
        <v>1882</v>
      </c>
      <c r="K1458" t="s">
        <v>1975</v>
      </c>
      <c r="L1458" t="s">
        <v>1975</v>
      </c>
      <c r="M1458" s="11" t="s">
        <v>3918</v>
      </c>
      <c r="N1458" t="s">
        <v>1860</v>
      </c>
      <c r="O1458" s="7" t="s">
        <v>3923</v>
      </c>
      <c r="P1458" s="17" t="str">
        <f t="shared" ca="1" si="44"/>
        <v>50-74.9K</v>
      </c>
      <c r="Q1458" s="17">
        <v>5</v>
      </c>
      <c r="R1458">
        <v>25</v>
      </c>
      <c r="S1458">
        <v>4</v>
      </c>
      <c r="T1458">
        <v>4</v>
      </c>
      <c r="U1458">
        <v>7</v>
      </c>
      <c r="V1458" s="15">
        <f t="shared" ca="1" si="45"/>
        <v>4</v>
      </c>
    </row>
    <row r="1459" spans="1:22">
      <c r="A1459" t="s">
        <v>3088</v>
      </c>
      <c r="B1459" s="1">
        <v>41055.289687500001</v>
      </c>
      <c r="C1459" s="2" t="s">
        <v>3089</v>
      </c>
      <c r="D1459">
        <v>28800</v>
      </c>
      <c r="E1459" t="s">
        <v>1954</v>
      </c>
      <c r="F1459" s="5">
        <v>45393.934235537781</v>
      </c>
      <c r="G1459" s="5">
        <v>42729.970326409493</v>
      </c>
      <c r="H1459" s="5">
        <f ca="1">OFFSET(F1459,0,Brains!$D$1,1,1)</f>
        <v>42729.970326409493</v>
      </c>
      <c r="I1459" t="s">
        <v>3022</v>
      </c>
      <c r="J1459" t="s">
        <v>1882</v>
      </c>
      <c r="K1459" t="s">
        <v>1956</v>
      </c>
      <c r="L1459" t="s">
        <v>1956</v>
      </c>
      <c r="M1459" s="11" t="s">
        <v>3918</v>
      </c>
      <c r="N1459" t="s">
        <v>1860</v>
      </c>
      <c r="O1459" s="7" t="s">
        <v>3923</v>
      </c>
      <c r="P1459" s="17" t="str">
        <f t="shared" ca="1" si="44"/>
        <v>30-49.9K</v>
      </c>
      <c r="Q1459" s="17">
        <v>5</v>
      </c>
      <c r="R1459">
        <v>27</v>
      </c>
      <c r="S1459">
        <v>4</v>
      </c>
      <c r="T1459">
        <v>4</v>
      </c>
      <c r="U1459">
        <v>7</v>
      </c>
      <c r="V1459" s="15">
        <f t="shared" ca="1" si="45"/>
        <v>3</v>
      </c>
    </row>
    <row r="1460" spans="1:22">
      <c r="A1460" t="s">
        <v>816</v>
      </c>
      <c r="B1460" s="1">
        <v>41058.824513888889</v>
      </c>
      <c r="C1460" s="2">
        <v>57500</v>
      </c>
      <c r="D1460">
        <v>57500</v>
      </c>
      <c r="E1460" t="s">
        <v>1856</v>
      </c>
      <c r="F1460" s="5">
        <v>57500</v>
      </c>
      <c r="G1460" s="5">
        <v>57500</v>
      </c>
      <c r="H1460" s="5">
        <f ca="1">OFFSET(F1460,0,Brains!$D$1,1,1)</f>
        <v>57500</v>
      </c>
      <c r="I1460" t="s">
        <v>817</v>
      </c>
      <c r="J1460" t="s">
        <v>1882</v>
      </c>
      <c r="K1460" t="s">
        <v>1869</v>
      </c>
      <c r="L1460" t="s">
        <v>1869</v>
      </c>
      <c r="M1460" s="11" t="s">
        <v>3918</v>
      </c>
      <c r="N1460" t="s">
        <v>1860</v>
      </c>
      <c r="O1460" s="7" t="s">
        <v>3923</v>
      </c>
      <c r="P1460" s="17" t="str">
        <f t="shared" ca="1" si="44"/>
        <v>50-74.9K</v>
      </c>
      <c r="Q1460" s="17">
        <v>5</v>
      </c>
      <c r="R1460">
        <v>30</v>
      </c>
      <c r="S1460">
        <v>4</v>
      </c>
      <c r="T1460">
        <v>4</v>
      </c>
      <c r="U1460">
        <v>7</v>
      </c>
      <c r="V1460" s="15">
        <f t="shared" ca="1" si="45"/>
        <v>4</v>
      </c>
    </row>
    <row r="1461" spans="1:22">
      <c r="A1461" t="s">
        <v>908</v>
      </c>
      <c r="B1461" s="1">
        <v>41059.024224537039</v>
      </c>
      <c r="C1461" s="2">
        <v>107000</v>
      </c>
      <c r="D1461">
        <v>107000</v>
      </c>
      <c r="E1461" t="s">
        <v>1856</v>
      </c>
      <c r="F1461" s="5">
        <v>107000</v>
      </c>
      <c r="G1461" s="5">
        <v>107000</v>
      </c>
      <c r="H1461" s="5">
        <f ca="1">OFFSET(F1461,0,Brains!$D$1,1,1)</f>
        <v>107000</v>
      </c>
      <c r="I1461" t="s">
        <v>909</v>
      </c>
      <c r="J1461" t="s">
        <v>1882</v>
      </c>
      <c r="K1461" t="s">
        <v>1869</v>
      </c>
      <c r="L1461" t="s">
        <v>1869</v>
      </c>
      <c r="M1461" t="s">
        <v>3941</v>
      </c>
      <c r="N1461" t="s">
        <v>1866</v>
      </c>
      <c r="O1461" s="7" t="s">
        <v>3923</v>
      </c>
      <c r="P1461" s="17" t="str">
        <f t="shared" ca="1" si="44"/>
        <v>100-149.9K</v>
      </c>
      <c r="Q1461" s="17">
        <v>8</v>
      </c>
      <c r="R1461">
        <v>29</v>
      </c>
      <c r="S1461">
        <v>5</v>
      </c>
      <c r="T1461">
        <v>4</v>
      </c>
      <c r="U1461">
        <v>7</v>
      </c>
      <c r="V1461" s="15">
        <f t="shared" ca="1" si="45"/>
        <v>6</v>
      </c>
    </row>
    <row r="1462" spans="1:22">
      <c r="A1462" t="s">
        <v>23</v>
      </c>
      <c r="B1462" s="1">
        <v>41057.35800925926</v>
      </c>
      <c r="C1462" s="2" t="s">
        <v>24</v>
      </c>
      <c r="D1462">
        <v>107000</v>
      </c>
      <c r="E1462" t="s">
        <v>1973</v>
      </c>
      <c r="F1462" s="5">
        <v>109130.33323508203</v>
      </c>
      <c r="G1462" s="5">
        <v>68066.157760814254</v>
      </c>
      <c r="H1462" s="5">
        <f ca="1">OFFSET(F1462,0,Brains!$D$1,1,1)</f>
        <v>68066.157760814254</v>
      </c>
      <c r="I1462" t="s">
        <v>3279</v>
      </c>
      <c r="J1462" t="s">
        <v>1882</v>
      </c>
      <c r="K1462" t="s">
        <v>1975</v>
      </c>
      <c r="L1462" t="s">
        <v>1975</v>
      </c>
      <c r="M1462" s="11" t="s">
        <v>3918</v>
      </c>
      <c r="N1462" t="s">
        <v>1860</v>
      </c>
      <c r="O1462" s="7" t="s">
        <v>3924</v>
      </c>
      <c r="P1462" s="17" t="str">
        <f t="shared" ca="1" si="44"/>
        <v>50-74.9K</v>
      </c>
      <c r="Q1462" s="17">
        <v>5</v>
      </c>
      <c r="R1462">
        <v>35</v>
      </c>
      <c r="S1462">
        <v>4</v>
      </c>
      <c r="T1462">
        <v>5</v>
      </c>
      <c r="U1462">
        <v>7</v>
      </c>
      <c r="V1462" s="15">
        <f t="shared" ca="1" si="45"/>
        <v>4</v>
      </c>
    </row>
    <row r="1463" spans="1:22">
      <c r="A1463" t="s">
        <v>852</v>
      </c>
      <c r="B1463" s="1">
        <v>41058.910069444442</v>
      </c>
      <c r="C1463" s="2">
        <v>39000</v>
      </c>
      <c r="D1463">
        <v>39000</v>
      </c>
      <c r="E1463" t="s">
        <v>1856</v>
      </c>
      <c r="F1463" s="5">
        <v>39000</v>
      </c>
      <c r="G1463" s="5">
        <v>39000</v>
      </c>
      <c r="H1463" s="5">
        <f ca="1">OFFSET(F1463,0,Brains!$D$1,1,1)</f>
        <v>39000</v>
      </c>
      <c r="I1463" t="s">
        <v>853</v>
      </c>
      <c r="J1463" t="s">
        <v>1882</v>
      </c>
      <c r="K1463" t="s">
        <v>1922</v>
      </c>
      <c r="L1463" t="s">
        <v>1922</v>
      </c>
      <c r="M1463" s="7" t="s">
        <v>3941</v>
      </c>
      <c r="N1463" t="s">
        <v>1866</v>
      </c>
      <c r="O1463" s="7" t="s">
        <v>3921</v>
      </c>
      <c r="P1463" s="17" t="str">
        <f t="shared" ca="1" si="44"/>
        <v>30-49.9K</v>
      </c>
      <c r="Q1463" s="17">
        <v>8</v>
      </c>
      <c r="R1463">
        <v>6</v>
      </c>
      <c r="S1463">
        <v>5</v>
      </c>
      <c r="T1463">
        <v>2</v>
      </c>
      <c r="U1463">
        <v>7</v>
      </c>
      <c r="V1463" s="15">
        <f t="shared" ca="1" si="45"/>
        <v>3</v>
      </c>
    </row>
    <row r="1464" spans="1:22">
      <c r="A1464" t="s">
        <v>1479</v>
      </c>
      <c r="B1464" s="1">
        <v>41066.862210648149</v>
      </c>
      <c r="C1464" s="2">
        <v>22000</v>
      </c>
      <c r="D1464">
        <v>22000</v>
      </c>
      <c r="E1464" t="s">
        <v>1856</v>
      </c>
      <c r="F1464" s="5">
        <v>22000</v>
      </c>
      <c r="G1464" s="5">
        <v>22000</v>
      </c>
      <c r="H1464" s="5">
        <f ca="1">OFFSET(F1464,0,Brains!$D$1,1,1)</f>
        <v>22000</v>
      </c>
      <c r="I1464" t="s">
        <v>1480</v>
      </c>
      <c r="J1464" t="s">
        <v>1882</v>
      </c>
      <c r="K1464" t="s">
        <v>1859</v>
      </c>
      <c r="L1464" t="s">
        <v>1859</v>
      </c>
      <c r="M1464" s="7" t="s">
        <v>3941</v>
      </c>
      <c r="N1464" t="s">
        <v>1866</v>
      </c>
      <c r="O1464" s="7" t="s">
        <v>3921</v>
      </c>
      <c r="P1464" s="17" t="str">
        <f t="shared" ca="1" si="44"/>
        <v>15-29.9K</v>
      </c>
      <c r="Q1464" s="17">
        <v>8</v>
      </c>
      <c r="R1464">
        <v>6</v>
      </c>
      <c r="S1464">
        <v>5</v>
      </c>
      <c r="T1464">
        <v>2</v>
      </c>
      <c r="U1464">
        <v>7</v>
      </c>
      <c r="V1464" s="15">
        <f t="shared" ca="1" si="45"/>
        <v>2</v>
      </c>
    </row>
    <row r="1465" spans="1:22">
      <c r="A1465" t="s">
        <v>976</v>
      </c>
      <c r="B1465" s="1">
        <v>41059.567152777781</v>
      </c>
      <c r="C1465" s="2">
        <v>1000000</v>
      </c>
      <c r="D1465">
        <v>1000000</v>
      </c>
      <c r="E1465" t="s">
        <v>1908</v>
      </c>
      <c r="F1465" s="5">
        <v>17807.916687442568</v>
      </c>
      <c r="G1465" s="5">
        <v>49795.837068021116</v>
      </c>
      <c r="H1465" s="5">
        <f ca="1">OFFSET(F1465,0,Brains!$D$1,1,1)</f>
        <v>49795.837068021116</v>
      </c>
      <c r="I1465" t="s">
        <v>977</v>
      </c>
      <c r="J1465" t="s">
        <v>1882</v>
      </c>
      <c r="K1465" t="s">
        <v>1859</v>
      </c>
      <c r="L1465" t="s">
        <v>1859</v>
      </c>
      <c r="M1465" s="7" t="s">
        <v>3941</v>
      </c>
      <c r="N1465" t="s">
        <v>1866</v>
      </c>
      <c r="O1465" s="7" t="s">
        <v>3921</v>
      </c>
      <c r="P1465" s="17" t="str">
        <f t="shared" ca="1" si="44"/>
        <v>30-49.9K</v>
      </c>
      <c r="Q1465" s="17">
        <v>8</v>
      </c>
      <c r="R1465">
        <v>6</v>
      </c>
      <c r="S1465">
        <v>5</v>
      </c>
      <c r="T1465">
        <v>2</v>
      </c>
      <c r="U1465">
        <v>7</v>
      </c>
      <c r="V1465" s="15">
        <f t="shared" ca="1" si="45"/>
        <v>3</v>
      </c>
    </row>
    <row r="1466" spans="1:22">
      <c r="A1466" t="s">
        <v>3801</v>
      </c>
      <c r="B1466" s="1">
        <v>41056.720081018517</v>
      </c>
      <c r="C1466" s="2" t="s">
        <v>3802</v>
      </c>
      <c r="D1466">
        <v>486000</v>
      </c>
      <c r="E1466" t="s">
        <v>1908</v>
      </c>
      <c r="F1466" s="5">
        <v>8654.6475100970874</v>
      </c>
      <c r="G1466" s="5">
        <v>24200.77681505826</v>
      </c>
      <c r="H1466" s="5">
        <f ca="1">OFFSET(F1466,0,Brains!$D$1,1,1)</f>
        <v>24200.77681505826</v>
      </c>
      <c r="I1466" t="s">
        <v>3803</v>
      </c>
      <c r="J1466" t="s">
        <v>1882</v>
      </c>
      <c r="K1466" t="s">
        <v>1859</v>
      </c>
      <c r="L1466" t="s">
        <v>1859</v>
      </c>
      <c r="M1466" s="7" t="s">
        <v>3941</v>
      </c>
      <c r="N1466" t="s">
        <v>1866</v>
      </c>
      <c r="O1466" s="7" t="s">
        <v>3921</v>
      </c>
      <c r="P1466" s="17" t="str">
        <f t="shared" ca="1" si="44"/>
        <v>15-29.9K</v>
      </c>
      <c r="Q1466" s="17">
        <v>8</v>
      </c>
      <c r="R1466">
        <v>6</v>
      </c>
      <c r="S1466">
        <v>5</v>
      </c>
      <c r="T1466">
        <v>2</v>
      </c>
      <c r="U1466">
        <v>7</v>
      </c>
      <c r="V1466" s="15">
        <f t="shared" ca="1" si="45"/>
        <v>2</v>
      </c>
    </row>
    <row r="1467" spans="1:22">
      <c r="A1467" t="s">
        <v>3447</v>
      </c>
      <c r="B1467" s="1">
        <v>41055.685127314813</v>
      </c>
      <c r="C1467" s="2" t="s">
        <v>3448</v>
      </c>
      <c r="D1467">
        <v>360000</v>
      </c>
      <c r="E1467" t="s">
        <v>1908</v>
      </c>
      <c r="F1467" s="5">
        <v>6410.8500074793246</v>
      </c>
      <c r="G1467" s="5">
        <v>17926.501344487599</v>
      </c>
      <c r="H1467" s="5">
        <f ca="1">OFFSET(F1467,0,Brains!$D$1,1,1)</f>
        <v>17926.501344487599</v>
      </c>
      <c r="I1467" t="s">
        <v>3449</v>
      </c>
      <c r="J1467" t="s">
        <v>1882</v>
      </c>
      <c r="K1467" t="s">
        <v>1859</v>
      </c>
      <c r="L1467" t="s">
        <v>1859</v>
      </c>
      <c r="M1467" s="7" t="s">
        <v>3941</v>
      </c>
      <c r="N1467" t="s">
        <v>1866</v>
      </c>
      <c r="O1467" s="7" t="s">
        <v>3921</v>
      </c>
      <c r="P1467" s="17" t="str">
        <f t="shared" ca="1" si="44"/>
        <v>15-29.9K</v>
      </c>
      <c r="Q1467" s="17">
        <v>8</v>
      </c>
      <c r="R1467">
        <v>6</v>
      </c>
      <c r="S1467">
        <v>5</v>
      </c>
      <c r="T1467">
        <v>2</v>
      </c>
      <c r="U1467">
        <v>7</v>
      </c>
      <c r="V1467" s="15">
        <f t="shared" ca="1" si="45"/>
        <v>2</v>
      </c>
    </row>
    <row r="1468" spans="1:22">
      <c r="A1468" t="s">
        <v>629</v>
      </c>
      <c r="B1468" s="1">
        <v>41058.452106481483</v>
      </c>
      <c r="C1468" s="2" t="s">
        <v>630</v>
      </c>
      <c r="D1468">
        <v>360000</v>
      </c>
      <c r="E1468" t="s">
        <v>1908</v>
      </c>
      <c r="F1468" s="5">
        <v>6410.8500074793246</v>
      </c>
      <c r="G1468" s="5">
        <v>17926.501344487599</v>
      </c>
      <c r="H1468" s="5">
        <f ca="1">OFFSET(F1468,0,Brains!$D$1,1,1)</f>
        <v>17926.501344487599</v>
      </c>
      <c r="I1468" t="s">
        <v>631</v>
      </c>
      <c r="J1468" t="s">
        <v>1882</v>
      </c>
      <c r="K1468" t="s">
        <v>1859</v>
      </c>
      <c r="L1468" t="s">
        <v>1859</v>
      </c>
      <c r="M1468" s="7" t="s">
        <v>3941</v>
      </c>
      <c r="N1468" t="s">
        <v>1866</v>
      </c>
      <c r="O1468" s="7" t="s">
        <v>3921</v>
      </c>
      <c r="P1468" s="17" t="str">
        <f t="shared" ca="1" si="44"/>
        <v>15-29.9K</v>
      </c>
      <c r="Q1468" s="17">
        <v>8</v>
      </c>
      <c r="R1468">
        <v>6</v>
      </c>
      <c r="S1468">
        <v>5</v>
      </c>
      <c r="T1468">
        <v>2</v>
      </c>
      <c r="U1468">
        <v>7</v>
      </c>
      <c r="V1468" s="15">
        <f t="shared" ca="1" si="45"/>
        <v>2</v>
      </c>
    </row>
    <row r="1469" spans="1:22">
      <c r="A1469" t="s">
        <v>3846</v>
      </c>
      <c r="B1469" s="1">
        <v>41056.988437499997</v>
      </c>
      <c r="C1469" s="2">
        <v>290</v>
      </c>
      <c r="D1469">
        <v>3480</v>
      </c>
      <c r="E1469" t="s">
        <v>1856</v>
      </c>
      <c r="F1469" s="5">
        <v>3480</v>
      </c>
      <c r="G1469" s="5">
        <v>3480</v>
      </c>
      <c r="H1469" s="5">
        <f ca="1">OFFSET(F1469,0,Brains!$D$1,1,1)</f>
        <v>3480</v>
      </c>
      <c r="I1469" t="s">
        <v>3847</v>
      </c>
      <c r="J1469" t="s">
        <v>1882</v>
      </c>
      <c r="K1469" t="s">
        <v>1872</v>
      </c>
      <c r="L1469" t="s">
        <v>1872</v>
      </c>
      <c r="M1469" s="7" t="s">
        <v>3941</v>
      </c>
      <c r="N1469" t="s">
        <v>1866</v>
      </c>
      <c r="O1469" s="7" t="s">
        <v>3921</v>
      </c>
      <c r="P1469" s="17" t="str">
        <f t="shared" ca="1" si="44"/>
        <v>0-14.9K</v>
      </c>
      <c r="Q1469" s="17">
        <v>8</v>
      </c>
      <c r="R1469">
        <v>6</v>
      </c>
      <c r="S1469">
        <v>5</v>
      </c>
      <c r="T1469">
        <v>2</v>
      </c>
      <c r="U1469">
        <v>7</v>
      </c>
      <c r="V1469" s="15">
        <f t="shared" ca="1" si="45"/>
        <v>1</v>
      </c>
    </row>
    <row r="1470" spans="1:22">
      <c r="A1470" t="s">
        <v>1678</v>
      </c>
      <c r="B1470" s="1">
        <v>41073.815254629626</v>
      </c>
      <c r="C1470" s="2" t="s">
        <v>1679</v>
      </c>
      <c r="D1470">
        <v>36000</v>
      </c>
      <c r="E1470" t="s">
        <v>1954</v>
      </c>
      <c r="F1470" s="5">
        <v>56742.417794422225</v>
      </c>
      <c r="G1470" s="5">
        <v>53412.462908011868</v>
      </c>
      <c r="H1470" s="5">
        <f ca="1">OFFSET(F1470,0,Brains!$D$1,1,1)</f>
        <v>53412.462908011868</v>
      </c>
      <c r="I1470" t="s">
        <v>1680</v>
      </c>
      <c r="J1470" t="s">
        <v>1882</v>
      </c>
      <c r="K1470" t="s">
        <v>1956</v>
      </c>
      <c r="L1470" t="s">
        <v>1956</v>
      </c>
      <c r="M1470" s="7" t="s">
        <v>3941</v>
      </c>
      <c r="N1470" t="s">
        <v>1866</v>
      </c>
      <c r="O1470" s="7" t="s">
        <v>3921</v>
      </c>
      <c r="P1470" s="17" t="str">
        <f t="shared" ca="1" si="44"/>
        <v>50-74.9K</v>
      </c>
      <c r="Q1470" s="17">
        <v>8</v>
      </c>
      <c r="R1470">
        <v>7</v>
      </c>
      <c r="S1470">
        <v>5</v>
      </c>
      <c r="T1470">
        <v>2</v>
      </c>
      <c r="U1470">
        <v>7</v>
      </c>
      <c r="V1470" s="15">
        <f t="shared" ca="1" si="45"/>
        <v>4</v>
      </c>
    </row>
    <row r="1471" spans="1:22">
      <c r="A1471" t="s">
        <v>717</v>
      </c>
      <c r="B1471" s="1">
        <v>41058.65185185185</v>
      </c>
      <c r="C1471" s="2" t="s">
        <v>718</v>
      </c>
      <c r="D1471">
        <v>43000</v>
      </c>
      <c r="E1471" t="s">
        <v>1880</v>
      </c>
      <c r="F1471" s="5">
        <v>54627.175876639136</v>
      </c>
      <c r="G1471" s="5">
        <v>54016.571781742903</v>
      </c>
      <c r="H1471" s="5">
        <f ca="1">OFFSET(F1471,0,Brains!$D$1,1,1)</f>
        <v>54016.571781742903</v>
      </c>
      <c r="I1471" t="s">
        <v>719</v>
      </c>
      <c r="J1471" t="s">
        <v>1882</v>
      </c>
      <c r="K1471" t="s">
        <v>2015</v>
      </c>
      <c r="L1471" t="s">
        <v>2015</v>
      </c>
      <c r="M1471" s="7" t="s">
        <v>3941</v>
      </c>
      <c r="N1471" t="s">
        <v>1866</v>
      </c>
      <c r="O1471" s="7" t="s">
        <v>3921</v>
      </c>
      <c r="P1471" s="17" t="str">
        <f t="shared" ca="1" si="44"/>
        <v>50-74.9K</v>
      </c>
      <c r="Q1471" s="17">
        <v>8</v>
      </c>
      <c r="R1471">
        <v>7</v>
      </c>
      <c r="S1471">
        <v>5</v>
      </c>
      <c r="T1471">
        <v>2</v>
      </c>
      <c r="U1471">
        <v>7</v>
      </c>
      <c r="V1471" s="15">
        <f t="shared" ca="1" si="45"/>
        <v>4</v>
      </c>
    </row>
    <row r="1472" spans="1:22">
      <c r="A1472" t="s">
        <v>729</v>
      </c>
      <c r="B1472" s="1">
        <v>41058.679849537039</v>
      </c>
      <c r="C1472" s="2" t="s">
        <v>730</v>
      </c>
      <c r="D1472">
        <v>660000</v>
      </c>
      <c r="E1472" t="s">
        <v>1908</v>
      </c>
      <c r="F1472" s="5">
        <v>11753.225013712095</v>
      </c>
      <c r="G1472" s="5">
        <v>32865.252464893936</v>
      </c>
      <c r="H1472" s="5">
        <f ca="1">OFFSET(F1472,0,Brains!$D$1,1,1)</f>
        <v>32865.252464893936</v>
      </c>
      <c r="I1472" t="s">
        <v>731</v>
      </c>
      <c r="J1472" t="s">
        <v>1882</v>
      </c>
      <c r="K1472" t="s">
        <v>1859</v>
      </c>
      <c r="L1472" t="s">
        <v>1859</v>
      </c>
      <c r="M1472" s="7" t="s">
        <v>3941</v>
      </c>
      <c r="N1472" t="s">
        <v>1866</v>
      </c>
      <c r="O1472" s="7" t="s">
        <v>3921</v>
      </c>
      <c r="P1472" s="17" t="str">
        <f t="shared" ca="1" si="44"/>
        <v>30-49.9K</v>
      </c>
      <c r="Q1472" s="17">
        <v>8</v>
      </c>
      <c r="R1472">
        <v>7</v>
      </c>
      <c r="S1472">
        <v>5</v>
      </c>
      <c r="T1472">
        <v>2</v>
      </c>
      <c r="U1472">
        <v>7</v>
      </c>
      <c r="V1472" s="15">
        <f t="shared" ca="1" si="45"/>
        <v>3</v>
      </c>
    </row>
    <row r="1473" spans="1:22">
      <c r="A1473" t="s">
        <v>3379</v>
      </c>
      <c r="B1473" s="1">
        <v>41055.611805555556</v>
      </c>
      <c r="C1473" s="2" t="s">
        <v>3380</v>
      </c>
      <c r="D1473">
        <v>180000</v>
      </c>
      <c r="E1473" t="s">
        <v>1908</v>
      </c>
      <c r="F1473" s="5">
        <v>3205.4250037396623</v>
      </c>
      <c r="G1473" s="5">
        <v>8963.2506722437993</v>
      </c>
      <c r="H1473" s="5">
        <f ca="1">OFFSET(F1473,0,Brains!$D$1,1,1)</f>
        <v>8963.2506722437993</v>
      </c>
      <c r="I1473" t="s">
        <v>3381</v>
      </c>
      <c r="J1473" t="s">
        <v>1882</v>
      </c>
      <c r="K1473" t="s">
        <v>1859</v>
      </c>
      <c r="L1473" t="s">
        <v>1859</v>
      </c>
      <c r="M1473" s="7" t="s">
        <v>3941</v>
      </c>
      <c r="N1473" t="s">
        <v>1866</v>
      </c>
      <c r="O1473" s="7" t="s">
        <v>3921</v>
      </c>
      <c r="P1473" s="17" t="str">
        <f t="shared" ca="1" si="44"/>
        <v>0-14.9K</v>
      </c>
      <c r="Q1473" s="17">
        <v>8</v>
      </c>
      <c r="R1473">
        <v>7</v>
      </c>
      <c r="S1473">
        <v>5</v>
      </c>
      <c r="T1473">
        <v>2</v>
      </c>
      <c r="U1473">
        <v>7</v>
      </c>
      <c r="V1473" s="15">
        <f t="shared" ca="1" si="45"/>
        <v>1</v>
      </c>
    </row>
    <row r="1474" spans="1:22">
      <c r="A1474" t="s">
        <v>3283</v>
      </c>
      <c r="B1474" s="1">
        <v>41055.537673611114</v>
      </c>
      <c r="C1474" s="2">
        <v>8738</v>
      </c>
      <c r="D1474">
        <v>8738</v>
      </c>
      <c r="E1474" t="s">
        <v>1856</v>
      </c>
      <c r="F1474" s="5">
        <v>8738</v>
      </c>
      <c r="G1474" s="5">
        <v>8738</v>
      </c>
      <c r="H1474" s="5">
        <f ca="1">OFFSET(F1474,0,Brains!$D$1,1,1)</f>
        <v>8738</v>
      </c>
      <c r="I1474" t="s">
        <v>3284</v>
      </c>
      <c r="J1474" t="s">
        <v>1882</v>
      </c>
      <c r="K1474" t="s">
        <v>1859</v>
      </c>
      <c r="L1474" t="s">
        <v>1859</v>
      </c>
      <c r="M1474" s="7" t="s">
        <v>3941</v>
      </c>
      <c r="N1474" t="s">
        <v>1866</v>
      </c>
      <c r="O1474" s="7" t="s">
        <v>3921</v>
      </c>
      <c r="P1474" s="17" t="str">
        <f t="shared" ref="P1474:P1537" ca="1" si="46">IF(H1474&lt;15000,"0-14.9K",IF(H1474&lt;30000,"15-29.9K",IF(H1474&lt;50000,"30-49.9K",IF(H1474&lt;75000,"50-74.9K",IF(H1474&lt;100000,"75-99.9K",IF(H1474&lt;150000,"100-149.9K",IF(H1474&lt;250000,"150-249.9K","250K+")))))))</f>
        <v>0-14.9K</v>
      </c>
      <c r="Q1474" s="17">
        <v>8</v>
      </c>
      <c r="R1474">
        <v>7.3</v>
      </c>
      <c r="S1474">
        <v>5</v>
      </c>
      <c r="T1474">
        <v>2</v>
      </c>
      <c r="U1474">
        <v>7</v>
      </c>
      <c r="V1474" s="15">
        <f t="shared" ref="V1474:V1537" ca="1" si="47">IF(H1474&lt;15000,1,IF(H1474&lt;30000,2,IF(H1474&lt;50000,3,IF(H1474&lt;75000,4,IF(H1474&lt;100000,5,IF(H1474&lt;150000,6,IF(H1474&lt;250000,7,8)))))))</f>
        <v>1</v>
      </c>
    </row>
    <row r="1475" spans="1:22">
      <c r="A1475" t="s">
        <v>1148</v>
      </c>
      <c r="B1475" s="1">
        <v>41060.687604166669</v>
      </c>
      <c r="C1475" s="2">
        <v>48360</v>
      </c>
      <c r="D1475">
        <v>48360</v>
      </c>
      <c r="E1475" t="s">
        <v>1954</v>
      </c>
      <c r="F1475" s="5">
        <v>76223.981237173866</v>
      </c>
      <c r="G1475" s="5">
        <v>71750.741839762602</v>
      </c>
      <c r="H1475" s="5">
        <f ca="1">OFFSET(F1475,0,Brains!$D$1,1,1)</f>
        <v>71750.741839762602</v>
      </c>
      <c r="I1475" t="s">
        <v>1149</v>
      </c>
      <c r="J1475" t="s">
        <v>1882</v>
      </c>
      <c r="K1475" t="s">
        <v>1956</v>
      </c>
      <c r="L1475" t="s">
        <v>1956</v>
      </c>
      <c r="M1475" s="7" t="s">
        <v>3941</v>
      </c>
      <c r="N1475" t="s">
        <v>1866</v>
      </c>
      <c r="O1475" s="7" t="s">
        <v>3921</v>
      </c>
      <c r="P1475" s="17" t="str">
        <f t="shared" ca="1" si="46"/>
        <v>50-74.9K</v>
      </c>
      <c r="Q1475" s="17">
        <v>8</v>
      </c>
      <c r="R1475">
        <v>8</v>
      </c>
      <c r="S1475">
        <v>5</v>
      </c>
      <c r="T1475">
        <v>2</v>
      </c>
      <c r="U1475">
        <v>7</v>
      </c>
      <c r="V1475" s="15">
        <f t="shared" ca="1" si="47"/>
        <v>4</v>
      </c>
    </row>
    <row r="1476" spans="1:22">
      <c r="A1476" t="s">
        <v>1160</v>
      </c>
      <c r="B1476" s="1">
        <v>41060.774652777778</v>
      </c>
      <c r="C1476" s="2">
        <v>24864</v>
      </c>
      <c r="D1476">
        <v>24864</v>
      </c>
      <c r="E1476" t="s">
        <v>1856</v>
      </c>
      <c r="F1476" s="5">
        <v>24864</v>
      </c>
      <c r="G1476" s="5">
        <v>24864</v>
      </c>
      <c r="H1476" s="5">
        <f ca="1">OFFSET(F1476,0,Brains!$D$1,1,1)</f>
        <v>24864</v>
      </c>
      <c r="I1476" t="s">
        <v>1161</v>
      </c>
      <c r="J1476" t="s">
        <v>1882</v>
      </c>
      <c r="K1476" t="s">
        <v>1162</v>
      </c>
      <c r="L1476" t="s">
        <v>1162</v>
      </c>
      <c r="M1476" s="7" t="s">
        <v>3941</v>
      </c>
      <c r="N1476" t="s">
        <v>1866</v>
      </c>
      <c r="O1476" s="7" t="s">
        <v>3921</v>
      </c>
      <c r="P1476" s="17" t="str">
        <f t="shared" ca="1" si="46"/>
        <v>15-29.9K</v>
      </c>
      <c r="Q1476" s="17">
        <v>8</v>
      </c>
      <c r="R1476">
        <v>8</v>
      </c>
      <c r="S1476">
        <v>5</v>
      </c>
      <c r="T1476">
        <v>2</v>
      </c>
      <c r="U1476">
        <v>7</v>
      </c>
      <c r="V1476" s="15">
        <f t="shared" ca="1" si="47"/>
        <v>2</v>
      </c>
    </row>
    <row r="1477" spans="1:22">
      <c r="A1477" t="s">
        <v>3840</v>
      </c>
      <c r="B1477" s="1">
        <v>41056.960659722223</v>
      </c>
      <c r="C1477" s="2">
        <v>1000000</v>
      </c>
      <c r="D1477">
        <v>1000000</v>
      </c>
      <c r="E1477" t="s">
        <v>1908</v>
      </c>
      <c r="F1477" s="5">
        <v>17807.916687442568</v>
      </c>
      <c r="G1477" s="5">
        <v>49795.837068021116</v>
      </c>
      <c r="H1477" s="5">
        <f ca="1">OFFSET(F1477,0,Brains!$D$1,1,1)</f>
        <v>49795.837068021116</v>
      </c>
      <c r="I1477" t="s">
        <v>3841</v>
      </c>
      <c r="J1477" t="s">
        <v>1882</v>
      </c>
      <c r="K1477" t="s">
        <v>1859</v>
      </c>
      <c r="L1477" t="s">
        <v>1859</v>
      </c>
      <c r="M1477" s="7" t="s">
        <v>3941</v>
      </c>
      <c r="N1477" t="s">
        <v>1866</v>
      </c>
      <c r="O1477" s="7" t="s">
        <v>3921</v>
      </c>
      <c r="P1477" s="17" t="str">
        <f t="shared" ca="1" si="46"/>
        <v>30-49.9K</v>
      </c>
      <c r="Q1477" s="17">
        <v>8</v>
      </c>
      <c r="R1477">
        <v>8</v>
      </c>
      <c r="S1477">
        <v>5</v>
      </c>
      <c r="T1477">
        <v>2</v>
      </c>
      <c r="U1477">
        <v>7</v>
      </c>
      <c r="V1477" s="15">
        <f t="shared" ca="1" si="47"/>
        <v>3</v>
      </c>
    </row>
    <row r="1478" spans="1:22">
      <c r="A1478" t="s">
        <v>58</v>
      </c>
      <c r="B1478" s="1">
        <v>41057.435937499999</v>
      </c>
      <c r="C1478" s="2" t="s">
        <v>59</v>
      </c>
      <c r="D1478">
        <v>1000000</v>
      </c>
      <c r="E1478" t="s">
        <v>1908</v>
      </c>
      <c r="F1478" s="5">
        <v>17807.916687442568</v>
      </c>
      <c r="G1478" s="5">
        <v>49795.837068021116</v>
      </c>
      <c r="H1478" s="5">
        <f ca="1">OFFSET(F1478,0,Brains!$D$1,1,1)</f>
        <v>49795.837068021116</v>
      </c>
      <c r="I1478" t="s">
        <v>60</v>
      </c>
      <c r="J1478" t="s">
        <v>1882</v>
      </c>
      <c r="K1478" t="s">
        <v>1859</v>
      </c>
      <c r="L1478" t="s">
        <v>1859</v>
      </c>
      <c r="M1478" s="7" t="s">
        <v>3941</v>
      </c>
      <c r="N1478" t="s">
        <v>1866</v>
      </c>
      <c r="O1478" s="7" t="s">
        <v>3921</v>
      </c>
      <c r="P1478" s="17" t="str">
        <f t="shared" ca="1" si="46"/>
        <v>30-49.9K</v>
      </c>
      <c r="Q1478" s="17">
        <v>8</v>
      </c>
      <c r="R1478">
        <v>8</v>
      </c>
      <c r="S1478">
        <v>5</v>
      </c>
      <c r="T1478">
        <v>2</v>
      </c>
      <c r="U1478">
        <v>7</v>
      </c>
      <c r="V1478" s="15">
        <f t="shared" ca="1" si="47"/>
        <v>3</v>
      </c>
    </row>
    <row r="1479" spans="1:22">
      <c r="A1479" t="s">
        <v>1638</v>
      </c>
      <c r="B1479" s="1">
        <v>41072.841249999998</v>
      </c>
      <c r="C1479" s="2">
        <v>8900</v>
      </c>
      <c r="D1479">
        <v>1281600</v>
      </c>
      <c r="E1479" t="s">
        <v>1895</v>
      </c>
      <c r="F1479" s="5">
        <v>13603.016099449767</v>
      </c>
      <c r="G1479" s="5">
        <v>31347.993053347356</v>
      </c>
      <c r="H1479" s="5">
        <f ca="1">OFFSET(F1479,0,Brains!$D$1,1,1)</f>
        <v>31347.993053347356</v>
      </c>
      <c r="I1479" t="s">
        <v>1639</v>
      </c>
      <c r="J1479" t="s">
        <v>1882</v>
      </c>
      <c r="K1479" t="s">
        <v>662</v>
      </c>
      <c r="L1479" t="s">
        <v>1872</v>
      </c>
      <c r="M1479" s="7" t="s">
        <v>3941</v>
      </c>
      <c r="N1479" t="s">
        <v>1866</v>
      </c>
      <c r="O1479" s="7" t="s">
        <v>3921</v>
      </c>
      <c r="P1479" s="17" t="str">
        <f t="shared" ca="1" si="46"/>
        <v>30-49.9K</v>
      </c>
      <c r="Q1479" s="17">
        <v>8</v>
      </c>
      <c r="R1479">
        <v>8</v>
      </c>
      <c r="S1479">
        <v>5</v>
      </c>
      <c r="T1479">
        <v>2</v>
      </c>
      <c r="U1479">
        <v>7</v>
      </c>
      <c r="V1479" s="15">
        <f t="shared" ca="1" si="47"/>
        <v>3</v>
      </c>
    </row>
    <row r="1480" spans="1:22">
      <c r="A1480" t="s">
        <v>1726</v>
      </c>
      <c r="B1480" s="1">
        <v>41075.833634259259</v>
      </c>
      <c r="C1480" s="2">
        <v>11000</v>
      </c>
      <c r="D1480">
        <v>11000</v>
      </c>
      <c r="E1480" t="s">
        <v>1856</v>
      </c>
      <c r="F1480" s="5">
        <v>11000</v>
      </c>
      <c r="G1480" s="5">
        <v>11000</v>
      </c>
      <c r="H1480" s="5">
        <f ca="1">OFFSET(F1480,0,Brains!$D$1,1,1)</f>
        <v>11000</v>
      </c>
      <c r="I1480" t="s">
        <v>1682</v>
      </c>
      <c r="J1480" t="s">
        <v>1882</v>
      </c>
      <c r="K1480" t="s">
        <v>1859</v>
      </c>
      <c r="L1480" t="s">
        <v>1859</v>
      </c>
      <c r="M1480" s="7" t="s">
        <v>3941</v>
      </c>
      <c r="N1480" t="s">
        <v>1866</v>
      </c>
      <c r="O1480" s="7" t="s">
        <v>3921</v>
      </c>
      <c r="P1480" s="17" t="str">
        <f t="shared" ca="1" si="46"/>
        <v>0-14.9K</v>
      </c>
      <c r="Q1480" s="17">
        <v>8</v>
      </c>
      <c r="R1480">
        <v>8</v>
      </c>
      <c r="S1480">
        <v>5</v>
      </c>
      <c r="T1480">
        <v>2</v>
      </c>
      <c r="U1480">
        <v>7</v>
      </c>
      <c r="V1480" s="15">
        <f t="shared" ca="1" si="47"/>
        <v>1</v>
      </c>
    </row>
    <row r="1481" spans="1:22">
      <c r="A1481" t="s">
        <v>3271</v>
      </c>
      <c r="B1481" s="1">
        <v>41055.53224537037</v>
      </c>
      <c r="C1481" s="2">
        <v>5800</v>
      </c>
      <c r="D1481">
        <v>5800</v>
      </c>
      <c r="E1481" t="s">
        <v>1856</v>
      </c>
      <c r="F1481" s="5">
        <v>5800</v>
      </c>
      <c r="G1481" s="5">
        <v>5800</v>
      </c>
      <c r="H1481" s="5">
        <f ca="1">OFFSET(F1481,0,Brains!$D$1,1,1)</f>
        <v>5800</v>
      </c>
      <c r="I1481" t="s">
        <v>3272</v>
      </c>
      <c r="J1481" t="s">
        <v>1882</v>
      </c>
      <c r="K1481" t="s">
        <v>1859</v>
      </c>
      <c r="L1481" t="s">
        <v>1859</v>
      </c>
      <c r="M1481" s="7" t="s">
        <v>3941</v>
      </c>
      <c r="N1481" t="s">
        <v>1866</v>
      </c>
      <c r="O1481" s="7" t="s">
        <v>3921</v>
      </c>
      <c r="P1481" s="17" t="str">
        <f t="shared" ca="1" si="46"/>
        <v>0-14.9K</v>
      </c>
      <c r="Q1481" s="17">
        <v>8</v>
      </c>
      <c r="R1481">
        <v>8</v>
      </c>
      <c r="S1481">
        <v>5</v>
      </c>
      <c r="T1481">
        <v>2</v>
      </c>
      <c r="U1481">
        <v>7</v>
      </c>
      <c r="V1481" s="15">
        <f t="shared" ca="1" si="47"/>
        <v>1</v>
      </c>
    </row>
    <row r="1482" spans="1:22">
      <c r="A1482" t="s">
        <v>3244</v>
      </c>
      <c r="B1482" s="1">
        <v>41055.513807870368</v>
      </c>
      <c r="C1482" s="2">
        <v>4000</v>
      </c>
      <c r="D1482">
        <v>4000</v>
      </c>
      <c r="E1482" t="s">
        <v>1856</v>
      </c>
      <c r="F1482" s="5">
        <v>4000</v>
      </c>
      <c r="G1482" s="5">
        <v>4000</v>
      </c>
      <c r="H1482" s="5">
        <f ca="1">OFFSET(F1482,0,Brains!$D$1,1,1)</f>
        <v>4000</v>
      </c>
      <c r="I1482" t="s">
        <v>3245</v>
      </c>
      <c r="J1482" t="s">
        <v>1882</v>
      </c>
      <c r="K1482" t="s">
        <v>1859</v>
      </c>
      <c r="L1482" t="s">
        <v>1859</v>
      </c>
      <c r="M1482" s="7" t="s">
        <v>3941</v>
      </c>
      <c r="N1482" t="s">
        <v>1866</v>
      </c>
      <c r="O1482" s="7" t="s">
        <v>3921</v>
      </c>
      <c r="P1482" s="17" t="str">
        <f t="shared" ca="1" si="46"/>
        <v>0-14.9K</v>
      </c>
      <c r="Q1482" s="17">
        <v>8</v>
      </c>
      <c r="R1482">
        <v>8</v>
      </c>
      <c r="S1482">
        <v>5</v>
      </c>
      <c r="T1482">
        <v>2</v>
      </c>
      <c r="U1482">
        <v>7</v>
      </c>
      <c r="V1482" s="15">
        <f t="shared" ca="1" si="47"/>
        <v>1</v>
      </c>
    </row>
    <row r="1483" spans="1:22">
      <c r="A1483" t="s">
        <v>149</v>
      </c>
      <c r="B1483" s="1">
        <v>41057.571238425924</v>
      </c>
      <c r="C1483" s="2" t="s">
        <v>150</v>
      </c>
      <c r="D1483">
        <v>200000</v>
      </c>
      <c r="E1483" t="s">
        <v>1908</v>
      </c>
      <c r="F1483" s="5">
        <v>3561.5833374885137</v>
      </c>
      <c r="G1483" s="5">
        <v>9959.167413604222</v>
      </c>
      <c r="H1483" s="5">
        <f ca="1">OFFSET(F1483,0,Brains!$D$1,1,1)</f>
        <v>9959.167413604222</v>
      </c>
      <c r="I1483" t="s">
        <v>151</v>
      </c>
      <c r="J1483" t="s">
        <v>1882</v>
      </c>
      <c r="K1483" t="s">
        <v>1859</v>
      </c>
      <c r="L1483" t="s">
        <v>1859</v>
      </c>
      <c r="M1483" s="7" t="s">
        <v>3941</v>
      </c>
      <c r="N1483" t="s">
        <v>1866</v>
      </c>
      <c r="O1483" s="7" t="s">
        <v>3921</v>
      </c>
      <c r="P1483" s="17" t="str">
        <f t="shared" ca="1" si="46"/>
        <v>0-14.9K</v>
      </c>
      <c r="Q1483" s="17">
        <v>8</v>
      </c>
      <c r="R1483">
        <v>8</v>
      </c>
      <c r="S1483">
        <v>5</v>
      </c>
      <c r="T1483">
        <v>2</v>
      </c>
      <c r="U1483">
        <v>7</v>
      </c>
      <c r="V1483" s="15">
        <f t="shared" ca="1" si="47"/>
        <v>1</v>
      </c>
    </row>
    <row r="1484" spans="1:22">
      <c r="A1484" t="s">
        <v>197</v>
      </c>
      <c r="B1484" s="1">
        <v>41057.620648148149</v>
      </c>
      <c r="C1484" s="2" t="s">
        <v>198</v>
      </c>
      <c r="D1484">
        <v>1600000</v>
      </c>
      <c r="E1484" t="s">
        <v>1908</v>
      </c>
      <c r="F1484" s="5">
        <v>28492.66669990811</v>
      </c>
      <c r="G1484" s="5">
        <v>79673.339308833776</v>
      </c>
      <c r="H1484" s="5">
        <f ca="1">OFFSET(F1484,0,Brains!$D$1,1,1)</f>
        <v>79673.339308833776</v>
      </c>
      <c r="I1484" t="s">
        <v>199</v>
      </c>
      <c r="J1484" t="s">
        <v>1882</v>
      </c>
      <c r="K1484" t="s">
        <v>1859</v>
      </c>
      <c r="L1484" t="s">
        <v>1859</v>
      </c>
      <c r="M1484" s="7" t="s">
        <v>3941</v>
      </c>
      <c r="N1484" t="s">
        <v>1866</v>
      </c>
      <c r="O1484" s="7" t="s">
        <v>3921</v>
      </c>
      <c r="P1484" s="17" t="str">
        <f t="shared" ca="1" si="46"/>
        <v>75-99.9K</v>
      </c>
      <c r="Q1484" s="17">
        <v>8</v>
      </c>
      <c r="R1484">
        <v>9</v>
      </c>
      <c r="S1484">
        <v>5</v>
      </c>
      <c r="T1484">
        <v>2</v>
      </c>
      <c r="U1484">
        <v>7</v>
      </c>
      <c r="V1484" s="15">
        <f t="shared" ca="1" si="47"/>
        <v>5</v>
      </c>
    </row>
    <row r="1485" spans="1:22">
      <c r="A1485" t="s">
        <v>1578</v>
      </c>
      <c r="B1485" s="1">
        <v>41070.624062499999</v>
      </c>
      <c r="C1485" s="2">
        <v>1300000</v>
      </c>
      <c r="D1485">
        <v>1300000</v>
      </c>
      <c r="E1485" t="s">
        <v>1908</v>
      </c>
      <c r="F1485" s="5">
        <v>23150.291693675339</v>
      </c>
      <c r="G1485" s="5">
        <v>64734.588188427442</v>
      </c>
      <c r="H1485" s="5">
        <f ca="1">OFFSET(F1485,0,Brains!$D$1,1,1)</f>
        <v>64734.588188427442</v>
      </c>
      <c r="I1485" t="s">
        <v>1882</v>
      </c>
      <c r="J1485" t="s">
        <v>1882</v>
      </c>
      <c r="K1485" t="s">
        <v>1859</v>
      </c>
      <c r="L1485" t="s">
        <v>1859</v>
      </c>
      <c r="M1485" s="7" t="s">
        <v>3941</v>
      </c>
      <c r="N1485" t="s">
        <v>1866</v>
      </c>
      <c r="O1485" s="7" t="s">
        <v>3921</v>
      </c>
      <c r="P1485" s="17" t="str">
        <f t="shared" ca="1" si="46"/>
        <v>50-74.9K</v>
      </c>
      <c r="Q1485" s="17">
        <v>8</v>
      </c>
      <c r="R1485">
        <v>9</v>
      </c>
      <c r="S1485">
        <v>5</v>
      </c>
      <c r="T1485">
        <v>2</v>
      </c>
      <c r="U1485">
        <v>7</v>
      </c>
      <c r="V1485" s="15">
        <f t="shared" ca="1" si="47"/>
        <v>4</v>
      </c>
    </row>
    <row r="1486" spans="1:22">
      <c r="A1486" t="s">
        <v>3785</v>
      </c>
      <c r="B1486" s="1">
        <v>41056.656157407408</v>
      </c>
      <c r="C1486" s="2" t="s">
        <v>3786</v>
      </c>
      <c r="D1486">
        <v>600000</v>
      </c>
      <c r="E1486" t="s">
        <v>1908</v>
      </c>
      <c r="F1486" s="5">
        <v>10684.750012465542</v>
      </c>
      <c r="G1486" s="5">
        <v>29877.502240812668</v>
      </c>
      <c r="H1486" s="5">
        <f ca="1">OFFSET(F1486,0,Brains!$D$1,1,1)</f>
        <v>29877.502240812668</v>
      </c>
      <c r="I1486" t="s">
        <v>1882</v>
      </c>
      <c r="J1486" t="s">
        <v>1882</v>
      </c>
      <c r="K1486" t="s">
        <v>1859</v>
      </c>
      <c r="L1486" t="s">
        <v>1859</v>
      </c>
      <c r="M1486" s="7" t="s">
        <v>3941</v>
      </c>
      <c r="N1486" t="s">
        <v>1866</v>
      </c>
      <c r="O1486" s="7" t="s">
        <v>3921</v>
      </c>
      <c r="P1486" s="17" t="str">
        <f t="shared" ca="1" si="46"/>
        <v>15-29.9K</v>
      </c>
      <c r="Q1486" s="17">
        <v>8</v>
      </c>
      <c r="R1486">
        <v>9</v>
      </c>
      <c r="S1486">
        <v>5</v>
      </c>
      <c r="T1486">
        <v>2</v>
      </c>
      <c r="U1486">
        <v>7</v>
      </c>
      <c r="V1486" s="15">
        <f t="shared" ca="1" si="47"/>
        <v>2</v>
      </c>
    </row>
    <row r="1487" spans="1:22">
      <c r="A1487" t="s">
        <v>1330</v>
      </c>
      <c r="B1487" s="1">
        <v>41063.424108796295</v>
      </c>
      <c r="C1487" s="2">
        <v>6545</v>
      </c>
      <c r="D1487">
        <v>6545</v>
      </c>
      <c r="E1487" t="s">
        <v>1856</v>
      </c>
      <c r="F1487" s="5">
        <v>6545</v>
      </c>
      <c r="G1487" s="5">
        <v>6545</v>
      </c>
      <c r="H1487" s="5">
        <f ca="1">OFFSET(F1487,0,Brains!$D$1,1,1)</f>
        <v>6545</v>
      </c>
      <c r="I1487" t="s">
        <v>3143</v>
      </c>
      <c r="J1487" t="s">
        <v>1882</v>
      </c>
      <c r="K1487" t="s">
        <v>1859</v>
      </c>
      <c r="L1487" t="s">
        <v>1859</v>
      </c>
      <c r="M1487" s="7" t="s">
        <v>3941</v>
      </c>
      <c r="N1487" t="s">
        <v>1866</v>
      </c>
      <c r="O1487" s="7" t="s">
        <v>3921</v>
      </c>
      <c r="P1487" s="17" t="str">
        <f t="shared" ca="1" si="46"/>
        <v>0-14.9K</v>
      </c>
      <c r="Q1487" s="17">
        <v>8</v>
      </c>
      <c r="R1487">
        <v>9</v>
      </c>
      <c r="S1487">
        <v>5</v>
      </c>
      <c r="T1487">
        <v>2</v>
      </c>
      <c r="U1487">
        <v>7</v>
      </c>
      <c r="V1487" s="15">
        <f t="shared" ca="1" si="47"/>
        <v>1</v>
      </c>
    </row>
    <row r="1488" spans="1:22">
      <c r="A1488" t="s">
        <v>633</v>
      </c>
      <c r="B1488" s="1">
        <v>41058.458703703705</v>
      </c>
      <c r="C1488" s="2">
        <v>85000</v>
      </c>
      <c r="D1488">
        <v>85000</v>
      </c>
      <c r="E1488" t="s">
        <v>1856</v>
      </c>
      <c r="F1488" s="5">
        <v>85000</v>
      </c>
      <c r="G1488" s="5">
        <v>85000</v>
      </c>
      <c r="H1488" s="5">
        <f ca="1">OFFSET(F1488,0,Brains!$D$1,1,1)</f>
        <v>85000</v>
      </c>
      <c r="I1488" t="s">
        <v>634</v>
      </c>
      <c r="J1488" t="s">
        <v>1882</v>
      </c>
      <c r="K1488" t="s">
        <v>635</v>
      </c>
      <c r="L1488" t="s">
        <v>3169</v>
      </c>
      <c r="M1488" s="7" t="s">
        <v>3941</v>
      </c>
      <c r="N1488" t="s">
        <v>1866</v>
      </c>
      <c r="O1488" s="7" t="s">
        <v>3921</v>
      </c>
      <c r="P1488" s="17" t="str">
        <f t="shared" ca="1" si="46"/>
        <v>75-99.9K</v>
      </c>
      <c r="Q1488" s="17">
        <v>8</v>
      </c>
      <c r="R1488">
        <v>10</v>
      </c>
      <c r="S1488">
        <v>5</v>
      </c>
      <c r="T1488">
        <v>2</v>
      </c>
      <c r="U1488">
        <v>7</v>
      </c>
      <c r="V1488" s="15">
        <f t="shared" ca="1" si="47"/>
        <v>5</v>
      </c>
    </row>
    <row r="1489" spans="1:22">
      <c r="A1489" t="s">
        <v>323</v>
      </c>
      <c r="B1489" s="1">
        <v>41057.771423611113</v>
      </c>
      <c r="C1489" s="2" t="s">
        <v>324</v>
      </c>
      <c r="D1489">
        <v>2400000</v>
      </c>
      <c r="E1489" t="s">
        <v>1908</v>
      </c>
      <c r="F1489" s="5">
        <v>42739.000049862167</v>
      </c>
      <c r="G1489" s="5">
        <v>119510.00896325067</v>
      </c>
      <c r="H1489" s="5">
        <f ca="1">OFFSET(F1489,0,Brains!$D$1,1,1)</f>
        <v>119510.00896325067</v>
      </c>
      <c r="I1489" t="s">
        <v>325</v>
      </c>
      <c r="J1489" t="s">
        <v>1882</v>
      </c>
      <c r="K1489" t="s">
        <v>1859</v>
      </c>
      <c r="L1489" t="s">
        <v>1859</v>
      </c>
      <c r="M1489" s="7" t="s">
        <v>3941</v>
      </c>
      <c r="N1489" t="s">
        <v>1866</v>
      </c>
      <c r="O1489" s="7" t="s">
        <v>3921</v>
      </c>
      <c r="P1489" s="17" t="str">
        <f t="shared" ca="1" si="46"/>
        <v>100-149.9K</v>
      </c>
      <c r="Q1489" s="17">
        <v>8</v>
      </c>
      <c r="R1489">
        <v>10</v>
      </c>
      <c r="S1489">
        <v>5</v>
      </c>
      <c r="T1489">
        <v>2</v>
      </c>
      <c r="U1489">
        <v>7</v>
      </c>
      <c r="V1489" s="15">
        <f t="shared" ca="1" si="47"/>
        <v>6</v>
      </c>
    </row>
    <row r="1490" spans="1:22">
      <c r="A1490" t="s">
        <v>3685</v>
      </c>
      <c r="B1490" s="1">
        <v>41056.17046296296</v>
      </c>
      <c r="C1490" s="2">
        <v>35000</v>
      </c>
      <c r="D1490">
        <v>35000</v>
      </c>
      <c r="E1490" t="s">
        <v>1856</v>
      </c>
      <c r="F1490" s="5">
        <v>35000</v>
      </c>
      <c r="G1490" s="5">
        <v>35000</v>
      </c>
      <c r="H1490" s="5">
        <f ca="1">OFFSET(F1490,0,Brains!$D$1,1,1)</f>
        <v>35000</v>
      </c>
      <c r="I1490" t="s">
        <v>3156</v>
      </c>
      <c r="J1490" t="s">
        <v>1882</v>
      </c>
      <c r="K1490" t="s">
        <v>3686</v>
      </c>
      <c r="L1490" t="s">
        <v>3686</v>
      </c>
      <c r="M1490" s="7" t="s">
        <v>3941</v>
      </c>
      <c r="N1490" t="s">
        <v>1866</v>
      </c>
      <c r="O1490" s="7" t="s">
        <v>3921</v>
      </c>
      <c r="P1490" s="17" t="str">
        <f t="shared" ca="1" si="46"/>
        <v>30-49.9K</v>
      </c>
      <c r="Q1490" s="17">
        <v>8</v>
      </c>
      <c r="R1490">
        <v>10</v>
      </c>
      <c r="S1490">
        <v>5</v>
      </c>
      <c r="T1490">
        <v>2</v>
      </c>
      <c r="U1490">
        <v>7</v>
      </c>
      <c r="V1490" s="15">
        <f t="shared" ca="1" si="47"/>
        <v>3</v>
      </c>
    </row>
    <row r="1491" spans="1:22">
      <c r="A1491" t="s">
        <v>1723</v>
      </c>
      <c r="B1491" s="1">
        <v>41075.733449074076</v>
      </c>
      <c r="C1491" s="2" t="s">
        <v>2562</v>
      </c>
      <c r="D1491">
        <v>1000000</v>
      </c>
      <c r="E1491" t="s">
        <v>1908</v>
      </c>
      <c r="F1491" s="5">
        <v>17807.916687442568</v>
      </c>
      <c r="G1491" s="5">
        <v>49795.837068021116</v>
      </c>
      <c r="H1491" s="5">
        <f ca="1">OFFSET(F1491,0,Brains!$D$1,1,1)</f>
        <v>49795.837068021116</v>
      </c>
      <c r="I1491" t="s">
        <v>1724</v>
      </c>
      <c r="J1491" t="s">
        <v>1882</v>
      </c>
      <c r="K1491" t="s">
        <v>1859</v>
      </c>
      <c r="L1491" t="s">
        <v>1859</v>
      </c>
      <c r="M1491" s="7" t="s">
        <v>3941</v>
      </c>
      <c r="N1491" t="s">
        <v>1866</v>
      </c>
      <c r="O1491" s="7" t="s">
        <v>3921</v>
      </c>
      <c r="P1491" s="17" t="str">
        <f t="shared" ca="1" si="46"/>
        <v>30-49.9K</v>
      </c>
      <c r="Q1491" s="17">
        <v>8</v>
      </c>
      <c r="R1491">
        <v>10</v>
      </c>
      <c r="S1491">
        <v>5</v>
      </c>
      <c r="T1491">
        <v>2</v>
      </c>
      <c r="U1491">
        <v>7</v>
      </c>
      <c r="V1491" s="15">
        <f t="shared" ca="1" si="47"/>
        <v>3</v>
      </c>
    </row>
    <row r="1492" spans="1:22">
      <c r="A1492" t="s">
        <v>3376</v>
      </c>
      <c r="B1492" s="1">
        <v>41055.608194444445</v>
      </c>
      <c r="C1492" s="2" t="s">
        <v>3377</v>
      </c>
      <c r="D1492">
        <v>720000</v>
      </c>
      <c r="E1492" t="s">
        <v>1908</v>
      </c>
      <c r="F1492" s="5">
        <v>12821.700014958649</v>
      </c>
      <c r="G1492" s="5">
        <v>35853.002688975197</v>
      </c>
      <c r="H1492" s="5">
        <f ca="1">OFFSET(F1492,0,Brains!$D$1,1,1)</f>
        <v>35853.002688975197</v>
      </c>
      <c r="I1492" t="s">
        <v>3378</v>
      </c>
      <c r="J1492" t="s">
        <v>1882</v>
      </c>
      <c r="K1492" t="s">
        <v>1859</v>
      </c>
      <c r="L1492" t="s">
        <v>1859</v>
      </c>
      <c r="M1492" s="7" t="s">
        <v>3941</v>
      </c>
      <c r="N1492" t="s">
        <v>1866</v>
      </c>
      <c r="O1492" s="7" t="s">
        <v>3921</v>
      </c>
      <c r="P1492" s="17" t="str">
        <f t="shared" ca="1" si="46"/>
        <v>30-49.9K</v>
      </c>
      <c r="Q1492" s="17">
        <v>8</v>
      </c>
      <c r="R1492">
        <v>10</v>
      </c>
      <c r="S1492">
        <v>5</v>
      </c>
      <c r="T1492">
        <v>2</v>
      </c>
      <c r="U1492">
        <v>7</v>
      </c>
      <c r="V1492" s="15">
        <f t="shared" ca="1" si="47"/>
        <v>3</v>
      </c>
    </row>
    <row r="1493" spans="1:22">
      <c r="A1493" t="s">
        <v>674</v>
      </c>
      <c r="B1493" s="1">
        <v>41058.579155092593</v>
      </c>
      <c r="C1493" s="2">
        <v>80000</v>
      </c>
      <c r="D1493">
        <v>80000</v>
      </c>
      <c r="E1493" t="s">
        <v>1856</v>
      </c>
      <c r="F1493" s="5">
        <v>80000</v>
      </c>
      <c r="G1493" s="5">
        <v>80000</v>
      </c>
      <c r="H1493" s="5">
        <f ca="1">OFFSET(F1493,0,Brains!$D$1,1,1)</f>
        <v>80000</v>
      </c>
      <c r="I1493" t="s">
        <v>1882</v>
      </c>
      <c r="J1493" t="s">
        <v>1882</v>
      </c>
      <c r="K1493" t="s">
        <v>1869</v>
      </c>
      <c r="L1493" t="s">
        <v>1869</v>
      </c>
      <c r="M1493" s="11" t="s">
        <v>3916</v>
      </c>
      <c r="N1493" t="s">
        <v>1884</v>
      </c>
      <c r="O1493" s="7" t="s">
        <v>3921</v>
      </c>
      <c r="P1493" s="17" t="str">
        <f t="shared" ca="1" si="46"/>
        <v>75-99.9K</v>
      </c>
      <c r="Q1493" s="17">
        <v>1.5</v>
      </c>
      <c r="R1493">
        <v>6</v>
      </c>
      <c r="S1493">
        <v>2</v>
      </c>
      <c r="T1493">
        <v>2</v>
      </c>
      <c r="U1493">
        <v>7</v>
      </c>
      <c r="V1493" s="15">
        <f t="shared" ca="1" si="47"/>
        <v>5</v>
      </c>
    </row>
    <row r="1494" spans="1:22">
      <c r="A1494" t="s">
        <v>401</v>
      </c>
      <c r="B1494" s="1">
        <v>41057.945150462961</v>
      </c>
      <c r="C1494" s="2" t="s">
        <v>402</v>
      </c>
      <c r="D1494">
        <v>54000</v>
      </c>
      <c r="E1494" t="s">
        <v>3605</v>
      </c>
      <c r="F1494" s="5">
        <v>26691.183012544854</v>
      </c>
      <c r="G1494" s="5">
        <v>28723.404255319147</v>
      </c>
      <c r="H1494" s="5">
        <f ca="1">OFFSET(F1494,0,Brains!$D$1,1,1)</f>
        <v>28723.404255319147</v>
      </c>
      <c r="I1494" t="s">
        <v>403</v>
      </c>
      <c r="J1494" t="s">
        <v>1882</v>
      </c>
      <c r="K1494" t="s">
        <v>2081</v>
      </c>
      <c r="L1494" t="s">
        <v>2081</v>
      </c>
      <c r="M1494" s="11" t="s">
        <v>3916</v>
      </c>
      <c r="N1494" t="s">
        <v>1884</v>
      </c>
      <c r="O1494" s="7" t="s">
        <v>3921</v>
      </c>
      <c r="P1494" s="17" t="str">
        <f t="shared" ca="1" si="46"/>
        <v>15-29.9K</v>
      </c>
      <c r="Q1494" s="17">
        <v>1.5</v>
      </c>
      <c r="R1494">
        <v>7</v>
      </c>
      <c r="S1494">
        <v>2</v>
      </c>
      <c r="T1494">
        <v>2</v>
      </c>
      <c r="U1494">
        <v>7</v>
      </c>
      <c r="V1494" s="15">
        <f t="shared" ca="1" si="47"/>
        <v>2</v>
      </c>
    </row>
    <row r="1495" spans="1:22">
      <c r="A1495" t="s">
        <v>756</v>
      </c>
      <c r="B1495" s="1">
        <v>41058.720671296294</v>
      </c>
      <c r="C1495" s="2" t="s">
        <v>757</v>
      </c>
      <c r="D1495">
        <v>600000</v>
      </c>
      <c r="E1495" t="s">
        <v>1908</v>
      </c>
      <c r="F1495" s="5">
        <v>10684.750012465542</v>
      </c>
      <c r="G1495" s="5">
        <v>29877.502240812668</v>
      </c>
      <c r="H1495" s="5">
        <f ca="1">OFFSET(F1495,0,Brains!$D$1,1,1)</f>
        <v>29877.502240812668</v>
      </c>
      <c r="I1495" t="s">
        <v>3743</v>
      </c>
      <c r="J1495" t="s">
        <v>1882</v>
      </c>
      <c r="K1495" t="s">
        <v>1859</v>
      </c>
      <c r="L1495" t="s">
        <v>1859</v>
      </c>
      <c r="M1495" s="11" t="s">
        <v>3916</v>
      </c>
      <c r="N1495" t="s">
        <v>1884</v>
      </c>
      <c r="O1495" s="7" t="s">
        <v>3921</v>
      </c>
      <c r="P1495" s="17" t="str">
        <f t="shared" ca="1" si="46"/>
        <v>15-29.9K</v>
      </c>
      <c r="Q1495" s="17">
        <v>1.5</v>
      </c>
      <c r="R1495">
        <v>7</v>
      </c>
      <c r="S1495">
        <v>2</v>
      </c>
      <c r="T1495">
        <v>2</v>
      </c>
      <c r="U1495">
        <v>7</v>
      </c>
      <c r="V1495" s="15">
        <f t="shared" ca="1" si="47"/>
        <v>2</v>
      </c>
    </row>
    <row r="1496" spans="1:22">
      <c r="A1496" t="s">
        <v>1793</v>
      </c>
      <c r="B1496" s="1">
        <v>41079.332638888889</v>
      </c>
      <c r="C1496" s="2">
        <v>120000</v>
      </c>
      <c r="D1496">
        <v>120000</v>
      </c>
      <c r="E1496" t="s">
        <v>1973</v>
      </c>
      <c r="F1496" s="5">
        <v>122389.15876831629</v>
      </c>
      <c r="G1496" s="5">
        <v>76335.877862595429</v>
      </c>
      <c r="H1496" s="5">
        <f ca="1">OFFSET(F1496,0,Brains!$D$1,1,1)</f>
        <v>76335.877862595429</v>
      </c>
      <c r="I1496" t="s">
        <v>1882</v>
      </c>
      <c r="J1496" t="s">
        <v>1882</v>
      </c>
      <c r="K1496" t="s">
        <v>1975</v>
      </c>
      <c r="L1496" t="s">
        <v>1975</v>
      </c>
      <c r="M1496" s="11" t="s">
        <v>3916</v>
      </c>
      <c r="N1496" t="s">
        <v>1884</v>
      </c>
      <c r="O1496" s="7" t="s">
        <v>3921</v>
      </c>
      <c r="P1496" s="17" t="str">
        <f t="shared" ca="1" si="46"/>
        <v>75-99.9K</v>
      </c>
      <c r="Q1496" s="17">
        <v>1.5</v>
      </c>
      <c r="R1496">
        <v>8</v>
      </c>
      <c r="S1496">
        <v>2</v>
      </c>
      <c r="T1496">
        <v>2</v>
      </c>
      <c r="U1496">
        <v>7</v>
      </c>
      <c r="V1496" s="15">
        <f t="shared" ca="1" si="47"/>
        <v>5</v>
      </c>
    </row>
    <row r="1497" spans="1:22">
      <c r="A1497" t="s">
        <v>884</v>
      </c>
      <c r="B1497" s="1">
        <v>41058.962500000001</v>
      </c>
      <c r="C1497" s="2">
        <v>40000</v>
      </c>
      <c r="D1497">
        <v>40000</v>
      </c>
      <c r="E1497" t="s">
        <v>1856</v>
      </c>
      <c r="F1497" s="5">
        <v>40000</v>
      </c>
      <c r="G1497" s="5">
        <v>40000</v>
      </c>
      <c r="H1497" s="5">
        <f ca="1">OFFSET(F1497,0,Brains!$D$1,1,1)</f>
        <v>40000</v>
      </c>
      <c r="I1497" t="s">
        <v>885</v>
      </c>
      <c r="J1497" t="s">
        <v>1882</v>
      </c>
      <c r="K1497" t="s">
        <v>1869</v>
      </c>
      <c r="L1497" t="s">
        <v>1869</v>
      </c>
      <c r="M1497" s="11" t="s">
        <v>3916</v>
      </c>
      <c r="N1497" t="s">
        <v>1884</v>
      </c>
      <c r="O1497" s="7" t="s">
        <v>3921</v>
      </c>
      <c r="P1497" s="17" t="str">
        <f t="shared" ca="1" si="46"/>
        <v>30-49.9K</v>
      </c>
      <c r="Q1497" s="17">
        <v>1.5</v>
      </c>
      <c r="R1497">
        <v>8</v>
      </c>
      <c r="S1497">
        <v>2</v>
      </c>
      <c r="T1497">
        <v>2</v>
      </c>
      <c r="U1497">
        <v>7</v>
      </c>
      <c r="V1497" s="15">
        <f t="shared" ca="1" si="47"/>
        <v>3</v>
      </c>
    </row>
    <row r="1498" spans="1:22">
      <c r="A1498" t="s">
        <v>926</v>
      </c>
      <c r="B1498" s="1">
        <v>41059.075208333335</v>
      </c>
      <c r="C1498" s="2">
        <v>75000</v>
      </c>
      <c r="D1498">
        <v>75000</v>
      </c>
      <c r="E1498" t="s">
        <v>1856</v>
      </c>
      <c r="F1498" s="5">
        <v>75000</v>
      </c>
      <c r="G1498" s="5">
        <v>75000</v>
      </c>
      <c r="H1498" s="5">
        <f ca="1">OFFSET(F1498,0,Brains!$D$1,1,1)</f>
        <v>75000</v>
      </c>
      <c r="I1498" t="s">
        <v>927</v>
      </c>
      <c r="J1498" t="s">
        <v>1882</v>
      </c>
      <c r="K1498" t="s">
        <v>1869</v>
      </c>
      <c r="L1498" t="s">
        <v>1869</v>
      </c>
      <c r="M1498" s="11" t="s">
        <v>3916</v>
      </c>
      <c r="N1498" t="s">
        <v>1884</v>
      </c>
      <c r="O1498" s="7" t="s">
        <v>3921</v>
      </c>
      <c r="P1498" s="17" t="str">
        <f t="shared" ca="1" si="46"/>
        <v>75-99.9K</v>
      </c>
      <c r="Q1498" s="17">
        <v>1.5</v>
      </c>
      <c r="R1498">
        <v>9</v>
      </c>
      <c r="S1498">
        <v>2</v>
      </c>
      <c r="T1498">
        <v>2</v>
      </c>
      <c r="U1498">
        <v>7</v>
      </c>
      <c r="V1498" s="15">
        <f t="shared" ca="1" si="47"/>
        <v>5</v>
      </c>
    </row>
    <row r="1499" spans="1:22">
      <c r="A1499" t="s">
        <v>3644</v>
      </c>
      <c r="B1499" s="1">
        <v>41055.999224537038</v>
      </c>
      <c r="C1499" s="2" t="s">
        <v>3645</v>
      </c>
      <c r="D1499">
        <v>900000</v>
      </c>
      <c r="E1499" t="s">
        <v>1908</v>
      </c>
      <c r="F1499" s="5">
        <v>16027.125018698311</v>
      </c>
      <c r="G1499" s="5">
        <v>44816.253361219002</v>
      </c>
      <c r="H1499" s="5">
        <f ca="1">OFFSET(F1499,0,Brains!$D$1,1,1)</f>
        <v>44816.253361219002</v>
      </c>
      <c r="I1499" t="s">
        <v>3590</v>
      </c>
      <c r="J1499" t="s">
        <v>1882</v>
      </c>
      <c r="K1499" t="s">
        <v>1859</v>
      </c>
      <c r="L1499" t="s">
        <v>1859</v>
      </c>
      <c r="M1499" s="11" t="s">
        <v>3916</v>
      </c>
      <c r="N1499" t="s">
        <v>1884</v>
      </c>
      <c r="O1499" s="7" t="s">
        <v>3921</v>
      </c>
      <c r="P1499" s="17" t="str">
        <f t="shared" ca="1" si="46"/>
        <v>30-49.9K</v>
      </c>
      <c r="Q1499" s="17">
        <v>1.5</v>
      </c>
      <c r="R1499">
        <v>9</v>
      </c>
      <c r="S1499">
        <v>2</v>
      </c>
      <c r="T1499">
        <v>2</v>
      </c>
      <c r="U1499">
        <v>7</v>
      </c>
      <c r="V1499" s="15">
        <f t="shared" ca="1" si="47"/>
        <v>3</v>
      </c>
    </row>
    <row r="1500" spans="1:22">
      <c r="A1500" t="s">
        <v>3107</v>
      </c>
      <c r="B1500" s="1">
        <v>41055.325335648151</v>
      </c>
      <c r="C1500" s="2">
        <v>102000</v>
      </c>
      <c r="D1500">
        <v>102000</v>
      </c>
      <c r="E1500" t="s">
        <v>1973</v>
      </c>
      <c r="F1500" s="5">
        <v>104030.78495306884</v>
      </c>
      <c r="G1500" s="5">
        <v>64885.496183206109</v>
      </c>
      <c r="H1500" s="5">
        <f ca="1">OFFSET(F1500,0,Brains!$D$1,1,1)</f>
        <v>64885.496183206109</v>
      </c>
      <c r="I1500" t="s">
        <v>3108</v>
      </c>
      <c r="J1500" t="s">
        <v>1882</v>
      </c>
      <c r="K1500" t="s">
        <v>1975</v>
      </c>
      <c r="L1500" t="s">
        <v>1975</v>
      </c>
      <c r="M1500" s="11" t="s">
        <v>3916</v>
      </c>
      <c r="N1500" t="s">
        <v>1884</v>
      </c>
      <c r="O1500" s="7" t="s">
        <v>3921</v>
      </c>
      <c r="P1500" s="17" t="str">
        <f t="shared" ca="1" si="46"/>
        <v>50-74.9K</v>
      </c>
      <c r="Q1500" s="17">
        <v>1.5</v>
      </c>
      <c r="R1500">
        <v>10</v>
      </c>
      <c r="S1500">
        <v>2</v>
      </c>
      <c r="T1500">
        <v>2</v>
      </c>
      <c r="U1500">
        <v>7</v>
      </c>
      <c r="V1500" s="15">
        <f t="shared" ca="1" si="47"/>
        <v>4</v>
      </c>
    </row>
    <row r="1501" spans="1:22">
      <c r="A1501" t="s">
        <v>3189</v>
      </c>
      <c r="B1501" s="1">
        <v>41055.462476851855</v>
      </c>
      <c r="C1501" s="2">
        <v>95000</v>
      </c>
      <c r="D1501">
        <v>95000</v>
      </c>
      <c r="E1501" t="s">
        <v>1856</v>
      </c>
      <c r="F1501" s="5">
        <v>95000</v>
      </c>
      <c r="G1501" s="5">
        <v>95000</v>
      </c>
      <c r="H1501" s="5">
        <f ca="1">OFFSET(F1501,0,Brains!$D$1,1,1)</f>
        <v>95000</v>
      </c>
      <c r="I1501" t="s">
        <v>2874</v>
      </c>
      <c r="J1501" t="s">
        <v>1882</v>
      </c>
      <c r="K1501" t="s">
        <v>1869</v>
      </c>
      <c r="L1501" t="s">
        <v>1869</v>
      </c>
      <c r="M1501" s="11" t="s">
        <v>3916</v>
      </c>
      <c r="N1501" t="s">
        <v>1884</v>
      </c>
      <c r="O1501" s="7" t="s">
        <v>3921</v>
      </c>
      <c r="P1501" s="17" t="str">
        <f t="shared" ca="1" si="46"/>
        <v>75-99.9K</v>
      </c>
      <c r="Q1501" s="17">
        <v>1.5</v>
      </c>
      <c r="R1501">
        <v>10</v>
      </c>
      <c r="S1501">
        <v>2</v>
      </c>
      <c r="T1501">
        <v>2</v>
      </c>
      <c r="U1501">
        <v>7</v>
      </c>
      <c r="V1501" s="15">
        <f t="shared" ca="1" si="47"/>
        <v>5</v>
      </c>
    </row>
    <row r="1502" spans="1:22">
      <c r="A1502" t="s">
        <v>3147</v>
      </c>
      <c r="B1502" s="1">
        <v>41055.394814814812</v>
      </c>
      <c r="C1502" s="2">
        <v>50000</v>
      </c>
      <c r="D1502">
        <v>50000</v>
      </c>
      <c r="E1502" t="s">
        <v>1856</v>
      </c>
      <c r="F1502" s="5">
        <v>50000</v>
      </c>
      <c r="G1502" s="5">
        <v>50000</v>
      </c>
      <c r="H1502" s="5">
        <f ca="1">OFFSET(F1502,0,Brains!$D$1,1,1)</f>
        <v>50000</v>
      </c>
      <c r="I1502" t="s">
        <v>3148</v>
      </c>
      <c r="J1502" t="s">
        <v>1882</v>
      </c>
      <c r="K1502" t="s">
        <v>1859</v>
      </c>
      <c r="L1502" t="s">
        <v>1859</v>
      </c>
      <c r="M1502" s="11" t="s">
        <v>3916</v>
      </c>
      <c r="N1502" t="s">
        <v>1884</v>
      </c>
      <c r="O1502" s="7" t="s">
        <v>3921</v>
      </c>
      <c r="P1502" s="17" t="str">
        <f t="shared" ca="1" si="46"/>
        <v>50-74.9K</v>
      </c>
      <c r="Q1502" s="17">
        <v>1.5</v>
      </c>
      <c r="R1502">
        <v>10</v>
      </c>
      <c r="S1502">
        <v>2</v>
      </c>
      <c r="T1502">
        <v>2</v>
      </c>
      <c r="U1502">
        <v>7</v>
      </c>
      <c r="V1502" s="15">
        <f t="shared" ca="1" si="47"/>
        <v>4</v>
      </c>
    </row>
    <row r="1503" spans="1:22">
      <c r="A1503" t="s">
        <v>1005</v>
      </c>
      <c r="B1503" s="1">
        <v>41059.700370370374</v>
      </c>
      <c r="C1503" s="2">
        <v>1700</v>
      </c>
      <c r="D1503">
        <v>20400</v>
      </c>
      <c r="E1503" t="s">
        <v>1856</v>
      </c>
      <c r="F1503" s="5">
        <v>20400</v>
      </c>
      <c r="G1503" s="5">
        <v>20400</v>
      </c>
      <c r="H1503" s="5">
        <f ca="1">OFFSET(F1503,0,Brains!$D$1,1,1)</f>
        <v>20400</v>
      </c>
      <c r="I1503" t="s">
        <v>1006</v>
      </c>
      <c r="J1503" t="s">
        <v>1882</v>
      </c>
      <c r="K1503" t="s">
        <v>1007</v>
      </c>
      <c r="L1503" t="s">
        <v>653</v>
      </c>
      <c r="M1503" s="11" t="s">
        <v>3916</v>
      </c>
      <c r="N1503" t="s">
        <v>1884</v>
      </c>
      <c r="O1503" s="7" t="s">
        <v>3921</v>
      </c>
      <c r="P1503" s="17" t="str">
        <f t="shared" ca="1" si="46"/>
        <v>15-29.9K</v>
      </c>
      <c r="Q1503" s="17">
        <v>1.5</v>
      </c>
      <c r="R1503">
        <v>10</v>
      </c>
      <c r="S1503">
        <v>2</v>
      </c>
      <c r="T1503">
        <v>2</v>
      </c>
      <c r="U1503">
        <v>7</v>
      </c>
      <c r="V1503" s="15">
        <f t="shared" ca="1" si="47"/>
        <v>2</v>
      </c>
    </row>
    <row r="1504" spans="1:22">
      <c r="A1504" t="s">
        <v>1551</v>
      </c>
      <c r="B1504" s="1">
        <v>41068.95045138889</v>
      </c>
      <c r="C1504" s="2" t="s">
        <v>1552</v>
      </c>
      <c r="D1504">
        <v>140000</v>
      </c>
      <c r="E1504" t="s">
        <v>1553</v>
      </c>
      <c r="F1504" s="5">
        <v>148102.22862117883</v>
      </c>
      <c r="G1504" s="5">
        <v>85158.150851581508</v>
      </c>
      <c r="H1504" s="5">
        <f ca="1">OFFSET(F1504,0,Brains!$D$1,1,1)</f>
        <v>85158.150851581508</v>
      </c>
      <c r="I1504" t="s">
        <v>1554</v>
      </c>
      <c r="J1504" t="s">
        <v>1882</v>
      </c>
      <c r="K1504" t="s">
        <v>1918</v>
      </c>
      <c r="L1504" t="s">
        <v>1918</v>
      </c>
      <c r="M1504" s="11" t="s">
        <v>3917</v>
      </c>
      <c r="N1504" t="s">
        <v>1873</v>
      </c>
      <c r="O1504" s="7" t="s">
        <v>3921</v>
      </c>
      <c r="P1504" s="17" t="str">
        <f t="shared" ca="1" si="46"/>
        <v>75-99.9K</v>
      </c>
      <c r="Q1504" s="17">
        <v>2.5</v>
      </c>
      <c r="R1504">
        <v>6</v>
      </c>
      <c r="S1504">
        <v>3</v>
      </c>
      <c r="T1504">
        <v>2</v>
      </c>
      <c r="U1504">
        <v>7</v>
      </c>
      <c r="V1504" s="15">
        <f t="shared" ca="1" si="47"/>
        <v>5</v>
      </c>
    </row>
    <row r="1505" spans="1:22">
      <c r="A1505" t="s">
        <v>1457</v>
      </c>
      <c r="B1505" s="1">
        <v>41066.135370370372</v>
      </c>
      <c r="C1505" s="2">
        <v>73000</v>
      </c>
      <c r="D1505">
        <v>73000</v>
      </c>
      <c r="E1505" t="s">
        <v>1856</v>
      </c>
      <c r="F1505" s="5">
        <v>73000</v>
      </c>
      <c r="G1505" s="5">
        <v>73000</v>
      </c>
      <c r="H1505" s="5">
        <f ca="1">OFFSET(F1505,0,Brains!$D$1,1,1)</f>
        <v>73000</v>
      </c>
      <c r="I1505" t="s">
        <v>1458</v>
      </c>
      <c r="J1505" t="s">
        <v>1882</v>
      </c>
      <c r="K1505" t="s">
        <v>1869</v>
      </c>
      <c r="L1505" t="s">
        <v>1869</v>
      </c>
      <c r="M1505" s="11" t="s">
        <v>3917</v>
      </c>
      <c r="N1505" t="s">
        <v>1873</v>
      </c>
      <c r="O1505" s="7" t="s">
        <v>3921</v>
      </c>
      <c r="P1505" s="17" t="str">
        <f t="shared" ca="1" si="46"/>
        <v>50-74.9K</v>
      </c>
      <c r="Q1505" s="17">
        <v>2.5</v>
      </c>
      <c r="R1505">
        <v>6</v>
      </c>
      <c r="S1505">
        <v>3</v>
      </c>
      <c r="T1505">
        <v>2</v>
      </c>
      <c r="U1505">
        <v>7</v>
      </c>
      <c r="V1505" s="15">
        <f t="shared" ca="1" si="47"/>
        <v>4</v>
      </c>
    </row>
    <row r="1506" spans="1:22">
      <c r="A1506" t="s">
        <v>3287</v>
      </c>
      <c r="B1506" s="1">
        <v>41055.538298611114</v>
      </c>
      <c r="C1506" s="2">
        <v>4700</v>
      </c>
      <c r="D1506">
        <v>56400</v>
      </c>
      <c r="E1506" t="s">
        <v>1856</v>
      </c>
      <c r="F1506" s="5">
        <v>56400</v>
      </c>
      <c r="G1506" s="5">
        <v>56400</v>
      </c>
      <c r="H1506" s="5">
        <f ca="1">OFFSET(F1506,0,Brains!$D$1,1,1)</f>
        <v>56400</v>
      </c>
      <c r="I1506" t="s">
        <v>3022</v>
      </c>
      <c r="J1506" t="s">
        <v>1882</v>
      </c>
      <c r="K1506" t="s">
        <v>2143</v>
      </c>
      <c r="L1506" t="s">
        <v>2143</v>
      </c>
      <c r="M1506" s="11" t="s">
        <v>3917</v>
      </c>
      <c r="N1506" t="s">
        <v>1873</v>
      </c>
      <c r="O1506" s="7" t="s">
        <v>3921</v>
      </c>
      <c r="P1506" s="17" t="str">
        <f t="shared" ca="1" si="46"/>
        <v>50-74.9K</v>
      </c>
      <c r="Q1506" s="17">
        <v>2.5</v>
      </c>
      <c r="R1506">
        <v>6</v>
      </c>
      <c r="S1506">
        <v>3</v>
      </c>
      <c r="T1506">
        <v>2</v>
      </c>
      <c r="U1506">
        <v>7</v>
      </c>
      <c r="V1506" s="15">
        <f t="shared" ca="1" si="47"/>
        <v>4</v>
      </c>
    </row>
    <row r="1507" spans="1:22">
      <c r="A1507" t="s">
        <v>3385</v>
      </c>
      <c r="B1507" s="1">
        <v>41055.623368055552</v>
      </c>
      <c r="C1507" s="2">
        <v>31250</v>
      </c>
      <c r="D1507">
        <v>31250</v>
      </c>
      <c r="E1507" t="s">
        <v>1856</v>
      </c>
      <c r="F1507" s="5">
        <v>31250</v>
      </c>
      <c r="G1507" s="5">
        <v>31250</v>
      </c>
      <c r="H1507" s="5">
        <f ca="1">OFFSET(F1507,0,Brains!$D$1,1,1)</f>
        <v>31250</v>
      </c>
      <c r="I1507" t="s">
        <v>3386</v>
      </c>
      <c r="J1507" t="s">
        <v>1882</v>
      </c>
      <c r="K1507" t="s">
        <v>1859</v>
      </c>
      <c r="L1507" t="s">
        <v>1859</v>
      </c>
      <c r="M1507" s="11" t="s">
        <v>3917</v>
      </c>
      <c r="N1507" t="s">
        <v>1873</v>
      </c>
      <c r="O1507" s="7" t="s">
        <v>3921</v>
      </c>
      <c r="P1507" s="17" t="str">
        <f t="shared" ca="1" si="46"/>
        <v>30-49.9K</v>
      </c>
      <c r="Q1507" s="17">
        <v>2.5</v>
      </c>
      <c r="R1507">
        <v>6</v>
      </c>
      <c r="S1507">
        <v>3</v>
      </c>
      <c r="T1507">
        <v>2</v>
      </c>
      <c r="U1507">
        <v>7</v>
      </c>
      <c r="V1507" s="15">
        <f t="shared" ca="1" si="47"/>
        <v>3</v>
      </c>
    </row>
    <row r="1508" spans="1:22">
      <c r="A1508" t="s">
        <v>1676</v>
      </c>
      <c r="B1508" s="1">
        <v>41073.805844907409</v>
      </c>
      <c r="C1508" s="2">
        <v>900000</v>
      </c>
      <c r="D1508">
        <v>900000</v>
      </c>
      <c r="E1508" t="s">
        <v>1908</v>
      </c>
      <c r="F1508" s="5">
        <v>16027.125018698311</v>
      </c>
      <c r="G1508" s="5">
        <v>44816.253361219002</v>
      </c>
      <c r="H1508" s="5">
        <f ca="1">OFFSET(F1508,0,Brains!$D$1,1,1)</f>
        <v>44816.253361219002</v>
      </c>
      <c r="I1508" t="s">
        <v>1677</v>
      </c>
      <c r="J1508" t="s">
        <v>1882</v>
      </c>
      <c r="K1508" t="s">
        <v>1859</v>
      </c>
      <c r="L1508" t="s">
        <v>1859</v>
      </c>
      <c r="M1508" s="11" t="s">
        <v>3917</v>
      </c>
      <c r="N1508" t="s">
        <v>1873</v>
      </c>
      <c r="O1508" s="7" t="s">
        <v>3921</v>
      </c>
      <c r="P1508" s="17" t="str">
        <f t="shared" ca="1" si="46"/>
        <v>30-49.9K</v>
      </c>
      <c r="Q1508" s="17">
        <v>2.5</v>
      </c>
      <c r="R1508">
        <v>6</v>
      </c>
      <c r="S1508">
        <v>3</v>
      </c>
      <c r="T1508">
        <v>2</v>
      </c>
      <c r="U1508">
        <v>7</v>
      </c>
      <c r="V1508" s="15">
        <f t="shared" ca="1" si="47"/>
        <v>3</v>
      </c>
    </row>
    <row r="1509" spans="1:22">
      <c r="A1509" t="s">
        <v>56</v>
      </c>
      <c r="B1509" s="1">
        <v>41057.434618055559</v>
      </c>
      <c r="C1509" s="2" t="s">
        <v>57</v>
      </c>
      <c r="D1509">
        <v>545000</v>
      </c>
      <c r="E1509" t="s">
        <v>1908</v>
      </c>
      <c r="F1509" s="5">
        <v>9705.3145946561999</v>
      </c>
      <c r="G1509" s="5">
        <v>27138.731202071507</v>
      </c>
      <c r="H1509" s="5">
        <f ca="1">OFFSET(F1509,0,Brains!$D$1,1,1)</f>
        <v>27138.731202071507</v>
      </c>
      <c r="I1509" t="s">
        <v>3743</v>
      </c>
      <c r="J1509" t="s">
        <v>1882</v>
      </c>
      <c r="K1509" t="s">
        <v>1859</v>
      </c>
      <c r="L1509" t="s">
        <v>1859</v>
      </c>
      <c r="M1509" s="11" t="s">
        <v>3917</v>
      </c>
      <c r="N1509" t="s">
        <v>1873</v>
      </c>
      <c r="O1509" s="7" t="s">
        <v>3921</v>
      </c>
      <c r="P1509" s="17" t="str">
        <f t="shared" ca="1" si="46"/>
        <v>15-29.9K</v>
      </c>
      <c r="Q1509" s="17">
        <v>2.5</v>
      </c>
      <c r="R1509">
        <v>6</v>
      </c>
      <c r="S1509">
        <v>3</v>
      </c>
      <c r="T1509">
        <v>2</v>
      </c>
      <c r="U1509">
        <v>7</v>
      </c>
      <c r="V1509" s="15">
        <f t="shared" ca="1" si="47"/>
        <v>2</v>
      </c>
    </row>
    <row r="1510" spans="1:22">
      <c r="A1510" t="s">
        <v>3382</v>
      </c>
      <c r="B1510" s="1">
        <v>41055.615914351853</v>
      </c>
      <c r="C1510" s="2">
        <v>375000</v>
      </c>
      <c r="D1510">
        <v>375000</v>
      </c>
      <c r="E1510" t="s">
        <v>1908</v>
      </c>
      <c r="F1510" s="5">
        <v>6677.9687577909626</v>
      </c>
      <c r="G1510" s="5">
        <v>18673.438900507917</v>
      </c>
      <c r="H1510" s="5">
        <f ca="1">OFFSET(F1510,0,Brains!$D$1,1,1)</f>
        <v>18673.438900507917</v>
      </c>
      <c r="I1510" t="s">
        <v>1988</v>
      </c>
      <c r="J1510" t="s">
        <v>1882</v>
      </c>
      <c r="K1510" t="s">
        <v>1859</v>
      </c>
      <c r="L1510" t="s">
        <v>1859</v>
      </c>
      <c r="M1510" s="11" t="s">
        <v>3917</v>
      </c>
      <c r="N1510" t="s">
        <v>1873</v>
      </c>
      <c r="O1510" s="7" t="s">
        <v>3921</v>
      </c>
      <c r="P1510" s="17" t="str">
        <f t="shared" ca="1" si="46"/>
        <v>15-29.9K</v>
      </c>
      <c r="Q1510" s="17">
        <v>2.5</v>
      </c>
      <c r="R1510">
        <v>6</v>
      </c>
      <c r="S1510">
        <v>3</v>
      </c>
      <c r="T1510">
        <v>2</v>
      </c>
      <c r="U1510">
        <v>7</v>
      </c>
      <c r="V1510" s="15">
        <f t="shared" ca="1" si="47"/>
        <v>2</v>
      </c>
    </row>
    <row r="1511" spans="1:22">
      <c r="A1511" t="s">
        <v>3445</v>
      </c>
      <c r="B1511" s="1">
        <v>41055.684641203705</v>
      </c>
      <c r="C1511" s="2">
        <v>6000</v>
      </c>
      <c r="D1511">
        <v>6000</v>
      </c>
      <c r="E1511" t="s">
        <v>1856</v>
      </c>
      <c r="F1511" s="5">
        <v>6000</v>
      </c>
      <c r="G1511" s="5">
        <v>6000</v>
      </c>
      <c r="H1511" s="5">
        <f ca="1">OFFSET(F1511,0,Brains!$D$1,1,1)</f>
        <v>6000</v>
      </c>
      <c r="I1511" t="s">
        <v>3446</v>
      </c>
      <c r="J1511" t="s">
        <v>1882</v>
      </c>
      <c r="K1511" t="s">
        <v>1859</v>
      </c>
      <c r="L1511" t="s">
        <v>1859</v>
      </c>
      <c r="M1511" s="11" t="s">
        <v>3917</v>
      </c>
      <c r="N1511" t="s">
        <v>1873</v>
      </c>
      <c r="O1511" s="7" t="s">
        <v>3921</v>
      </c>
      <c r="P1511" s="17" t="str">
        <f t="shared" ca="1" si="46"/>
        <v>0-14.9K</v>
      </c>
      <c r="Q1511" s="17">
        <v>2.5</v>
      </c>
      <c r="R1511">
        <v>6</v>
      </c>
      <c r="S1511">
        <v>3</v>
      </c>
      <c r="T1511">
        <v>2</v>
      </c>
      <c r="U1511">
        <v>7</v>
      </c>
      <c r="V1511" s="15">
        <f t="shared" ca="1" si="47"/>
        <v>1</v>
      </c>
    </row>
    <row r="1512" spans="1:22">
      <c r="A1512" t="s">
        <v>3311</v>
      </c>
      <c r="B1512" s="1">
        <v>41055.554201388892</v>
      </c>
      <c r="C1512" s="2" t="s">
        <v>3312</v>
      </c>
      <c r="D1512">
        <v>1150000</v>
      </c>
      <c r="E1512" t="s">
        <v>1908</v>
      </c>
      <c r="F1512" s="5">
        <v>20479.104190558952</v>
      </c>
      <c r="G1512" s="5">
        <v>57265.212628224283</v>
      </c>
      <c r="H1512" s="5">
        <f ca="1">OFFSET(F1512,0,Brains!$D$1,1,1)</f>
        <v>57265.212628224283</v>
      </c>
      <c r="I1512" t="s">
        <v>3313</v>
      </c>
      <c r="J1512" t="s">
        <v>1882</v>
      </c>
      <c r="K1512" t="s">
        <v>1859</v>
      </c>
      <c r="L1512" t="s">
        <v>1859</v>
      </c>
      <c r="M1512" s="11" t="s">
        <v>3917</v>
      </c>
      <c r="N1512" t="s">
        <v>1873</v>
      </c>
      <c r="O1512" s="7" t="s">
        <v>3921</v>
      </c>
      <c r="P1512" s="17" t="str">
        <f t="shared" ca="1" si="46"/>
        <v>50-74.9K</v>
      </c>
      <c r="Q1512" s="17">
        <v>2.5</v>
      </c>
      <c r="R1512">
        <v>7</v>
      </c>
      <c r="S1512">
        <v>3</v>
      </c>
      <c r="T1512">
        <v>2</v>
      </c>
      <c r="U1512">
        <v>7</v>
      </c>
      <c r="V1512" s="15">
        <f t="shared" ca="1" si="47"/>
        <v>4</v>
      </c>
    </row>
    <row r="1513" spans="1:22">
      <c r="A1513" t="s">
        <v>67</v>
      </c>
      <c r="B1513" s="1">
        <v>41057.443668981483</v>
      </c>
      <c r="C1513" s="2">
        <v>700000</v>
      </c>
      <c r="D1513">
        <v>700000</v>
      </c>
      <c r="E1513" t="s">
        <v>1908</v>
      </c>
      <c r="F1513" s="5">
        <v>12465.541681209797</v>
      </c>
      <c r="G1513" s="5">
        <v>34857.085947614782</v>
      </c>
      <c r="H1513" s="5">
        <f ca="1">OFFSET(F1513,0,Brains!$D$1,1,1)</f>
        <v>34857.085947614782</v>
      </c>
      <c r="I1513" t="s">
        <v>68</v>
      </c>
      <c r="J1513" t="s">
        <v>1882</v>
      </c>
      <c r="K1513" t="s">
        <v>1859</v>
      </c>
      <c r="L1513" t="s">
        <v>1859</v>
      </c>
      <c r="M1513" s="11" t="s">
        <v>3917</v>
      </c>
      <c r="N1513" t="s">
        <v>1873</v>
      </c>
      <c r="O1513" s="7" t="s">
        <v>3921</v>
      </c>
      <c r="P1513" s="17" t="str">
        <f t="shared" ca="1" si="46"/>
        <v>30-49.9K</v>
      </c>
      <c r="Q1513" s="17">
        <v>2.5</v>
      </c>
      <c r="R1513">
        <v>7</v>
      </c>
      <c r="S1513">
        <v>3</v>
      </c>
      <c r="T1513">
        <v>2</v>
      </c>
      <c r="U1513">
        <v>7</v>
      </c>
      <c r="V1513" s="15">
        <f t="shared" ca="1" si="47"/>
        <v>3</v>
      </c>
    </row>
    <row r="1514" spans="1:22">
      <c r="A1514" t="s">
        <v>3308</v>
      </c>
      <c r="B1514" s="1">
        <v>41055.553888888891</v>
      </c>
      <c r="C1514" s="2" t="s">
        <v>3309</v>
      </c>
      <c r="D1514">
        <v>144000</v>
      </c>
      <c r="E1514" t="s">
        <v>1908</v>
      </c>
      <c r="F1514" s="5">
        <v>2564.3400029917298</v>
      </c>
      <c r="G1514" s="5">
        <v>7170.6005377950405</v>
      </c>
      <c r="H1514" s="5">
        <f ca="1">OFFSET(F1514,0,Brains!$D$1,1,1)</f>
        <v>7170.6005377950405</v>
      </c>
      <c r="I1514" t="s">
        <v>3310</v>
      </c>
      <c r="J1514" t="s">
        <v>1882</v>
      </c>
      <c r="K1514" t="s">
        <v>1859</v>
      </c>
      <c r="L1514" t="s">
        <v>1859</v>
      </c>
      <c r="M1514" s="11" t="s">
        <v>3917</v>
      </c>
      <c r="N1514" t="s">
        <v>1873</v>
      </c>
      <c r="O1514" s="7" t="s">
        <v>3921</v>
      </c>
      <c r="P1514" s="17" t="str">
        <f t="shared" ca="1" si="46"/>
        <v>0-14.9K</v>
      </c>
      <c r="Q1514" s="17">
        <v>2.5</v>
      </c>
      <c r="R1514">
        <v>7</v>
      </c>
      <c r="S1514">
        <v>3</v>
      </c>
      <c r="T1514">
        <v>2</v>
      </c>
      <c r="U1514">
        <v>7</v>
      </c>
      <c r="V1514" s="15">
        <f t="shared" ca="1" si="47"/>
        <v>1</v>
      </c>
    </row>
    <row r="1515" spans="1:22">
      <c r="A1515" t="s">
        <v>15</v>
      </c>
      <c r="B1515" s="1">
        <v>41057.33320601852</v>
      </c>
      <c r="C1515" s="2">
        <v>110000</v>
      </c>
      <c r="D1515">
        <v>110000</v>
      </c>
      <c r="E1515" t="s">
        <v>1973</v>
      </c>
      <c r="F1515" s="5">
        <v>112190.06220428993</v>
      </c>
      <c r="G1515" s="5">
        <v>69974.554707379139</v>
      </c>
      <c r="H1515" s="5">
        <f ca="1">OFFSET(F1515,0,Brains!$D$1,1,1)</f>
        <v>69974.554707379139</v>
      </c>
      <c r="I1515" t="s">
        <v>16</v>
      </c>
      <c r="J1515" t="s">
        <v>1882</v>
      </c>
      <c r="K1515" t="s">
        <v>1975</v>
      </c>
      <c r="L1515" t="s">
        <v>1975</v>
      </c>
      <c r="M1515" s="11" t="s">
        <v>3917</v>
      </c>
      <c r="N1515" t="s">
        <v>1873</v>
      </c>
      <c r="O1515" s="7" t="s">
        <v>3921</v>
      </c>
      <c r="P1515" s="17" t="str">
        <f t="shared" ca="1" si="46"/>
        <v>50-74.9K</v>
      </c>
      <c r="Q1515" s="17">
        <v>2.5</v>
      </c>
      <c r="R1515">
        <v>8</v>
      </c>
      <c r="S1515">
        <v>3</v>
      </c>
      <c r="T1515">
        <v>2</v>
      </c>
      <c r="U1515">
        <v>7</v>
      </c>
      <c r="V1515" s="15">
        <f t="shared" ca="1" si="47"/>
        <v>4</v>
      </c>
    </row>
    <row r="1516" spans="1:22">
      <c r="A1516" t="s">
        <v>1725</v>
      </c>
      <c r="B1516" s="1">
        <v>41075.759166666663</v>
      </c>
      <c r="C1516" s="2">
        <v>112000</v>
      </c>
      <c r="D1516">
        <v>112000</v>
      </c>
      <c r="E1516" t="s">
        <v>1856</v>
      </c>
      <c r="F1516" s="5">
        <v>112000</v>
      </c>
      <c r="G1516" s="5">
        <v>112000</v>
      </c>
      <c r="H1516" s="5">
        <f ca="1">OFFSET(F1516,0,Brains!$D$1,1,1)</f>
        <v>112000</v>
      </c>
      <c r="I1516" t="s">
        <v>3012</v>
      </c>
      <c r="J1516" t="s">
        <v>1882</v>
      </c>
      <c r="K1516" t="s">
        <v>1869</v>
      </c>
      <c r="L1516" t="s">
        <v>1869</v>
      </c>
      <c r="M1516" s="11" t="s">
        <v>3917</v>
      </c>
      <c r="N1516" t="s">
        <v>1873</v>
      </c>
      <c r="O1516" s="7" t="s">
        <v>3921</v>
      </c>
      <c r="P1516" s="17" t="str">
        <f t="shared" ca="1" si="46"/>
        <v>100-149.9K</v>
      </c>
      <c r="Q1516" s="17">
        <v>2.5</v>
      </c>
      <c r="R1516">
        <v>8</v>
      </c>
      <c r="S1516">
        <v>3</v>
      </c>
      <c r="T1516">
        <v>2</v>
      </c>
      <c r="U1516">
        <v>7</v>
      </c>
      <c r="V1516" s="15">
        <f t="shared" ca="1" si="47"/>
        <v>6</v>
      </c>
    </row>
    <row r="1517" spans="1:22">
      <c r="A1517" t="s">
        <v>3762</v>
      </c>
      <c r="B1517" s="1">
        <v>41056.598738425928</v>
      </c>
      <c r="C1517" s="2" t="s">
        <v>3763</v>
      </c>
      <c r="D1517">
        <v>2300000</v>
      </c>
      <c r="E1517" t="s">
        <v>1908</v>
      </c>
      <c r="F1517" s="5">
        <v>40958.208381117904</v>
      </c>
      <c r="G1517" s="5">
        <v>114530.42525644857</v>
      </c>
      <c r="H1517" s="5">
        <f ca="1">OFFSET(F1517,0,Brains!$D$1,1,1)</f>
        <v>114530.42525644857</v>
      </c>
      <c r="I1517" t="s">
        <v>3764</v>
      </c>
      <c r="J1517" t="s">
        <v>1882</v>
      </c>
      <c r="K1517" t="s">
        <v>1859</v>
      </c>
      <c r="L1517" t="s">
        <v>1859</v>
      </c>
      <c r="M1517" s="11" t="s">
        <v>3917</v>
      </c>
      <c r="N1517" t="s">
        <v>1873</v>
      </c>
      <c r="O1517" s="7" t="s">
        <v>3921</v>
      </c>
      <c r="P1517" s="17" t="str">
        <f t="shared" ca="1" si="46"/>
        <v>100-149.9K</v>
      </c>
      <c r="Q1517" s="17">
        <v>2.5</v>
      </c>
      <c r="R1517">
        <v>8</v>
      </c>
      <c r="S1517">
        <v>3</v>
      </c>
      <c r="T1517">
        <v>2</v>
      </c>
      <c r="U1517">
        <v>7</v>
      </c>
      <c r="V1517" s="15">
        <f t="shared" ca="1" si="47"/>
        <v>6</v>
      </c>
    </row>
    <row r="1518" spans="1:22">
      <c r="A1518" t="s">
        <v>3413</v>
      </c>
      <c r="B1518" s="1">
        <v>41055.646099537036</v>
      </c>
      <c r="C1518" s="2" t="s">
        <v>3414</v>
      </c>
      <c r="D1518">
        <v>600000</v>
      </c>
      <c r="E1518" t="s">
        <v>1908</v>
      </c>
      <c r="F1518" s="5">
        <v>10684.750012465542</v>
      </c>
      <c r="G1518" s="5">
        <v>29877.502240812668</v>
      </c>
      <c r="H1518" s="5">
        <f ca="1">OFFSET(F1518,0,Brains!$D$1,1,1)</f>
        <v>29877.502240812668</v>
      </c>
      <c r="I1518" t="s">
        <v>3415</v>
      </c>
      <c r="J1518" t="s">
        <v>1882</v>
      </c>
      <c r="K1518" t="s">
        <v>1859</v>
      </c>
      <c r="L1518" t="s">
        <v>1859</v>
      </c>
      <c r="M1518" s="11" t="s">
        <v>3917</v>
      </c>
      <c r="N1518" t="s">
        <v>1873</v>
      </c>
      <c r="O1518" s="7" t="s">
        <v>3921</v>
      </c>
      <c r="P1518" s="17" t="str">
        <f t="shared" ca="1" si="46"/>
        <v>15-29.9K</v>
      </c>
      <c r="Q1518" s="17">
        <v>2.5</v>
      </c>
      <c r="R1518">
        <v>8</v>
      </c>
      <c r="S1518">
        <v>3</v>
      </c>
      <c r="T1518">
        <v>2</v>
      </c>
      <c r="U1518">
        <v>7</v>
      </c>
      <c r="V1518" s="15">
        <f t="shared" ca="1" si="47"/>
        <v>2</v>
      </c>
    </row>
    <row r="1519" spans="1:22">
      <c r="A1519" t="s">
        <v>1120</v>
      </c>
      <c r="B1519" s="1">
        <v>41060.439664351848</v>
      </c>
      <c r="C1519" s="2" t="s">
        <v>1121</v>
      </c>
      <c r="D1519">
        <v>10000</v>
      </c>
      <c r="E1519" t="s">
        <v>1856</v>
      </c>
      <c r="F1519" s="5">
        <v>10000</v>
      </c>
      <c r="G1519" s="5">
        <v>10000</v>
      </c>
      <c r="H1519" s="5">
        <f ca="1">OFFSET(F1519,0,Brains!$D$1,1,1)</f>
        <v>10000</v>
      </c>
      <c r="I1519" t="s">
        <v>1122</v>
      </c>
      <c r="J1519" t="s">
        <v>1882</v>
      </c>
      <c r="K1519" t="s">
        <v>1123</v>
      </c>
      <c r="L1519" t="s">
        <v>1123</v>
      </c>
      <c r="M1519" s="11" t="s">
        <v>3917</v>
      </c>
      <c r="N1519" t="s">
        <v>1873</v>
      </c>
      <c r="O1519" s="7" t="s">
        <v>3921</v>
      </c>
      <c r="P1519" s="17" t="str">
        <f t="shared" ca="1" si="46"/>
        <v>0-14.9K</v>
      </c>
      <c r="Q1519" s="17">
        <v>2.5</v>
      </c>
      <c r="R1519">
        <v>8</v>
      </c>
      <c r="S1519">
        <v>3</v>
      </c>
      <c r="T1519">
        <v>2</v>
      </c>
      <c r="U1519">
        <v>7</v>
      </c>
      <c r="V1519" s="15">
        <f t="shared" ca="1" si="47"/>
        <v>1</v>
      </c>
    </row>
    <row r="1520" spans="1:22">
      <c r="A1520" t="s">
        <v>3268</v>
      </c>
      <c r="B1520" s="1">
        <v>41055.525613425925</v>
      </c>
      <c r="C1520" s="2" t="s">
        <v>3269</v>
      </c>
      <c r="D1520">
        <v>480000</v>
      </c>
      <c r="E1520" t="s">
        <v>1908</v>
      </c>
      <c r="F1520" s="5">
        <v>8547.8000099724322</v>
      </c>
      <c r="G1520" s="5">
        <v>23902.001792650135</v>
      </c>
      <c r="H1520" s="5">
        <f ca="1">OFFSET(F1520,0,Brains!$D$1,1,1)</f>
        <v>23902.001792650135</v>
      </c>
      <c r="I1520" t="s">
        <v>3270</v>
      </c>
      <c r="J1520" t="s">
        <v>1882</v>
      </c>
      <c r="K1520" t="s">
        <v>1859</v>
      </c>
      <c r="L1520" t="s">
        <v>1859</v>
      </c>
      <c r="M1520" s="11" t="s">
        <v>3917</v>
      </c>
      <c r="N1520" t="s">
        <v>1873</v>
      </c>
      <c r="O1520" s="7" t="s">
        <v>3921</v>
      </c>
      <c r="P1520" s="17" t="str">
        <f t="shared" ca="1" si="46"/>
        <v>15-29.9K</v>
      </c>
      <c r="Q1520" s="17">
        <v>2.5</v>
      </c>
      <c r="R1520">
        <v>8</v>
      </c>
      <c r="S1520">
        <v>3</v>
      </c>
      <c r="T1520">
        <v>2</v>
      </c>
      <c r="U1520">
        <v>7</v>
      </c>
      <c r="V1520" s="15">
        <f t="shared" ca="1" si="47"/>
        <v>2</v>
      </c>
    </row>
    <row r="1521" spans="1:22">
      <c r="A1521" t="s">
        <v>1236</v>
      </c>
      <c r="B1521" s="1">
        <v>41061.456932870373</v>
      </c>
      <c r="C1521" s="2" t="s">
        <v>2605</v>
      </c>
      <c r="D1521">
        <v>360000</v>
      </c>
      <c r="E1521" t="s">
        <v>1908</v>
      </c>
      <c r="F1521" s="5">
        <v>6410.8500074793246</v>
      </c>
      <c r="G1521" s="5">
        <v>17926.501344487599</v>
      </c>
      <c r="H1521" s="5">
        <f ca="1">OFFSET(F1521,0,Brains!$D$1,1,1)</f>
        <v>17926.501344487599</v>
      </c>
      <c r="I1521" t="s">
        <v>1237</v>
      </c>
      <c r="J1521" t="s">
        <v>1882</v>
      </c>
      <c r="K1521" t="s">
        <v>1859</v>
      </c>
      <c r="L1521" t="s">
        <v>1859</v>
      </c>
      <c r="M1521" s="11" t="s">
        <v>3917</v>
      </c>
      <c r="N1521" t="s">
        <v>1873</v>
      </c>
      <c r="O1521" s="7" t="s">
        <v>3921</v>
      </c>
      <c r="P1521" s="17" t="str">
        <f t="shared" ca="1" si="46"/>
        <v>15-29.9K</v>
      </c>
      <c r="Q1521" s="17">
        <v>2.5</v>
      </c>
      <c r="R1521">
        <v>8</v>
      </c>
      <c r="S1521">
        <v>3</v>
      </c>
      <c r="T1521">
        <v>2</v>
      </c>
      <c r="U1521">
        <v>7</v>
      </c>
      <c r="V1521" s="15">
        <f t="shared" ca="1" si="47"/>
        <v>2</v>
      </c>
    </row>
    <row r="1522" spans="1:22">
      <c r="A1522" t="s">
        <v>1531</v>
      </c>
      <c r="B1522" s="1">
        <v>41068.568576388891</v>
      </c>
      <c r="C1522" s="2" t="s">
        <v>1532</v>
      </c>
      <c r="D1522">
        <v>950000</v>
      </c>
      <c r="E1522" t="s">
        <v>1908</v>
      </c>
      <c r="F1522" s="5">
        <v>16917.52085307044</v>
      </c>
      <c r="G1522" s="5">
        <v>47306.045214620055</v>
      </c>
      <c r="H1522" s="5">
        <f ca="1">OFFSET(F1522,0,Brains!$D$1,1,1)</f>
        <v>47306.045214620055</v>
      </c>
      <c r="I1522" t="s">
        <v>1533</v>
      </c>
      <c r="J1522" t="s">
        <v>1882</v>
      </c>
      <c r="K1522" t="s">
        <v>1859</v>
      </c>
      <c r="L1522" t="s">
        <v>1859</v>
      </c>
      <c r="M1522" s="11" t="s">
        <v>3917</v>
      </c>
      <c r="N1522" t="s">
        <v>1873</v>
      </c>
      <c r="O1522" s="7" t="s">
        <v>3921</v>
      </c>
      <c r="P1522" s="17" t="str">
        <f t="shared" ca="1" si="46"/>
        <v>30-49.9K</v>
      </c>
      <c r="Q1522" s="17">
        <v>2.5</v>
      </c>
      <c r="R1522">
        <v>9</v>
      </c>
      <c r="S1522">
        <v>3</v>
      </c>
      <c r="T1522">
        <v>2</v>
      </c>
      <c r="U1522">
        <v>7</v>
      </c>
      <c r="V1522" s="15">
        <f t="shared" ca="1" si="47"/>
        <v>3</v>
      </c>
    </row>
    <row r="1523" spans="1:22">
      <c r="A1523" t="s">
        <v>1757</v>
      </c>
      <c r="B1523" s="1">
        <v>41076.773206018515</v>
      </c>
      <c r="C1523" s="2" t="s">
        <v>156</v>
      </c>
      <c r="D1523">
        <v>700000</v>
      </c>
      <c r="E1523" t="s">
        <v>1908</v>
      </c>
      <c r="F1523" s="5">
        <v>12465.541681209797</v>
      </c>
      <c r="G1523" s="5">
        <v>34857.085947614782</v>
      </c>
      <c r="H1523" s="5">
        <f ca="1">OFFSET(F1523,0,Brains!$D$1,1,1)</f>
        <v>34857.085947614782</v>
      </c>
      <c r="I1523" t="s">
        <v>1758</v>
      </c>
      <c r="J1523" t="s">
        <v>1882</v>
      </c>
      <c r="K1523" t="s">
        <v>1859</v>
      </c>
      <c r="L1523" t="s">
        <v>1859</v>
      </c>
      <c r="M1523" s="11" t="s">
        <v>3917</v>
      </c>
      <c r="N1523" t="s">
        <v>1873</v>
      </c>
      <c r="O1523" s="7" t="s">
        <v>3921</v>
      </c>
      <c r="P1523" s="17" t="str">
        <f t="shared" ca="1" si="46"/>
        <v>30-49.9K</v>
      </c>
      <c r="Q1523" s="17">
        <v>2.5</v>
      </c>
      <c r="R1523">
        <v>9</v>
      </c>
      <c r="S1523">
        <v>3</v>
      </c>
      <c r="T1523">
        <v>2</v>
      </c>
      <c r="U1523">
        <v>7</v>
      </c>
      <c r="V1523" s="15">
        <f t="shared" ca="1" si="47"/>
        <v>3</v>
      </c>
    </row>
    <row r="1524" spans="1:22">
      <c r="A1524" t="s">
        <v>3247</v>
      </c>
      <c r="B1524" s="1">
        <v>41055.516134259262</v>
      </c>
      <c r="C1524" s="2">
        <v>10500000</v>
      </c>
      <c r="D1524">
        <v>10500000</v>
      </c>
      <c r="E1524" t="s">
        <v>1908</v>
      </c>
      <c r="F1524" s="5">
        <v>186983.12521814698</v>
      </c>
      <c r="G1524" s="5">
        <v>522856.2892142217</v>
      </c>
      <c r="H1524" s="5">
        <f ca="1">OFFSET(F1524,0,Brains!$D$1,1,1)</f>
        <v>522856.2892142217</v>
      </c>
      <c r="I1524" t="s">
        <v>3248</v>
      </c>
      <c r="J1524" t="s">
        <v>1882</v>
      </c>
      <c r="K1524" t="s">
        <v>1859</v>
      </c>
      <c r="L1524" t="s">
        <v>1859</v>
      </c>
      <c r="M1524" s="11" t="s">
        <v>3917</v>
      </c>
      <c r="N1524" t="s">
        <v>1873</v>
      </c>
      <c r="O1524" s="7" t="s">
        <v>3921</v>
      </c>
      <c r="P1524" s="17" t="str">
        <f t="shared" ca="1" si="46"/>
        <v>250K+</v>
      </c>
      <c r="Q1524" s="17">
        <v>2.5</v>
      </c>
      <c r="R1524">
        <v>10</v>
      </c>
      <c r="S1524">
        <v>3</v>
      </c>
      <c r="T1524">
        <v>2</v>
      </c>
      <c r="U1524">
        <v>7</v>
      </c>
      <c r="V1524" s="15">
        <f t="shared" ca="1" si="47"/>
        <v>8</v>
      </c>
    </row>
    <row r="1525" spans="1:22">
      <c r="A1525" t="s">
        <v>907</v>
      </c>
      <c r="B1525" s="1">
        <v>41059.017858796295</v>
      </c>
      <c r="C1525" s="2">
        <v>120000</v>
      </c>
      <c r="D1525">
        <v>120000</v>
      </c>
      <c r="E1525" t="s">
        <v>1856</v>
      </c>
      <c r="F1525" s="5">
        <v>120000</v>
      </c>
      <c r="G1525" s="5">
        <v>120000</v>
      </c>
      <c r="H1525" s="5">
        <f ca="1">OFFSET(F1525,0,Brains!$D$1,1,1)</f>
        <v>120000</v>
      </c>
      <c r="I1525" t="s">
        <v>3022</v>
      </c>
      <c r="J1525" t="s">
        <v>1882</v>
      </c>
      <c r="K1525" t="s">
        <v>1869</v>
      </c>
      <c r="L1525" t="s">
        <v>1869</v>
      </c>
      <c r="M1525" s="11" t="s">
        <v>3917</v>
      </c>
      <c r="N1525" t="s">
        <v>1873</v>
      </c>
      <c r="O1525" s="7" t="s">
        <v>3921</v>
      </c>
      <c r="P1525" s="17" t="str">
        <f t="shared" ca="1" si="46"/>
        <v>100-149.9K</v>
      </c>
      <c r="Q1525" s="17">
        <v>2.5</v>
      </c>
      <c r="R1525">
        <v>10</v>
      </c>
      <c r="S1525">
        <v>3</v>
      </c>
      <c r="T1525">
        <v>2</v>
      </c>
      <c r="U1525">
        <v>7</v>
      </c>
      <c r="V1525" s="15">
        <f t="shared" ca="1" si="47"/>
        <v>6</v>
      </c>
    </row>
    <row r="1526" spans="1:22">
      <c r="A1526" t="s">
        <v>280</v>
      </c>
      <c r="B1526" s="1">
        <v>41057.710219907407</v>
      </c>
      <c r="C1526" s="2">
        <v>75000</v>
      </c>
      <c r="D1526">
        <v>75000</v>
      </c>
      <c r="E1526" t="s">
        <v>1954</v>
      </c>
      <c r="F1526" s="5">
        <v>118213.37040504631</v>
      </c>
      <c r="G1526" s="5">
        <v>111275.96439169139</v>
      </c>
      <c r="H1526" s="5">
        <f ca="1">OFFSET(F1526,0,Brains!$D$1,1,1)</f>
        <v>111275.96439169139</v>
      </c>
      <c r="I1526" t="s">
        <v>2828</v>
      </c>
      <c r="J1526" t="s">
        <v>1882</v>
      </c>
      <c r="K1526" t="s">
        <v>1956</v>
      </c>
      <c r="L1526" t="s">
        <v>1956</v>
      </c>
      <c r="M1526" s="11" t="s">
        <v>3917</v>
      </c>
      <c r="N1526" t="s">
        <v>1873</v>
      </c>
      <c r="O1526" s="7" t="s">
        <v>3921</v>
      </c>
      <c r="P1526" s="17" t="str">
        <f t="shared" ca="1" si="46"/>
        <v>100-149.9K</v>
      </c>
      <c r="Q1526" s="17">
        <v>2.5</v>
      </c>
      <c r="R1526">
        <v>10</v>
      </c>
      <c r="S1526">
        <v>3</v>
      </c>
      <c r="T1526">
        <v>2</v>
      </c>
      <c r="U1526">
        <v>7</v>
      </c>
      <c r="V1526" s="15">
        <f t="shared" ca="1" si="47"/>
        <v>6</v>
      </c>
    </row>
    <row r="1527" spans="1:22">
      <c r="A1527" t="s">
        <v>937</v>
      </c>
      <c r="B1527" s="1">
        <v>41059.099293981482</v>
      </c>
      <c r="C1527" s="2">
        <v>111000</v>
      </c>
      <c r="D1527">
        <v>111000</v>
      </c>
      <c r="E1527" t="s">
        <v>1856</v>
      </c>
      <c r="F1527" s="5">
        <v>111000</v>
      </c>
      <c r="G1527" s="5">
        <v>111000</v>
      </c>
      <c r="H1527" s="5">
        <f ca="1">OFFSET(F1527,0,Brains!$D$1,1,1)</f>
        <v>111000</v>
      </c>
      <c r="I1527" t="s">
        <v>938</v>
      </c>
      <c r="J1527" t="s">
        <v>1882</v>
      </c>
      <c r="K1527" t="s">
        <v>1869</v>
      </c>
      <c r="L1527" t="s">
        <v>1869</v>
      </c>
      <c r="M1527" s="11" t="s">
        <v>3917</v>
      </c>
      <c r="N1527" t="s">
        <v>1873</v>
      </c>
      <c r="O1527" s="7" t="s">
        <v>3921</v>
      </c>
      <c r="P1527" s="17" t="str">
        <f t="shared" ca="1" si="46"/>
        <v>100-149.9K</v>
      </c>
      <c r="Q1527" s="17">
        <v>2.5</v>
      </c>
      <c r="R1527">
        <v>10</v>
      </c>
      <c r="S1527">
        <v>3</v>
      </c>
      <c r="T1527">
        <v>2</v>
      </c>
      <c r="U1527">
        <v>7</v>
      </c>
      <c r="V1527" s="15">
        <f t="shared" ca="1" si="47"/>
        <v>6</v>
      </c>
    </row>
    <row r="1528" spans="1:22">
      <c r="A1528" t="s">
        <v>3670</v>
      </c>
      <c r="B1528" s="1">
        <v>41056.106504629628</v>
      </c>
      <c r="C1528" s="2">
        <v>100000</v>
      </c>
      <c r="D1528">
        <v>100000</v>
      </c>
      <c r="E1528" t="s">
        <v>1979</v>
      </c>
      <c r="F1528" s="5">
        <v>98336.152303032693</v>
      </c>
      <c r="G1528" s="5">
        <v>80064.051240992791</v>
      </c>
      <c r="H1528" s="5">
        <f ca="1">OFFSET(F1528,0,Brains!$D$1,1,1)</f>
        <v>80064.051240992791</v>
      </c>
      <c r="I1528" t="s">
        <v>3671</v>
      </c>
      <c r="J1528" t="s">
        <v>1882</v>
      </c>
      <c r="K1528" t="s">
        <v>1981</v>
      </c>
      <c r="L1528" t="s">
        <v>1981</v>
      </c>
      <c r="M1528" s="11" t="s">
        <v>3917</v>
      </c>
      <c r="N1528" t="s">
        <v>1873</v>
      </c>
      <c r="O1528" s="7" t="s">
        <v>3921</v>
      </c>
      <c r="P1528" s="17" t="str">
        <f t="shared" ca="1" si="46"/>
        <v>75-99.9K</v>
      </c>
      <c r="Q1528" s="17">
        <v>2.5</v>
      </c>
      <c r="R1528">
        <v>10</v>
      </c>
      <c r="S1528">
        <v>3</v>
      </c>
      <c r="T1528">
        <v>2</v>
      </c>
      <c r="U1528">
        <v>7</v>
      </c>
      <c r="V1528" s="15">
        <f t="shared" ca="1" si="47"/>
        <v>5</v>
      </c>
    </row>
    <row r="1529" spans="1:22">
      <c r="A1529" t="s">
        <v>1101</v>
      </c>
      <c r="B1529" s="1">
        <v>41060.129965277774</v>
      </c>
      <c r="C1529" s="2">
        <v>89000</v>
      </c>
      <c r="D1529">
        <v>89000</v>
      </c>
      <c r="E1529" t="s">
        <v>1856</v>
      </c>
      <c r="F1529" s="5">
        <v>89000</v>
      </c>
      <c r="G1529" s="5">
        <v>89000</v>
      </c>
      <c r="H1529" s="5">
        <f ca="1">OFFSET(F1529,0,Brains!$D$1,1,1)</f>
        <v>89000</v>
      </c>
      <c r="I1529" t="s">
        <v>3022</v>
      </c>
      <c r="J1529" t="s">
        <v>1882</v>
      </c>
      <c r="K1529" t="s">
        <v>1869</v>
      </c>
      <c r="L1529" t="s">
        <v>1869</v>
      </c>
      <c r="M1529" s="11" t="s">
        <v>3917</v>
      </c>
      <c r="N1529" t="s">
        <v>1873</v>
      </c>
      <c r="O1529" s="7" t="s">
        <v>3921</v>
      </c>
      <c r="P1529" s="17" t="str">
        <f t="shared" ca="1" si="46"/>
        <v>75-99.9K</v>
      </c>
      <c r="Q1529" s="17">
        <v>2.5</v>
      </c>
      <c r="R1529">
        <v>10</v>
      </c>
      <c r="S1529">
        <v>3</v>
      </c>
      <c r="T1529">
        <v>2</v>
      </c>
      <c r="U1529">
        <v>7</v>
      </c>
      <c r="V1529" s="15">
        <f t="shared" ca="1" si="47"/>
        <v>5</v>
      </c>
    </row>
    <row r="1530" spans="1:22">
      <c r="A1530" t="s">
        <v>249</v>
      </c>
      <c r="B1530" s="1">
        <v>41057.672118055554</v>
      </c>
      <c r="C1530" s="2">
        <v>48000</v>
      </c>
      <c r="D1530">
        <v>48000</v>
      </c>
      <c r="E1530" t="s">
        <v>1954</v>
      </c>
      <c r="F1530" s="5">
        <v>75656.557059229643</v>
      </c>
      <c r="G1530" s="5">
        <v>71216.617210682496</v>
      </c>
      <c r="H1530" s="5">
        <f ca="1">OFFSET(F1530,0,Brains!$D$1,1,1)</f>
        <v>71216.617210682496</v>
      </c>
      <c r="I1530" t="s">
        <v>250</v>
      </c>
      <c r="J1530" t="s">
        <v>1882</v>
      </c>
      <c r="K1530" t="s">
        <v>1956</v>
      </c>
      <c r="L1530" t="s">
        <v>1956</v>
      </c>
      <c r="M1530" s="11" t="s">
        <v>3917</v>
      </c>
      <c r="N1530" t="s">
        <v>1873</v>
      </c>
      <c r="O1530" s="7" t="s">
        <v>3921</v>
      </c>
      <c r="P1530" s="17" t="str">
        <f t="shared" ca="1" si="46"/>
        <v>50-74.9K</v>
      </c>
      <c r="Q1530" s="17">
        <v>2.5</v>
      </c>
      <c r="R1530">
        <v>10</v>
      </c>
      <c r="S1530">
        <v>3</v>
      </c>
      <c r="T1530">
        <v>2</v>
      </c>
      <c r="U1530">
        <v>7</v>
      </c>
      <c r="V1530" s="15">
        <f t="shared" ca="1" si="47"/>
        <v>4</v>
      </c>
    </row>
    <row r="1531" spans="1:22">
      <c r="A1531" t="s">
        <v>444</v>
      </c>
      <c r="B1531" s="1">
        <v>41057.967638888891</v>
      </c>
      <c r="C1531" s="2">
        <v>60000</v>
      </c>
      <c r="D1531">
        <v>60000</v>
      </c>
      <c r="E1531" t="s">
        <v>1856</v>
      </c>
      <c r="F1531" s="5">
        <v>60000</v>
      </c>
      <c r="G1531" s="5">
        <v>60000</v>
      </c>
      <c r="H1531" s="5">
        <f ca="1">OFFSET(F1531,0,Brains!$D$1,1,1)</f>
        <v>60000</v>
      </c>
      <c r="I1531" t="s">
        <v>445</v>
      </c>
      <c r="J1531" t="s">
        <v>1882</v>
      </c>
      <c r="K1531" t="s">
        <v>1869</v>
      </c>
      <c r="L1531" t="s">
        <v>1869</v>
      </c>
      <c r="M1531" s="11" t="s">
        <v>3917</v>
      </c>
      <c r="N1531" t="s">
        <v>1873</v>
      </c>
      <c r="O1531" s="7" t="s">
        <v>3921</v>
      </c>
      <c r="P1531" s="17" t="str">
        <f t="shared" ca="1" si="46"/>
        <v>50-74.9K</v>
      </c>
      <c r="Q1531" s="17">
        <v>2.5</v>
      </c>
      <c r="R1531">
        <v>10</v>
      </c>
      <c r="S1531">
        <v>3</v>
      </c>
      <c r="T1531">
        <v>2</v>
      </c>
      <c r="U1531">
        <v>7</v>
      </c>
      <c r="V1531" s="15">
        <f t="shared" ca="1" si="47"/>
        <v>4</v>
      </c>
    </row>
    <row r="1532" spans="1:22">
      <c r="A1532" t="s">
        <v>1786</v>
      </c>
      <c r="B1532" s="1">
        <v>41079.076261574075</v>
      </c>
      <c r="C1532" s="2" t="s">
        <v>1787</v>
      </c>
      <c r="D1532">
        <v>60000</v>
      </c>
      <c r="E1532" t="s">
        <v>1856</v>
      </c>
      <c r="F1532" s="5">
        <v>60000</v>
      </c>
      <c r="G1532" s="5">
        <v>60000</v>
      </c>
      <c r="H1532" s="5">
        <f ca="1">OFFSET(F1532,0,Brains!$D$1,1,1)</f>
        <v>60000</v>
      </c>
      <c r="I1532" t="s">
        <v>1788</v>
      </c>
      <c r="J1532" t="s">
        <v>1882</v>
      </c>
      <c r="K1532" t="s">
        <v>1981</v>
      </c>
      <c r="L1532" t="s">
        <v>1981</v>
      </c>
      <c r="M1532" s="11" t="s">
        <v>3917</v>
      </c>
      <c r="N1532" t="s">
        <v>1873</v>
      </c>
      <c r="O1532" s="7" t="s">
        <v>3921</v>
      </c>
      <c r="P1532" s="17" t="str">
        <f t="shared" ca="1" si="46"/>
        <v>50-74.9K</v>
      </c>
      <c r="Q1532" s="17">
        <v>2.5</v>
      </c>
      <c r="R1532">
        <v>10</v>
      </c>
      <c r="S1532">
        <v>3</v>
      </c>
      <c r="T1532">
        <v>2</v>
      </c>
      <c r="U1532">
        <v>7</v>
      </c>
      <c r="V1532" s="15">
        <f t="shared" ca="1" si="47"/>
        <v>4</v>
      </c>
    </row>
    <row r="1533" spans="1:22">
      <c r="A1533" t="s">
        <v>162</v>
      </c>
      <c r="B1533" s="1">
        <v>41057.592245370368</v>
      </c>
      <c r="C1533" s="2">
        <v>43500</v>
      </c>
      <c r="D1533">
        <v>43500</v>
      </c>
      <c r="E1533" t="s">
        <v>1880</v>
      </c>
      <c r="F1533" s="5">
        <v>55262.375596134938</v>
      </c>
      <c r="G1533" s="5">
        <v>54644.67145362364</v>
      </c>
      <c r="H1533" s="5">
        <f ca="1">OFFSET(F1533,0,Brains!$D$1,1,1)</f>
        <v>54644.67145362364</v>
      </c>
      <c r="I1533" t="s">
        <v>163</v>
      </c>
      <c r="J1533" t="s">
        <v>1882</v>
      </c>
      <c r="K1533" t="s">
        <v>164</v>
      </c>
      <c r="L1533" t="s">
        <v>2957</v>
      </c>
      <c r="M1533" s="11" t="s">
        <v>3917</v>
      </c>
      <c r="N1533" t="s">
        <v>1873</v>
      </c>
      <c r="O1533" s="7" t="s">
        <v>3921</v>
      </c>
      <c r="P1533" s="17" t="str">
        <f t="shared" ca="1" si="46"/>
        <v>50-74.9K</v>
      </c>
      <c r="Q1533" s="17">
        <v>2.5</v>
      </c>
      <c r="R1533">
        <v>10</v>
      </c>
      <c r="S1533">
        <v>3</v>
      </c>
      <c r="T1533">
        <v>2</v>
      </c>
      <c r="U1533">
        <v>7</v>
      </c>
      <c r="V1533" s="15">
        <f t="shared" ca="1" si="47"/>
        <v>4</v>
      </c>
    </row>
    <row r="1534" spans="1:22">
      <c r="A1534" t="s">
        <v>3562</v>
      </c>
      <c r="B1534" s="1">
        <v>41055.882175925923</v>
      </c>
      <c r="C1534" s="2">
        <v>48500</v>
      </c>
      <c r="D1534">
        <v>48500</v>
      </c>
      <c r="E1534" t="s">
        <v>1856</v>
      </c>
      <c r="F1534" s="5">
        <v>48500</v>
      </c>
      <c r="G1534" s="5">
        <v>48500</v>
      </c>
      <c r="H1534" s="5">
        <f ca="1">OFFSET(F1534,0,Brains!$D$1,1,1)</f>
        <v>48500</v>
      </c>
      <c r="I1534" t="s">
        <v>3563</v>
      </c>
      <c r="J1534" t="s">
        <v>1882</v>
      </c>
      <c r="K1534" t="s">
        <v>1869</v>
      </c>
      <c r="L1534" t="s">
        <v>1869</v>
      </c>
      <c r="M1534" s="11" t="s">
        <v>3917</v>
      </c>
      <c r="N1534" t="s">
        <v>1873</v>
      </c>
      <c r="O1534" s="7" t="s">
        <v>3921</v>
      </c>
      <c r="P1534" s="17" t="str">
        <f t="shared" ca="1" si="46"/>
        <v>30-49.9K</v>
      </c>
      <c r="Q1534" s="17">
        <v>2.5</v>
      </c>
      <c r="R1534">
        <v>10</v>
      </c>
      <c r="S1534">
        <v>3</v>
      </c>
      <c r="T1534">
        <v>2</v>
      </c>
      <c r="U1534">
        <v>7</v>
      </c>
      <c r="V1534" s="15">
        <f t="shared" ca="1" si="47"/>
        <v>3</v>
      </c>
    </row>
    <row r="1535" spans="1:22">
      <c r="A1535" t="s">
        <v>3172</v>
      </c>
      <c r="B1535" s="1">
        <v>41055.447141203702</v>
      </c>
      <c r="C1535" s="2">
        <v>1800000</v>
      </c>
      <c r="D1535">
        <v>1800000</v>
      </c>
      <c r="E1535" t="s">
        <v>1908</v>
      </c>
      <c r="F1535" s="5">
        <v>32054.250037396621</v>
      </c>
      <c r="G1535" s="5">
        <v>89632.506722438004</v>
      </c>
      <c r="H1535" s="5">
        <f ca="1">OFFSET(F1535,0,Brains!$D$1,1,1)</f>
        <v>89632.506722438004</v>
      </c>
      <c r="I1535" t="s">
        <v>3173</v>
      </c>
      <c r="J1535" t="s">
        <v>1882</v>
      </c>
      <c r="K1535" t="s">
        <v>1859</v>
      </c>
      <c r="L1535" t="s">
        <v>1859</v>
      </c>
      <c r="M1535" s="11" t="s">
        <v>3917</v>
      </c>
      <c r="N1535" t="s">
        <v>1873</v>
      </c>
      <c r="O1535" s="7" t="s">
        <v>3921</v>
      </c>
      <c r="P1535" s="17" t="str">
        <f t="shared" ca="1" si="46"/>
        <v>75-99.9K</v>
      </c>
      <c r="Q1535" s="17">
        <v>2.5</v>
      </c>
      <c r="R1535">
        <v>10</v>
      </c>
      <c r="S1535">
        <v>3</v>
      </c>
      <c r="T1535">
        <v>2</v>
      </c>
      <c r="U1535">
        <v>7</v>
      </c>
      <c r="V1535" s="15">
        <f t="shared" ca="1" si="47"/>
        <v>5</v>
      </c>
    </row>
    <row r="1536" spans="1:22">
      <c r="A1536" t="s">
        <v>636</v>
      </c>
      <c r="B1536" s="1">
        <v>41058.483252314814</v>
      </c>
      <c r="C1536" s="2" t="s">
        <v>637</v>
      </c>
      <c r="D1536">
        <v>1000000</v>
      </c>
      <c r="E1536" t="s">
        <v>1908</v>
      </c>
      <c r="F1536" s="5">
        <v>17807.916687442568</v>
      </c>
      <c r="G1536" s="5">
        <v>49795.837068021116</v>
      </c>
      <c r="H1536" s="5">
        <f ca="1">OFFSET(F1536,0,Brains!$D$1,1,1)</f>
        <v>49795.837068021116</v>
      </c>
      <c r="I1536" t="s">
        <v>1882</v>
      </c>
      <c r="J1536" t="s">
        <v>1882</v>
      </c>
      <c r="K1536" t="s">
        <v>1859</v>
      </c>
      <c r="L1536" t="s">
        <v>1859</v>
      </c>
      <c r="M1536" s="11" t="s">
        <v>3917</v>
      </c>
      <c r="N1536" t="s">
        <v>1873</v>
      </c>
      <c r="O1536" s="7" t="s">
        <v>3921</v>
      </c>
      <c r="P1536" s="17" t="str">
        <f t="shared" ca="1" si="46"/>
        <v>30-49.9K</v>
      </c>
      <c r="Q1536" s="17">
        <v>2.5</v>
      </c>
      <c r="R1536">
        <v>10</v>
      </c>
      <c r="S1536">
        <v>3</v>
      </c>
      <c r="T1536">
        <v>2</v>
      </c>
      <c r="U1536">
        <v>7</v>
      </c>
      <c r="V1536" s="15">
        <f t="shared" ca="1" si="47"/>
        <v>3</v>
      </c>
    </row>
    <row r="1537" spans="1:22">
      <c r="A1537" t="s">
        <v>1673</v>
      </c>
      <c r="B1537" s="1">
        <v>41073.767361111109</v>
      </c>
      <c r="C1537" s="2" t="s">
        <v>1674</v>
      </c>
      <c r="D1537">
        <v>1000000</v>
      </c>
      <c r="E1537" t="s">
        <v>1908</v>
      </c>
      <c r="F1537" s="5">
        <v>17807.916687442568</v>
      </c>
      <c r="G1537" s="5">
        <v>49795.837068021116</v>
      </c>
      <c r="H1537" s="5">
        <f ca="1">OFFSET(F1537,0,Brains!$D$1,1,1)</f>
        <v>49795.837068021116</v>
      </c>
      <c r="I1537" t="s">
        <v>1675</v>
      </c>
      <c r="J1537" t="s">
        <v>1882</v>
      </c>
      <c r="K1537" t="s">
        <v>1859</v>
      </c>
      <c r="L1537" t="s">
        <v>1859</v>
      </c>
      <c r="M1537" s="11" t="s">
        <v>3917</v>
      </c>
      <c r="N1537" t="s">
        <v>1873</v>
      </c>
      <c r="O1537" s="7" t="s">
        <v>3921</v>
      </c>
      <c r="P1537" s="17" t="str">
        <f t="shared" ca="1" si="46"/>
        <v>30-49.9K</v>
      </c>
      <c r="Q1537" s="17">
        <v>2.5</v>
      </c>
      <c r="R1537">
        <v>10</v>
      </c>
      <c r="S1537">
        <v>3</v>
      </c>
      <c r="T1537">
        <v>2</v>
      </c>
      <c r="U1537">
        <v>7</v>
      </c>
      <c r="V1537" s="15">
        <f t="shared" ca="1" si="47"/>
        <v>3</v>
      </c>
    </row>
    <row r="1538" spans="1:22">
      <c r="A1538" t="s">
        <v>3705</v>
      </c>
      <c r="B1538" s="1">
        <v>41056.33865740741</v>
      </c>
      <c r="C1538" s="2" t="s">
        <v>3706</v>
      </c>
      <c r="D1538">
        <v>125000</v>
      </c>
      <c r="E1538" t="s">
        <v>1856</v>
      </c>
      <c r="F1538" s="5">
        <v>125000</v>
      </c>
      <c r="G1538" s="5">
        <v>125000</v>
      </c>
      <c r="H1538" s="5">
        <f ca="1">OFFSET(F1538,0,Brains!$D$1,1,1)</f>
        <v>125000</v>
      </c>
      <c r="I1538" t="s">
        <v>3707</v>
      </c>
      <c r="J1538" t="s">
        <v>1882</v>
      </c>
      <c r="K1538" t="s">
        <v>2909</v>
      </c>
      <c r="L1538" t="s">
        <v>2909</v>
      </c>
      <c r="M1538" s="11" t="s">
        <v>3918</v>
      </c>
      <c r="N1538" t="s">
        <v>1860</v>
      </c>
      <c r="O1538" s="7" t="s">
        <v>3921</v>
      </c>
      <c r="P1538" s="17" t="str">
        <f t="shared" ref="P1538:P1601" ca="1" si="48">IF(H1538&lt;15000,"0-14.9K",IF(H1538&lt;30000,"15-29.9K",IF(H1538&lt;50000,"30-49.9K",IF(H1538&lt;75000,"50-74.9K",IF(H1538&lt;100000,"75-99.9K",IF(H1538&lt;150000,"100-149.9K",IF(H1538&lt;250000,"150-249.9K","250K+")))))))</f>
        <v>100-149.9K</v>
      </c>
      <c r="Q1538" s="17">
        <v>5</v>
      </c>
      <c r="R1538">
        <v>6</v>
      </c>
      <c r="S1538">
        <v>4</v>
      </c>
      <c r="T1538">
        <v>2</v>
      </c>
      <c r="U1538">
        <v>7</v>
      </c>
      <c r="V1538" s="15">
        <f t="shared" ref="V1538:V1601" ca="1" si="49">IF(H1538&lt;15000,1,IF(H1538&lt;30000,2,IF(H1538&lt;50000,3,IF(H1538&lt;75000,4,IF(H1538&lt;100000,5,IF(H1538&lt;150000,6,IF(H1538&lt;250000,7,8)))))))</f>
        <v>6</v>
      </c>
    </row>
    <row r="1539" spans="1:22">
      <c r="A1539" t="s">
        <v>3086</v>
      </c>
      <c r="B1539" s="1">
        <v>41055.287962962961</v>
      </c>
      <c r="C1539" s="2">
        <v>90000</v>
      </c>
      <c r="D1539">
        <v>90000</v>
      </c>
      <c r="E1539" t="s">
        <v>1856</v>
      </c>
      <c r="F1539" s="5">
        <v>90000</v>
      </c>
      <c r="G1539" s="5">
        <v>90000</v>
      </c>
      <c r="H1539" s="5">
        <f ca="1">OFFSET(F1539,0,Brains!$D$1,1,1)</f>
        <v>90000</v>
      </c>
      <c r="I1539" t="s">
        <v>3087</v>
      </c>
      <c r="J1539" t="s">
        <v>1882</v>
      </c>
      <c r="K1539" t="s">
        <v>1869</v>
      </c>
      <c r="L1539" t="s">
        <v>1869</v>
      </c>
      <c r="M1539" s="11" t="s">
        <v>3918</v>
      </c>
      <c r="N1539" t="s">
        <v>1860</v>
      </c>
      <c r="O1539" s="7" t="s">
        <v>3921</v>
      </c>
      <c r="P1539" s="17" t="str">
        <f t="shared" ca="1" si="48"/>
        <v>75-99.9K</v>
      </c>
      <c r="Q1539" s="17">
        <v>5</v>
      </c>
      <c r="R1539">
        <v>6</v>
      </c>
      <c r="S1539">
        <v>4</v>
      </c>
      <c r="T1539">
        <v>2</v>
      </c>
      <c r="U1539">
        <v>7</v>
      </c>
      <c r="V1539" s="15">
        <f t="shared" ca="1" si="49"/>
        <v>5</v>
      </c>
    </row>
    <row r="1540" spans="1:22">
      <c r="A1540" t="s">
        <v>1415</v>
      </c>
      <c r="B1540" s="1">
        <v>41065.446921296294</v>
      </c>
      <c r="C1540" s="2">
        <v>110000</v>
      </c>
      <c r="D1540">
        <v>110000</v>
      </c>
      <c r="E1540" t="s">
        <v>3081</v>
      </c>
      <c r="F1540" s="5">
        <v>87734.690296543267</v>
      </c>
      <c r="G1540" s="5">
        <v>63768.115942028991</v>
      </c>
      <c r="H1540" s="5">
        <f ca="1">OFFSET(F1540,0,Brains!$D$1,1,1)</f>
        <v>63768.115942028991</v>
      </c>
      <c r="I1540" t="s">
        <v>1416</v>
      </c>
      <c r="J1540" t="s">
        <v>1882</v>
      </c>
      <c r="K1540" t="s">
        <v>3083</v>
      </c>
      <c r="L1540" t="s">
        <v>3083</v>
      </c>
      <c r="M1540" s="11" t="s">
        <v>3918</v>
      </c>
      <c r="N1540" t="s">
        <v>1860</v>
      </c>
      <c r="O1540" s="7" t="s">
        <v>3921</v>
      </c>
      <c r="P1540" s="17" t="str">
        <f t="shared" ca="1" si="48"/>
        <v>50-74.9K</v>
      </c>
      <c r="Q1540" s="17">
        <v>5</v>
      </c>
      <c r="R1540">
        <v>6</v>
      </c>
      <c r="S1540">
        <v>4</v>
      </c>
      <c r="T1540">
        <v>2</v>
      </c>
      <c r="U1540">
        <v>7</v>
      </c>
      <c r="V1540" s="15">
        <f t="shared" ca="1" si="49"/>
        <v>4</v>
      </c>
    </row>
    <row r="1541" spans="1:22">
      <c r="A1541" t="s">
        <v>1771</v>
      </c>
      <c r="B1541" s="1">
        <v>41077.667939814812</v>
      </c>
      <c r="C1541" s="2">
        <v>60000</v>
      </c>
      <c r="D1541">
        <v>60000</v>
      </c>
      <c r="E1541" t="s">
        <v>1880</v>
      </c>
      <c r="F1541" s="5">
        <v>76223.966339496474</v>
      </c>
      <c r="G1541" s="5">
        <v>75371.960625687774</v>
      </c>
      <c r="H1541" s="5">
        <f ca="1">OFFSET(F1541,0,Brains!$D$1,1,1)</f>
        <v>75371.960625687774</v>
      </c>
      <c r="I1541" t="s">
        <v>1772</v>
      </c>
      <c r="J1541" t="s">
        <v>1882</v>
      </c>
      <c r="K1541" t="s">
        <v>1883</v>
      </c>
      <c r="L1541" t="s">
        <v>1883</v>
      </c>
      <c r="M1541" s="11" t="s">
        <v>3918</v>
      </c>
      <c r="N1541" t="s">
        <v>1860</v>
      </c>
      <c r="O1541" s="7" t="s">
        <v>3921</v>
      </c>
      <c r="P1541" s="17" t="str">
        <f t="shared" ca="1" si="48"/>
        <v>75-99.9K</v>
      </c>
      <c r="Q1541" s="17">
        <v>5</v>
      </c>
      <c r="R1541">
        <v>6</v>
      </c>
      <c r="S1541">
        <v>4</v>
      </c>
      <c r="T1541">
        <v>2</v>
      </c>
      <c r="U1541">
        <v>7</v>
      </c>
      <c r="V1541" s="15">
        <f t="shared" ca="1" si="49"/>
        <v>5</v>
      </c>
    </row>
    <row r="1542" spans="1:22">
      <c r="A1542" t="s">
        <v>1542</v>
      </c>
      <c r="B1542" s="1">
        <v>41068.783472222225</v>
      </c>
      <c r="C1542" s="2">
        <v>28995</v>
      </c>
      <c r="D1542">
        <v>28995</v>
      </c>
      <c r="E1542" t="s">
        <v>1856</v>
      </c>
      <c r="F1542" s="5">
        <v>28995</v>
      </c>
      <c r="G1542" s="5">
        <v>28995</v>
      </c>
      <c r="H1542" s="5">
        <f ca="1">OFFSET(F1542,0,Brains!$D$1,1,1)</f>
        <v>28995</v>
      </c>
      <c r="I1542" t="s">
        <v>3217</v>
      </c>
      <c r="J1542" t="s">
        <v>1882</v>
      </c>
      <c r="K1542" t="s">
        <v>1859</v>
      </c>
      <c r="L1542" t="s">
        <v>1859</v>
      </c>
      <c r="M1542" s="11" t="s">
        <v>3918</v>
      </c>
      <c r="N1542" t="s">
        <v>1860</v>
      </c>
      <c r="O1542" s="7" t="s">
        <v>3921</v>
      </c>
      <c r="P1542" s="17" t="str">
        <f t="shared" ca="1" si="48"/>
        <v>15-29.9K</v>
      </c>
      <c r="Q1542" s="17">
        <v>5</v>
      </c>
      <c r="R1542">
        <v>6</v>
      </c>
      <c r="S1542">
        <v>4</v>
      </c>
      <c r="T1542">
        <v>2</v>
      </c>
      <c r="U1542">
        <v>7</v>
      </c>
      <c r="V1542" s="15">
        <f t="shared" ca="1" si="49"/>
        <v>2</v>
      </c>
    </row>
    <row r="1543" spans="1:22">
      <c r="A1543" t="s">
        <v>3783</v>
      </c>
      <c r="B1543" s="1">
        <v>41056.647337962961</v>
      </c>
      <c r="C1543" s="2">
        <v>10000</v>
      </c>
      <c r="D1543">
        <v>10000</v>
      </c>
      <c r="E1543" t="s">
        <v>1856</v>
      </c>
      <c r="F1543" s="5">
        <v>10000</v>
      </c>
      <c r="G1543" s="5">
        <v>10000</v>
      </c>
      <c r="H1543" s="5">
        <f ca="1">OFFSET(F1543,0,Brains!$D$1,1,1)</f>
        <v>10000</v>
      </c>
      <c r="I1543" t="s">
        <v>2798</v>
      </c>
      <c r="J1543" t="s">
        <v>1882</v>
      </c>
      <c r="K1543" t="s">
        <v>1859</v>
      </c>
      <c r="L1543" t="s">
        <v>1859</v>
      </c>
      <c r="M1543" s="11" t="s">
        <v>3918</v>
      </c>
      <c r="N1543" t="s">
        <v>1860</v>
      </c>
      <c r="O1543" s="7" t="s">
        <v>3921</v>
      </c>
      <c r="P1543" s="17" t="str">
        <f t="shared" ca="1" si="48"/>
        <v>0-14.9K</v>
      </c>
      <c r="Q1543" s="17">
        <v>5</v>
      </c>
      <c r="R1543">
        <v>6</v>
      </c>
      <c r="S1543">
        <v>4</v>
      </c>
      <c r="T1543">
        <v>2</v>
      </c>
      <c r="U1543">
        <v>7</v>
      </c>
      <c r="V1543" s="15">
        <f t="shared" ca="1" si="49"/>
        <v>1</v>
      </c>
    </row>
    <row r="1544" spans="1:22">
      <c r="A1544" t="s">
        <v>3572</v>
      </c>
      <c r="B1544" s="1">
        <v>41055.903344907405</v>
      </c>
      <c r="C1544" s="2" t="s">
        <v>3573</v>
      </c>
      <c r="D1544">
        <v>450000</v>
      </c>
      <c r="E1544" t="s">
        <v>1908</v>
      </c>
      <c r="F1544" s="5">
        <v>8013.5625093491553</v>
      </c>
      <c r="G1544" s="5">
        <v>22408.126680609501</v>
      </c>
      <c r="H1544" s="5">
        <f ca="1">OFFSET(F1544,0,Brains!$D$1,1,1)</f>
        <v>22408.126680609501</v>
      </c>
      <c r="I1544" t="s">
        <v>3574</v>
      </c>
      <c r="J1544" t="s">
        <v>1882</v>
      </c>
      <c r="K1544" t="s">
        <v>1859</v>
      </c>
      <c r="L1544" t="s">
        <v>1859</v>
      </c>
      <c r="M1544" s="11" t="s">
        <v>3918</v>
      </c>
      <c r="N1544" t="s">
        <v>1860</v>
      </c>
      <c r="O1544" s="7" t="s">
        <v>3921</v>
      </c>
      <c r="P1544" s="17" t="str">
        <f t="shared" ca="1" si="48"/>
        <v>15-29.9K</v>
      </c>
      <c r="Q1544" s="17">
        <v>5</v>
      </c>
      <c r="R1544">
        <v>6</v>
      </c>
      <c r="S1544">
        <v>4</v>
      </c>
      <c r="T1544">
        <v>2</v>
      </c>
      <c r="U1544">
        <v>7</v>
      </c>
      <c r="V1544" s="15">
        <f t="shared" ca="1" si="49"/>
        <v>2</v>
      </c>
    </row>
    <row r="1545" spans="1:22">
      <c r="A1545" t="s">
        <v>989</v>
      </c>
      <c r="B1545" s="1">
        <v>41059.589699074073</v>
      </c>
      <c r="C1545" s="2" t="s">
        <v>990</v>
      </c>
      <c r="D1545">
        <v>400000</v>
      </c>
      <c r="E1545" t="s">
        <v>1908</v>
      </c>
      <c r="F1545" s="5">
        <v>7123.1666749770275</v>
      </c>
      <c r="G1545" s="5">
        <v>19918.334827208444</v>
      </c>
      <c r="H1545" s="5">
        <f ca="1">OFFSET(F1545,0,Brains!$D$1,1,1)</f>
        <v>19918.334827208444</v>
      </c>
      <c r="I1545" t="s">
        <v>3677</v>
      </c>
      <c r="J1545" t="s">
        <v>1882</v>
      </c>
      <c r="K1545" t="s">
        <v>1859</v>
      </c>
      <c r="L1545" t="s">
        <v>1859</v>
      </c>
      <c r="M1545" s="11" t="s">
        <v>3918</v>
      </c>
      <c r="N1545" t="s">
        <v>1860</v>
      </c>
      <c r="O1545" s="7" t="s">
        <v>3921</v>
      </c>
      <c r="P1545" s="17" t="str">
        <f t="shared" ca="1" si="48"/>
        <v>15-29.9K</v>
      </c>
      <c r="Q1545" s="17">
        <v>5</v>
      </c>
      <c r="R1545">
        <v>6</v>
      </c>
      <c r="S1545">
        <v>4</v>
      </c>
      <c r="T1545">
        <v>2</v>
      </c>
      <c r="U1545">
        <v>7</v>
      </c>
      <c r="V1545" s="15">
        <f t="shared" ca="1" si="49"/>
        <v>2</v>
      </c>
    </row>
    <row r="1546" spans="1:22">
      <c r="A1546" t="s">
        <v>376</v>
      </c>
      <c r="B1546" s="1">
        <v>41057.913483796299</v>
      </c>
      <c r="C1546" s="2">
        <v>500</v>
      </c>
      <c r="D1546">
        <v>6000</v>
      </c>
      <c r="E1546" t="s">
        <v>1856</v>
      </c>
      <c r="F1546" s="5">
        <v>6000</v>
      </c>
      <c r="G1546" s="5">
        <v>6000</v>
      </c>
      <c r="H1546" s="5">
        <f ca="1">OFFSET(F1546,0,Brains!$D$1,1,1)</f>
        <v>6000</v>
      </c>
      <c r="I1546" t="s">
        <v>377</v>
      </c>
      <c r="J1546" t="s">
        <v>1882</v>
      </c>
      <c r="K1546" t="s">
        <v>1859</v>
      </c>
      <c r="L1546" t="s">
        <v>1859</v>
      </c>
      <c r="M1546" s="11" t="s">
        <v>3918</v>
      </c>
      <c r="N1546" t="s">
        <v>1860</v>
      </c>
      <c r="O1546" s="7" t="s">
        <v>3921</v>
      </c>
      <c r="P1546" s="17" t="str">
        <f t="shared" ca="1" si="48"/>
        <v>0-14.9K</v>
      </c>
      <c r="Q1546" s="17">
        <v>5</v>
      </c>
      <c r="R1546">
        <v>6</v>
      </c>
      <c r="S1546">
        <v>4</v>
      </c>
      <c r="T1546">
        <v>2</v>
      </c>
      <c r="U1546">
        <v>7</v>
      </c>
      <c r="V1546" s="15">
        <f t="shared" ca="1" si="49"/>
        <v>1</v>
      </c>
    </row>
    <row r="1547" spans="1:22">
      <c r="A1547" t="s">
        <v>3396</v>
      </c>
      <c r="B1547" s="1">
        <v>41055.626168981478</v>
      </c>
      <c r="C1547" s="2" t="s">
        <v>3397</v>
      </c>
      <c r="D1547">
        <v>250000</v>
      </c>
      <c r="E1547" t="s">
        <v>1908</v>
      </c>
      <c r="F1547" s="5">
        <v>4451.9791718606421</v>
      </c>
      <c r="G1547" s="5">
        <v>12448.959267005279</v>
      </c>
      <c r="H1547" s="5">
        <f ca="1">OFFSET(F1547,0,Brains!$D$1,1,1)</f>
        <v>12448.959267005279</v>
      </c>
      <c r="I1547" t="s">
        <v>3339</v>
      </c>
      <c r="J1547" t="s">
        <v>1882</v>
      </c>
      <c r="K1547" t="s">
        <v>1859</v>
      </c>
      <c r="L1547" t="s">
        <v>1859</v>
      </c>
      <c r="M1547" s="11" t="s">
        <v>3918</v>
      </c>
      <c r="N1547" t="s">
        <v>1860</v>
      </c>
      <c r="O1547" s="7" t="s">
        <v>3921</v>
      </c>
      <c r="P1547" s="17" t="str">
        <f t="shared" ca="1" si="48"/>
        <v>0-14.9K</v>
      </c>
      <c r="Q1547" s="17">
        <v>5</v>
      </c>
      <c r="R1547">
        <v>6</v>
      </c>
      <c r="S1547">
        <v>4</v>
      </c>
      <c r="T1547">
        <v>2</v>
      </c>
      <c r="U1547">
        <v>7</v>
      </c>
      <c r="V1547" s="15">
        <f t="shared" ca="1" si="49"/>
        <v>1</v>
      </c>
    </row>
    <row r="1548" spans="1:22">
      <c r="A1548" t="s">
        <v>1526</v>
      </c>
      <c r="B1548" s="1">
        <v>41068.202604166669</v>
      </c>
      <c r="C1548" s="2">
        <v>80000</v>
      </c>
      <c r="D1548">
        <v>80000</v>
      </c>
      <c r="E1548" t="s">
        <v>1856</v>
      </c>
      <c r="F1548" s="5">
        <v>80000</v>
      </c>
      <c r="G1548" s="5">
        <v>80000</v>
      </c>
      <c r="H1548" s="5">
        <f ca="1">OFFSET(F1548,0,Brains!$D$1,1,1)</f>
        <v>80000</v>
      </c>
      <c r="I1548" t="s">
        <v>1527</v>
      </c>
      <c r="J1548" t="s">
        <v>1882</v>
      </c>
      <c r="K1548" t="s">
        <v>1869</v>
      </c>
      <c r="L1548" t="s">
        <v>1869</v>
      </c>
      <c r="M1548" s="11" t="s">
        <v>3918</v>
      </c>
      <c r="N1548" t="s">
        <v>1860</v>
      </c>
      <c r="O1548" s="7" t="s">
        <v>3921</v>
      </c>
      <c r="P1548" s="17" t="str">
        <f t="shared" ca="1" si="48"/>
        <v>75-99.9K</v>
      </c>
      <c r="Q1548" s="17">
        <v>5</v>
      </c>
      <c r="R1548">
        <v>7</v>
      </c>
      <c r="S1548">
        <v>4</v>
      </c>
      <c r="T1548">
        <v>2</v>
      </c>
      <c r="U1548">
        <v>7</v>
      </c>
      <c r="V1548" s="15">
        <f t="shared" ca="1" si="49"/>
        <v>5</v>
      </c>
    </row>
    <row r="1549" spans="1:22">
      <c r="A1549" t="s">
        <v>17</v>
      </c>
      <c r="B1549" s="1">
        <v>41057.335532407407</v>
      </c>
      <c r="C1549" s="2" t="s">
        <v>18</v>
      </c>
      <c r="D1549">
        <v>70000</v>
      </c>
      <c r="E1549" t="s">
        <v>1973</v>
      </c>
      <c r="F1549" s="5">
        <v>71393.675948184507</v>
      </c>
      <c r="G1549" s="5">
        <v>44529.262086513998</v>
      </c>
      <c r="H1549" s="5">
        <f ca="1">OFFSET(F1549,0,Brains!$D$1,1,1)</f>
        <v>44529.262086513998</v>
      </c>
      <c r="I1549" t="s">
        <v>1917</v>
      </c>
      <c r="J1549" t="s">
        <v>1882</v>
      </c>
      <c r="K1549" t="s">
        <v>1975</v>
      </c>
      <c r="L1549" t="s">
        <v>1975</v>
      </c>
      <c r="M1549" s="11" t="s">
        <v>3918</v>
      </c>
      <c r="N1549" t="s">
        <v>1860</v>
      </c>
      <c r="O1549" s="7" t="s">
        <v>3921</v>
      </c>
      <c r="P1549" s="17" t="str">
        <f t="shared" ca="1" si="48"/>
        <v>30-49.9K</v>
      </c>
      <c r="Q1549" s="17">
        <v>5</v>
      </c>
      <c r="R1549">
        <v>7</v>
      </c>
      <c r="S1549">
        <v>4</v>
      </c>
      <c r="T1549">
        <v>2</v>
      </c>
      <c r="U1549">
        <v>7</v>
      </c>
      <c r="V1549" s="15">
        <f t="shared" ca="1" si="49"/>
        <v>3</v>
      </c>
    </row>
    <row r="1550" spans="1:22">
      <c r="A1550" t="s">
        <v>1589</v>
      </c>
      <c r="B1550" s="1">
        <v>41070.911458333336</v>
      </c>
      <c r="C1550" s="2" t="s">
        <v>1590</v>
      </c>
      <c r="D1550">
        <v>31185</v>
      </c>
      <c r="E1550" t="s">
        <v>1954</v>
      </c>
      <c r="F1550" s="5">
        <v>49153.119414418252</v>
      </c>
      <c r="G1550" s="5">
        <v>46268.54599406528</v>
      </c>
      <c r="H1550" s="5">
        <f ca="1">OFFSET(F1550,0,Brains!$D$1,1,1)</f>
        <v>46268.54599406528</v>
      </c>
      <c r="I1550" t="s">
        <v>1591</v>
      </c>
      <c r="J1550" t="s">
        <v>1882</v>
      </c>
      <c r="K1550" t="s">
        <v>1956</v>
      </c>
      <c r="L1550" t="s">
        <v>1956</v>
      </c>
      <c r="M1550" s="11" t="s">
        <v>3918</v>
      </c>
      <c r="N1550" t="s">
        <v>1860</v>
      </c>
      <c r="O1550" s="7" t="s">
        <v>3921</v>
      </c>
      <c r="P1550" s="17" t="str">
        <f t="shared" ca="1" si="48"/>
        <v>30-49.9K</v>
      </c>
      <c r="Q1550" s="17">
        <v>5</v>
      </c>
      <c r="R1550">
        <v>7</v>
      </c>
      <c r="S1550">
        <v>4</v>
      </c>
      <c r="T1550">
        <v>2</v>
      </c>
      <c r="U1550">
        <v>7</v>
      </c>
      <c r="V1550" s="15">
        <f t="shared" ca="1" si="49"/>
        <v>3</v>
      </c>
    </row>
    <row r="1551" spans="1:22">
      <c r="A1551" t="s">
        <v>1681</v>
      </c>
      <c r="B1551" s="1">
        <v>41073.81962962963</v>
      </c>
      <c r="C1551" s="2">
        <v>1200000</v>
      </c>
      <c r="D1551">
        <v>1200000</v>
      </c>
      <c r="E1551" t="s">
        <v>1908</v>
      </c>
      <c r="F1551" s="5">
        <v>21369.500024931083</v>
      </c>
      <c r="G1551" s="5">
        <v>59755.004481625336</v>
      </c>
      <c r="H1551" s="5">
        <f ca="1">OFFSET(F1551,0,Brains!$D$1,1,1)</f>
        <v>59755.004481625336</v>
      </c>
      <c r="I1551" t="s">
        <v>1682</v>
      </c>
      <c r="J1551" t="s">
        <v>1882</v>
      </c>
      <c r="K1551" t="s">
        <v>1859</v>
      </c>
      <c r="L1551" t="s">
        <v>1859</v>
      </c>
      <c r="M1551" s="11" t="s">
        <v>3918</v>
      </c>
      <c r="N1551" t="s">
        <v>1860</v>
      </c>
      <c r="O1551" s="7" t="s">
        <v>3921</v>
      </c>
      <c r="P1551" s="17" t="str">
        <f t="shared" ca="1" si="48"/>
        <v>50-74.9K</v>
      </c>
      <c r="Q1551" s="17">
        <v>5</v>
      </c>
      <c r="R1551">
        <v>7</v>
      </c>
      <c r="S1551">
        <v>4</v>
      </c>
      <c r="T1551">
        <v>2</v>
      </c>
      <c r="U1551">
        <v>7</v>
      </c>
      <c r="V1551" s="15">
        <f t="shared" ca="1" si="49"/>
        <v>4</v>
      </c>
    </row>
    <row r="1552" spans="1:22">
      <c r="A1552" t="s">
        <v>3342</v>
      </c>
      <c r="B1552" s="1">
        <v>41055.571504629632</v>
      </c>
      <c r="C1552" s="2">
        <v>800000</v>
      </c>
      <c r="D1552">
        <v>800000</v>
      </c>
      <c r="E1552" t="s">
        <v>1908</v>
      </c>
      <c r="F1552" s="5">
        <v>14246.333349954055</v>
      </c>
      <c r="G1552" s="5">
        <v>39836.669654416888</v>
      </c>
      <c r="H1552" s="5">
        <f ca="1">OFFSET(F1552,0,Brains!$D$1,1,1)</f>
        <v>39836.669654416888</v>
      </c>
      <c r="I1552" t="s">
        <v>1882</v>
      </c>
      <c r="J1552" t="s">
        <v>1882</v>
      </c>
      <c r="K1552" t="s">
        <v>1859</v>
      </c>
      <c r="L1552" t="s">
        <v>1859</v>
      </c>
      <c r="M1552" s="11" t="s">
        <v>3918</v>
      </c>
      <c r="N1552" t="s">
        <v>1860</v>
      </c>
      <c r="O1552" s="7" t="s">
        <v>3921</v>
      </c>
      <c r="P1552" s="17" t="str">
        <f t="shared" ca="1" si="48"/>
        <v>30-49.9K</v>
      </c>
      <c r="Q1552" s="17">
        <v>5</v>
      </c>
      <c r="R1552">
        <v>7</v>
      </c>
      <c r="S1552">
        <v>4</v>
      </c>
      <c r="T1552">
        <v>2</v>
      </c>
      <c r="U1552">
        <v>7</v>
      </c>
      <c r="V1552" s="15">
        <f t="shared" ca="1" si="49"/>
        <v>3</v>
      </c>
    </row>
    <row r="1553" spans="1:22">
      <c r="A1553" t="s">
        <v>3518</v>
      </c>
      <c r="B1553" s="1">
        <v>41055.797164351854</v>
      </c>
      <c r="C1553" s="2">
        <v>636000</v>
      </c>
      <c r="D1553">
        <v>636000</v>
      </c>
      <c r="E1553" t="s">
        <v>1908</v>
      </c>
      <c r="F1553" s="5">
        <v>11325.835013213473</v>
      </c>
      <c r="G1553" s="5">
        <v>31670.152375261427</v>
      </c>
      <c r="H1553" s="5">
        <f ca="1">OFFSET(F1553,0,Brains!$D$1,1,1)</f>
        <v>31670.152375261427</v>
      </c>
      <c r="I1553" t="s">
        <v>2874</v>
      </c>
      <c r="J1553" t="s">
        <v>1882</v>
      </c>
      <c r="K1553" t="s">
        <v>1859</v>
      </c>
      <c r="L1553" t="s">
        <v>1859</v>
      </c>
      <c r="M1553" s="11" t="s">
        <v>3918</v>
      </c>
      <c r="N1553" t="s">
        <v>1860</v>
      </c>
      <c r="O1553" s="7" t="s">
        <v>3921</v>
      </c>
      <c r="P1553" s="17" t="str">
        <f t="shared" ca="1" si="48"/>
        <v>30-49.9K</v>
      </c>
      <c r="Q1553" s="17">
        <v>5</v>
      </c>
      <c r="R1553">
        <v>7</v>
      </c>
      <c r="S1553">
        <v>4</v>
      </c>
      <c r="T1553">
        <v>2</v>
      </c>
      <c r="U1553">
        <v>7</v>
      </c>
      <c r="V1553" s="15">
        <f t="shared" ca="1" si="49"/>
        <v>3</v>
      </c>
    </row>
    <row r="1554" spans="1:22">
      <c r="A1554" t="s">
        <v>242</v>
      </c>
      <c r="B1554" s="1">
        <v>41057.668958333335</v>
      </c>
      <c r="C1554" s="2">
        <v>7960</v>
      </c>
      <c r="D1554">
        <v>7960</v>
      </c>
      <c r="E1554" t="s">
        <v>1856</v>
      </c>
      <c r="F1554" s="5">
        <v>7960</v>
      </c>
      <c r="G1554" s="5">
        <v>7960</v>
      </c>
      <c r="H1554" s="5">
        <f ca="1">OFFSET(F1554,0,Brains!$D$1,1,1)</f>
        <v>7960</v>
      </c>
      <c r="I1554" t="s">
        <v>3310</v>
      </c>
      <c r="J1554" t="s">
        <v>1882</v>
      </c>
      <c r="K1554" t="s">
        <v>1859</v>
      </c>
      <c r="L1554" t="s">
        <v>1859</v>
      </c>
      <c r="M1554" s="11" t="s">
        <v>3918</v>
      </c>
      <c r="N1554" t="s">
        <v>1860</v>
      </c>
      <c r="O1554" s="7" t="s">
        <v>3921</v>
      </c>
      <c r="P1554" s="17" t="str">
        <f t="shared" ca="1" si="48"/>
        <v>0-14.9K</v>
      </c>
      <c r="Q1554" s="17">
        <v>5</v>
      </c>
      <c r="R1554">
        <v>7</v>
      </c>
      <c r="S1554">
        <v>4</v>
      </c>
      <c r="T1554">
        <v>2</v>
      </c>
      <c r="U1554">
        <v>7</v>
      </c>
      <c r="V1554" s="15">
        <f t="shared" ca="1" si="49"/>
        <v>1</v>
      </c>
    </row>
    <row r="1555" spans="1:22">
      <c r="A1555" t="s">
        <v>3531</v>
      </c>
      <c r="B1555" s="1">
        <v>41055.821944444448</v>
      </c>
      <c r="C1555" s="2" t="s">
        <v>3532</v>
      </c>
      <c r="D1555">
        <v>400000</v>
      </c>
      <c r="E1555" t="s">
        <v>1908</v>
      </c>
      <c r="F1555" s="5">
        <v>7123.1666749770275</v>
      </c>
      <c r="G1555" s="5">
        <v>19918.334827208444</v>
      </c>
      <c r="H1555" s="5">
        <f ca="1">OFFSET(F1555,0,Brains!$D$1,1,1)</f>
        <v>19918.334827208444</v>
      </c>
      <c r="I1555" t="s">
        <v>2985</v>
      </c>
      <c r="J1555" t="s">
        <v>1882</v>
      </c>
      <c r="K1555" t="s">
        <v>1859</v>
      </c>
      <c r="L1555" t="s">
        <v>1859</v>
      </c>
      <c r="M1555" s="11" t="s">
        <v>3918</v>
      </c>
      <c r="N1555" t="s">
        <v>1860</v>
      </c>
      <c r="O1555" s="7" t="s">
        <v>3921</v>
      </c>
      <c r="P1555" s="17" t="str">
        <f t="shared" ca="1" si="48"/>
        <v>15-29.9K</v>
      </c>
      <c r="Q1555" s="17">
        <v>5</v>
      </c>
      <c r="R1555">
        <v>7</v>
      </c>
      <c r="S1555">
        <v>4</v>
      </c>
      <c r="T1555">
        <v>2</v>
      </c>
      <c r="U1555">
        <v>7</v>
      </c>
      <c r="V1555" s="15">
        <f t="shared" ca="1" si="49"/>
        <v>2</v>
      </c>
    </row>
    <row r="1556" spans="1:22">
      <c r="A1556" t="s">
        <v>3209</v>
      </c>
      <c r="B1556" s="1">
        <v>41055.4843287037</v>
      </c>
      <c r="C1556" s="2">
        <v>80000</v>
      </c>
      <c r="D1556">
        <v>80000</v>
      </c>
      <c r="E1556" t="s">
        <v>1856</v>
      </c>
      <c r="F1556" s="5">
        <v>80000</v>
      </c>
      <c r="G1556" s="5">
        <v>80000</v>
      </c>
      <c r="H1556" s="5">
        <f ca="1">OFFSET(F1556,0,Brains!$D$1,1,1)</f>
        <v>80000</v>
      </c>
      <c r="I1556" t="s">
        <v>3210</v>
      </c>
      <c r="J1556" t="s">
        <v>1882</v>
      </c>
      <c r="K1556" t="s">
        <v>1869</v>
      </c>
      <c r="L1556" t="s">
        <v>1869</v>
      </c>
      <c r="M1556" s="11" t="s">
        <v>3918</v>
      </c>
      <c r="N1556" t="s">
        <v>1860</v>
      </c>
      <c r="O1556" s="7" t="s">
        <v>3921</v>
      </c>
      <c r="P1556" s="17" t="str">
        <f t="shared" ca="1" si="48"/>
        <v>75-99.9K</v>
      </c>
      <c r="Q1556" s="17">
        <v>5</v>
      </c>
      <c r="R1556">
        <v>8</v>
      </c>
      <c r="S1556">
        <v>4</v>
      </c>
      <c r="T1556">
        <v>2</v>
      </c>
      <c r="U1556">
        <v>7</v>
      </c>
      <c r="V1556" s="15">
        <f t="shared" ca="1" si="49"/>
        <v>5</v>
      </c>
    </row>
    <row r="1557" spans="1:22">
      <c r="A1557" t="s">
        <v>617</v>
      </c>
      <c r="B1557" s="1">
        <v>41058.422465277778</v>
      </c>
      <c r="C1557" s="2">
        <v>70000</v>
      </c>
      <c r="D1557">
        <v>70000</v>
      </c>
      <c r="E1557" t="s">
        <v>1856</v>
      </c>
      <c r="F1557" s="5">
        <v>70000</v>
      </c>
      <c r="G1557" s="5">
        <v>70000</v>
      </c>
      <c r="H1557" s="5">
        <f ca="1">OFFSET(F1557,0,Brains!$D$1,1,1)</f>
        <v>70000</v>
      </c>
      <c r="I1557" t="s">
        <v>2184</v>
      </c>
      <c r="J1557" t="s">
        <v>1882</v>
      </c>
      <c r="K1557" t="s">
        <v>1869</v>
      </c>
      <c r="L1557" t="s">
        <v>1869</v>
      </c>
      <c r="M1557" s="11" t="s">
        <v>3918</v>
      </c>
      <c r="N1557" t="s">
        <v>1860</v>
      </c>
      <c r="O1557" s="7" t="s">
        <v>3921</v>
      </c>
      <c r="P1557" s="17" t="str">
        <f t="shared" ca="1" si="48"/>
        <v>50-74.9K</v>
      </c>
      <c r="Q1557" s="17">
        <v>5</v>
      </c>
      <c r="R1557">
        <v>8</v>
      </c>
      <c r="S1557">
        <v>4</v>
      </c>
      <c r="T1557">
        <v>2</v>
      </c>
      <c r="U1557">
        <v>7</v>
      </c>
      <c r="V1557" s="15">
        <f t="shared" ca="1" si="49"/>
        <v>4</v>
      </c>
    </row>
    <row r="1558" spans="1:22">
      <c r="A1558" t="s">
        <v>3813</v>
      </c>
      <c r="B1558" s="1">
        <v>41056.820775462962</v>
      </c>
      <c r="C1558" s="2">
        <v>20500</v>
      </c>
      <c r="D1558">
        <v>20500</v>
      </c>
      <c r="E1558" t="s">
        <v>1880</v>
      </c>
      <c r="F1558" s="5">
        <v>26043.18849932796</v>
      </c>
      <c r="G1558" s="5">
        <v>25752.08654710999</v>
      </c>
      <c r="H1558" s="5">
        <f ca="1">OFFSET(F1558,0,Brains!$D$1,1,1)</f>
        <v>25752.08654710999</v>
      </c>
      <c r="I1558" t="s">
        <v>3814</v>
      </c>
      <c r="J1558" t="s">
        <v>1882</v>
      </c>
      <c r="K1558" t="s">
        <v>1959</v>
      </c>
      <c r="L1558" t="s">
        <v>1959</v>
      </c>
      <c r="M1558" s="11" t="s">
        <v>3918</v>
      </c>
      <c r="N1558" t="s">
        <v>1860</v>
      </c>
      <c r="O1558" s="7" t="s">
        <v>3921</v>
      </c>
      <c r="P1558" s="17" t="str">
        <f t="shared" ca="1" si="48"/>
        <v>15-29.9K</v>
      </c>
      <c r="Q1558" s="17">
        <v>5</v>
      </c>
      <c r="R1558">
        <v>8</v>
      </c>
      <c r="S1558">
        <v>4</v>
      </c>
      <c r="T1558">
        <v>2</v>
      </c>
      <c r="U1558">
        <v>7</v>
      </c>
      <c r="V1558" s="15">
        <f t="shared" ca="1" si="49"/>
        <v>2</v>
      </c>
    </row>
    <row r="1559" spans="1:22">
      <c r="A1559" t="s">
        <v>516</v>
      </c>
      <c r="B1559" s="1">
        <v>41058.057627314818</v>
      </c>
      <c r="C1559" s="2" t="s">
        <v>2562</v>
      </c>
      <c r="D1559">
        <v>1000000</v>
      </c>
      <c r="E1559" t="s">
        <v>1908</v>
      </c>
      <c r="F1559" s="5">
        <v>17807.916687442568</v>
      </c>
      <c r="G1559" s="5">
        <v>49795.837068021116</v>
      </c>
      <c r="H1559" s="5">
        <f ca="1">OFFSET(F1559,0,Brains!$D$1,1,1)</f>
        <v>49795.837068021116</v>
      </c>
      <c r="I1559" t="s">
        <v>3740</v>
      </c>
      <c r="J1559" t="s">
        <v>1882</v>
      </c>
      <c r="K1559" t="s">
        <v>1859</v>
      </c>
      <c r="L1559" t="s">
        <v>1859</v>
      </c>
      <c r="M1559" s="11" t="s">
        <v>3918</v>
      </c>
      <c r="N1559" t="s">
        <v>1860</v>
      </c>
      <c r="O1559" s="7" t="s">
        <v>3921</v>
      </c>
      <c r="P1559" s="17" t="str">
        <f t="shared" ca="1" si="48"/>
        <v>30-49.9K</v>
      </c>
      <c r="Q1559" s="17">
        <v>5</v>
      </c>
      <c r="R1559">
        <v>8.5</v>
      </c>
      <c r="S1559">
        <v>4</v>
      </c>
      <c r="T1559">
        <v>2</v>
      </c>
      <c r="U1559">
        <v>7</v>
      </c>
      <c r="V1559" s="15">
        <f t="shared" ca="1" si="49"/>
        <v>3</v>
      </c>
    </row>
    <row r="1560" spans="1:22">
      <c r="A1560" t="s">
        <v>456</v>
      </c>
      <c r="B1560" s="1">
        <v>41057.972939814812</v>
      </c>
      <c r="C1560" s="2" t="s">
        <v>457</v>
      </c>
      <c r="D1560">
        <v>4300000</v>
      </c>
      <c r="E1560" t="s">
        <v>458</v>
      </c>
      <c r="F1560" s="5">
        <v>51497.005988023957</v>
      </c>
      <c r="G1560" s="5">
        <v>92227.179135209342</v>
      </c>
      <c r="H1560" s="5">
        <f ca="1">OFFSET(F1560,0,Brains!$D$1,1,1)</f>
        <v>92227.179135209342</v>
      </c>
      <c r="I1560" t="s">
        <v>3022</v>
      </c>
      <c r="J1560" t="s">
        <v>1882</v>
      </c>
      <c r="K1560" t="s">
        <v>459</v>
      </c>
      <c r="L1560" t="s">
        <v>459</v>
      </c>
      <c r="M1560" s="11" t="s">
        <v>3918</v>
      </c>
      <c r="N1560" t="s">
        <v>1860</v>
      </c>
      <c r="O1560" s="7" t="s">
        <v>3921</v>
      </c>
      <c r="P1560" s="17" t="str">
        <f t="shared" ca="1" si="48"/>
        <v>75-99.9K</v>
      </c>
      <c r="Q1560" s="17">
        <v>5</v>
      </c>
      <c r="R1560">
        <v>9</v>
      </c>
      <c r="S1560">
        <v>4</v>
      </c>
      <c r="T1560">
        <v>2</v>
      </c>
      <c r="U1560">
        <v>7</v>
      </c>
      <c r="V1560" s="15">
        <f t="shared" ca="1" si="49"/>
        <v>5</v>
      </c>
    </row>
    <row r="1561" spans="1:22">
      <c r="A1561" t="s">
        <v>711</v>
      </c>
      <c r="B1561" s="1">
        <v>41058.642187500001</v>
      </c>
      <c r="C1561" s="2">
        <v>1200000</v>
      </c>
      <c r="D1561">
        <v>1200000</v>
      </c>
      <c r="E1561" t="s">
        <v>1908</v>
      </c>
      <c r="F1561" s="5">
        <v>21369.500024931083</v>
      </c>
      <c r="G1561" s="5">
        <v>59755.004481625336</v>
      </c>
      <c r="H1561" s="5">
        <f ca="1">OFFSET(F1561,0,Brains!$D$1,1,1)</f>
        <v>59755.004481625336</v>
      </c>
      <c r="I1561" t="s">
        <v>712</v>
      </c>
      <c r="J1561" t="s">
        <v>1882</v>
      </c>
      <c r="K1561" t="s">
        <v>1859</v>
      </c>
      <c r="L1561" t="s">
        <v>1859</v>
      </c>
      <c r="M1561" s="11" t="s">
        <v>3918</v>
      </c>
      <c r="N1561" t="s">
        <v>1860</v>
      </c>
      <c r="O1561" s="7" t="s">
        <v>3921</v>
      </c>
      <c r="P1561" s="17" t="str">
        <f t="shared" ca="1" si="48"/>
        <v>50-74.9K</v>
      </c>
      <c r="Q1561" s="17">
        <v>5</v>
      </c>
      <c r="R1561">
        <v>9</v>
      </c>
      <c r="S1561">
        <v>4</v>
      </c>
      <c r="T1561">
        <v>2</v>
      </c>
      <c r="U1561">
        <v>7</v>
      </c>
      <c r="V1561" s="15">
        <f t="shared" ca="1" si="49"/>
        <v>4</v>
      </c>
    </row>
    <row r="1562" spans="1:22">
      <c r="A1562" t="s">
        <v>3295</v>
      </c>
      <c r="B1562" s="1">
        <v>41055.544120370374</v>
      </c>
      <c r="C1562" s="2">
        <v>720000</v>
      </c>
      <c r="D1562">
        <v>720000</v>
      </c>
      <c r="E1562" t="s">
        <v>2467</v>
      </c>
      <c r="F1562" s="5">
        <v>17067.637625607145</v>
      </c>
      <c r="G1562" s="5">
        <v>28245.263034012001</v>
      </c>
      <c r="H1562" s="5">
        <f ca="1">OFFSET(F1562,0,Brains!$D$1,1,1)</f>
        <v>28245.263034012001</v>
      </c>
      <c r="I1562" t="s">
        <v>2669</v>
      </c>
      <c r="J1562" t="s">
        <v>1882</v>
      </c>
      <c r="K1562" t="s">
        <v>2469</v>
      </c>
      <c r="L1562" t="s">
        <v>2469</v>
      </c>
      <c r="M1562" s="11" t="s">
        <v>3918</v>
      </c>
      <c r="N1562" t="s">
        <v>1860</v>
      </c>
      <c r="O1562" s="7" t="s">
        <v>3921</v>
      </c>
      <c r="P1562" s="17" t="str">
        <f t="shared" ca="1" si="48"/>
        <v>15-29.9K</v>
      </c>
      <c r="Q1562" s="17">
        <v>5</v>
      </c>
      <c r="R1562">
        <v>9</v>
      </c>
      <c r="S1562">
        <v>4</v>
      </c>
      <c r="T1562">
        <v>2</v>
      </c>
      <c r="U1562">
        <v>7</v>
      </c>
      <c r="V1562" s="15">
        <f t="shared" ca="1" si="49"/>
        <v>2</v>
      </c>
    </row>
    <row r="1563" spans="1:22">
      <c r="A1563" t="s">
        <v>870</v>
      </c>
      <c r="B1563" s="1">
        <v>41058.933657407404</v>
      </c>
      <c r="C1563" s="2">
        <v>136000</v>
      </c>
      <c r="D1563">
        <v>136000</v>
      </c>
      <c r="E1563" t="s">
        <v>1856</v>
      </c>
      <c r="F1563" s="5">
        <v>136000</v>
      </c>
      <c r="G1563" s="5">
        <v>136000</v>
      </c>
      <c r="H1563" s="5">
        <f ca="1">OFFSET(F1563,0,Brains!$D$1,1,1)</f>
        <v>136000</v>
      </c>
      <c r="I1563" t="s">
        <v>871</v>
      </c>
      <c r="J1563" t="s">
        <v>1882</v>
      </c>
      <c r="K1563" t="s">
        <v>1869</v>
      </c>
      <c r="L1563" t="s">
        <v>1869</v>
      </c>
      <c r="M1563" s="11" t="s">
        <v>3918</v>
      </c>
      <c r="N1563" t="s">
        <v>1860</v>
      </c>
      <c r="O1563" s="7" t="s">
        <v>3921</v>
      </c>
      <c r="P1563" s="17" t="str">
        <f t="shared" ca="1" si="48"/>
        <v>100-149.9K</v>
      </c>
      <c r="Q1563" s="17">
        <v>5</v>
      </c>
      <c r="R1563">
        <v>10</v>
      </c>
      <c r="S1563">
        <v>4</v>
      </c>
      <c r="T1563">
        <v>2</v>
      </c>
      <c r="U1563">
        <v>7</v>
      </c>
      <c r="V1563" s="15">
        <f t="shared" ca="1" si="49"/>
        <v>6</v>
      </c>
    </row>
    <row r="1564" spans="1:22">
      <c r="A1564" t="s">
        <v>604</v>
      </c>
      <c r="B1564" s="1">
        <v>41058.385520833333</v>
      </c>
      <c r="C1564" s="2">
        <v>82000</v>
      </c>
      <c r="D1564">
        <v>82000</v>
      </c>
      <c r="E1564" t="s">
        <v>1856</v>
      </c>
      <c r="F1564" s="5">
        <v>82000</v>
      </c>
      <c r="G1564" s="5">
        <v>82000</v>
      </c>
      <c r="H1564" s="5">
        <f ca="1">OFFSET(F1564,0,Brains!$D$1,1,1)</f>
        <v>82000</v>
      </c>
      <c r="I1564" t="s">
        <v>605</v>
      </c>
      <c r="J1564" t="s">
        <v>1882</v>
      </c>
      <c r="K1564" t="s">
        <v>1869</v>
      </c>
      <c r="L1564" t="s">
        <v>1869</v>
      </c>
      <c r="M1564" s="11" t="s">
        <v>3918</v>
      </c>
      <c r="N1564" t="s">
        <v>1860</v>
      </c>
      <c r="O1564" s="7" t="s">
        <v>3921</v>
      </c>
      <c r="P1564" s="17" t="str">
        <f t="shared" ca="1" si="48"/>
        <v>75-99.9K</v>
      </c>
      <c r="Q1564" s="17">
        <v>5</v>
      </c>
      <c r="R1564">
        <v>10</v>
      </c>
      <c r="S1564">
        <v>4</v>
      </c>
      <c r="T1564">
        <v>2</v>
      </c>
      <c r="U1564">
        <v>7</v>
      </c>
      <c r="V1564" s="15">
        <f t="shared" ca="1" si="49"/>
        <v>5</v>
      </c>
    </row>
    <row r="1565" spans="1:22">
      <c r="A1565" t="s">
        <v>819</v>
      </c>
      <c r="B1565" s="1">
        <v>41058.828182870369</v>
      </c>
      <c r="C1565" s="2" t="s">
        <v>820</v>
      </c>
      <c r="D1565">
        <v>80000</v>
      </c>
      <c r="E1565" t="s">
        <v>1856</v>
      </c>
      <c r="F1565" s="5">
        <v>80000</v>
      </c>
      <c r="G1565" s="5">
        <v>80000</v>
      </c>
      <c r="H1565" s="5">
        <f ca="1">OFFSET(F1565,0,Brains!$D$1,1,1)</f>
        <v>80000</v>
      </c>
      <c r="I1565" t="s">
        <v>821</v>
      </c>
      <c r="J1565" t="s">
        <v>1882</v>
      </c>
      <c r="K1565" t="s">
        <v>1869</v>
      </c>
      <c r="L1565" t="s">
        <v>1869</v>
      </c>
      <c r="M1565" s="11" t="s">
        <v>3918</v>
      </c>
      <c r="N1565" t="s">
        <v>1860</v>
      </c>
      <c r="O1565" s="7" t="s">
        <v>3921</v>
      </c>
      <c r="P1565" s="17" t="str">
        <f t="shared" ca="1" si="48"/>
        <v>75-99.9K</v>
      </c>
      <c r="Q1565" s="17">
        <v>5</v>
      </c>
      <c r="R1565">
        <v>10</v>
      </c>
      <c r="S1565">
        <v>4</v>
      </c>
      <c r="T1565">
        <v>2</v>
      </c>
      <c r="U1565">
        <v>7</v>
      </c>
      <c r="V1565" s="15">
        <f t="shared" ca="1" si="49"/>
        <v>5</v>
      </c>
    </row>
    <row r="1566" spans="1:22">
      <c r="A1566" t="s">
        <v>1734</v>
      </c>
      <c r="B1566" s="1">
        <v>41075.942187499997</v>
      </c>
      <c r="C1566" s="2">
        <v>72000</v>
      </c>
      <c r="D1566">
        <v>72000</v>
      </c>
      <c r="E1566" t="s">
        <v>1856</v>
      </c>
      <c r="F1566" s="5">
        <v>72000</v>
      </c>
      <c r="G1566" s="5">
        <v>72000</v>
      </c>
      <c r="H1566" s="5">
        <f ca="1">OFFSET(F1566,0,Brains!$D$1,1,1)</f>
        <v>72000</v>
      </c>
      <c r="I1566" t="s">
        <v>1735</v>
      </c>
      <c r="J1566" t="s">
        <v>1882</v>
      </c>
      <c r="K1566" t="s">
        <v>1869</v>
      </c>
      <c r="L1566" t="s">
        <v>1869</v>
      </c>
      <c r="M1566" s="11" t="s">
        <v>3918</v>
      </c>
      <c r="N1566" t="s">
        <v>1860</v>
      </c>
      <c r="O1566" s="7" t="s">
        <v>3921</v>
      </c>
      <c r="P1566" s="17" t="str">
        <f t="shared" ca="1" si="48"/>
        <v>50-74.9K</v>
      </c>
      <c r="Q1566" s="17">
        <v>5</v>
      </c>
      <c r="R1566">
        <v>10</v>
      </c>
      <c r="S1566">
        <v>4</v>
      </c>
      <c r="T1566">
        <v>2</v>
      </c>
      <c r="U1566">
        <v>7</v>
      </c>
      <c r="V1566" s="15">
        <f t="shared" ca="1" si="49"/>
        <v>4</v>
      </c>
    </row>
    <row r="1567" spans="1:22">
      <c r="A1567" t="s">
        <v>680</v>
      </c>
      <c r="B1567" s="1">
        <v>41058.582800925928</v>
      </c>
      <c r="C1567" s="2">
        <v>68000</v>
      </c>
      <c r="D1567">
        <v>68000</v>
      </c>
      <c r="E1567" t="s">
        <v>1973</v>
      </c>
      <c r="F1567" s="5">
        <v>69353.856635379227</v>
      </c>
      <c r="G1567" s="5">
        <v>43256.997455470737</v>
      </c>
      <c r="H1567" s="5">
        <f ca="1">OFFSET(F1567,0,Brains!$D$1,1,1)</f>
        <v>43256.997455470737</v>
      </c>
      <c r="I1567" t="s">
        <v>681</v>
      </c>
      <c r="J1567" t="s">
        <v>1882</v>
      </c>
      <c r="K1567" t="s">
        <v>1975</v>
      </c>
      <c r="L1567" t="s">
        <v>1975</v>
      </c>
      <c r="M1567" s="11" t="s">
        <v>3918</v>
      </c>
      <c r="N1567" t="s">
        <v>1860</v>
      </c>
      <c r="O1567" s="7" t="s">
        <v>3921</v>
      </c>
      <c r="P1567" s="17" t="str">
        <f t="shared" ca="1" si="48"/>
        <v>30-49.9K</v>
      </c>
      <c r="Q1567" s="17">
        <v>5</v>
      </c>
      <c r="R1567">
        <v>10</v>
      </c>
      <c r="S1567">
        <v>4</v>
      </c>
      <c r="T1567">
        <v>2</v>
      </c>
      <c r="U1567">
        <v>7</v>
      </c>
      <c r="V1567" s="15">
        <f t="shared" ca="1" si="49"/>
        <v>3</v>
      </c>
    </row>
    <row r="1568" spans="1:22">
      <c r="A1568" t="s">
        <v>3410</v>
      </c>
      <c r="B1568" s="1">
        <v>41055.64203703704</v>
      </c>
      <c r="C1568" s="2">
        <v>5000</v>
      </c>
      <c r="D1568">
        <v>60000</v>
      </c>
      <c r="E1568" t="s">
        <v>1856</v>
      </c>
      <c r="F1568" s="5">
        <v>60000</v>
      </c>
      <c r="G1568" s="5">
        <v>60000</v>
      </c>
      <c r="H1568" s="5">
        <f ca="1">OFFSET(F1568,0,Brains!$D$1,1,1)</f>
        <v>60000</v>
      </c>
      <c r="I1568" t="s">
        <v>1882</v>
      </c>
      <c r="J1568" t="s">
        <v>1882</v>
      </c>
      <c r="K1568" t="s">
        <v>1949</v>
      </c>
      <c r="L1568" t="s">
        <v>1949</v>
      </c>
      <c r="M1568" s="11" t="s">
        <v>3918</v>
      </c>
      <c r="N1568" t="s">
        <v>1860</v>
      </c>
      <c r="O1568" s="7" t="s">
        <v>3921</v>
      </c>
      <c r="P1568" s="17" t="str">
        <f t="shared" ca="1" si="48"/>
        <v>50-74.9K</v>
      </c>
      <c r="Q1568" s="17">
        <v>5</v>
      </c>
      <c r="R1568">
        <v>10</v>
      </c>
      <c r="S1568">
        <v>4</v>
      </c>
      <c r="T1568">
        <v>2</v>
      </c>
      <c r="U1568">
        <v>7</v>
      </c>
      <c r="V1568" s="15">
        <f t="shared" ca="1" si="49"/>
        <v>4</v>
      </c>
    </row>
    <row r="1569" spans="1:22">
      <c r="A1569" t="s">
        <v>349</v>
      </c>
      <c r="B1569" s="1">
        <v>41057.814062500001</v>
      </c>
      <c r="C1569" s="2" t="s">
        <v>241</v>
      </c>
      <c r="D1569">
        <v>23000</v>
      </c>
      <c r="E1569" t="s">
        <v>1954</v>
      </c>
      <c r="F1569" s="5">
        <v>36252.100257547536</v>
      </c>
      <c r="G1569" s="5">
        <v>34124.629080118691</v>
      </c>
      <c r="H1569" s="5">
        <f ca="1">OFFSET(F1569,0,Brains!$D$1,1,1)</f>
        <v>34124.629080118691</v>
      </c>
      <c r="I1569" t="s">
        <v>350</v>
      </c>
      <c r="J1569" t="s">
        <v>1882</v>
      </c>
      <c r="K1569" t="s">
        <v>1956</v>
      </c>
      <c r="L1569" t="s">
        <v>1956</v>
      </c>
      <c r="M1569" s="11" t="s">
        <v>3918</v>
      </c>
      <c r="N1569" t="s">
        <v>1860</v>
      </c>
      <c r="O1569" s="7" t="s">
        <v>3921</v>
      </c>
      <c r="P1569" s="17" t="str">
        <f t="shared" ca="1" si="48"/>
        <v>30-49.9K</v>
      </c>
      <c r="Q1569" s="17">
        <v>5</v>
      </c>
      <c r="R1569">
        <v>10</v>
      </c>
      <c r="S1569">
        <v>4</v>
      </c>
      <c r="T1569">
        <v>2</v>
      </c>
      <c r="U1569">
        <v>7</v>
      </c>
      <c r="V1569" s="15">
        <f t="shared" ca="1" si="49"/>
        <v>3</v>
      </c>
    </row>
    <row r="1570" spans="1:22">
      <c r="A1570" t="s">
        <v>1255</v>
      </c>
      <c r="B1570" s="1">
        <v>41061.823993055557</v>
      </c>
      <c r="C1570" s="2" t="s">
        <v>1256</v>
      </c>
      <c r="D1570">
        <v>21000</v>
      </c>
      <c r="E1570" t="s">
        <v>1880</v>
      </c>
      <c r="F1570" s="5">
        <v>26678.388218823762</v>
      </c>
      <c r="G1570" s="5">
        <v>26380.186218990722</v>
      </c>
      <c r="H1570" s="5">
        <f ca="1">OFFSET(F1570,0,Brains!$D$1,1,1)</f>
        <v>26380.186218990722</v>
      </c>
      <c r="I1570" t="s">
        <v>1257</v>
      </c>
      <c r="J1570" t="s">
        <v>1882</v>
      </c>
      <c r="K1570" t="s">
        <v>1892</v>
      </c>
      <c r="L1570" t="s">
        <v>1892</v>
      </c>
      <c r="M1570" s="11" t="s">
        <v>3918</v>
      </c>
      <c r="N1570" t="s">
        <v>1860</v>
      </c>
      <c r="O1570" s="7" t="s">
        <v>3921</v>
      </c>
      <c r="P1570" s="17" t="str">
        <f t="shared" ca="1" si="48"/>
        <v>15-29.9K</v>
      </c>
      <c r="Q1570" s="17">
        <v>5</v>
      </c>
      <c r="R1570">
        <v>10</v>
      </c>
      <c r="S1570">
        <v>4</v>
      </c>
      <c r="T1570">
        <v>2</v>
      </c>
      <c r="U1570">
        <v>7</v>
      </c>
      <c r="V1570" s="15">
        <f t="shared" ca="1" si="49"/>
        <v>2</v>
      </c>
    </row>
    <row r="1571" spans="1:22">
      <c r="A1571" t="s">
        <v>1805</v>
      </c>
      <c r="B1571" s="1">
        <v>41079.858043981483</v>
      </c>
      <c r="C1571" s="2">
        <v>25000</v>
      </c>
      <c r="D1571">
        <v>25000</v>
      </c>
      <c r="E1571" t="s">
        <v>1856</v>
      </c>
      <c r="F1571" s="5">
        <v>25000</v>
      </c>
      <c r="G1571" s="5">
        <v>25000</v>
      </c>
      <c r="H1571" s="5">
        <f ca="1">OFFSET(F1571,0,Brains!$D$1,1,1)</f>
        <v>25000</v>
      </c>
      <c r="I1571" t="s">
        <v>1988</v>
      </c>
      <c r="J1571" t="s">
        <v>1882</v>
      </c>
      <c r="K1571" t="s">
        <v>1859</v>
      </c>
      <c r="L1571" t="s">
        <v>1859</v>
      </c>
      <c r="M1571" s="11" t="s">
        <v>3918</v>
      </c>
      <c r="N1571" t="s">
        <v>1860</v>
      </c>
      <c r="O1571" s="7" t="s">
        <v>3921</v>
      </c>
      <c r="P1571" s="17" t="str">
        <f t="shared" ca="1" si="48"/>
        <v>15-29.9K</v>
      </c>
      <c r="Q1571" s="17">
        <v>5</v>
      </c>
      <c r="R1571">
        <v>10</v>
      </c>
      <c r="S1571">
        <v>4</v>
      </c>
      <c r="T1571">
        <v>2</v>
      </c>
      <c r="U1571">
        <v>7</v>
      </c>
      <c r="V1571" s="15">
        <f t="shared" ca="1" si="49"/>
        <v>2</v>
      </c>
    </row>
    <row r="1572" spans="1:22">
      <c r="A1572" t="s">
        <v>1718</v>
      </c>
      <c r="B1572" s="1">
        <v>41075.692210648151</v>
      </c>
      <c r="C1572" s="2">
        <v>1400000</v>
      </c>
      <c r="D1572">
        <v>1400000</v>
      </c>
      <c r="E1572" t="s">
        <v>1908</v>
      </c>
      <c r="F1572" s="5">
        <v>24931.083362419595</v>
      </c>
      <c r="G1572" s="5">
        <v>69714.171895229563</v>
      </c>
      <c r="H1572" s="5">
        <f ca="1">OFFSET(F1572,0,Brains!$D$1,1,1)</f>
        <v>69714.171895229563</v>
      </c>
      <c r="I1572" t="s">
        <v>1719</v>
      </c>
      <c r="J1572" t="s">
        <v>1882</v>
      </c>
      <c r="K1572" t="s">
        <v>1859</v>
      </c>
      <c r="L1572" t="s">
        <v>1859</v>
      </c>
      <c r="M1572" s="11" t="s">
        <v>3918</v>
      </c>
      <c r="N1572" t="s">
        <v>1860</v>
      </c>
      <c r="O1572" s="7" t="s">
        <v>3921</v>
      </c>
      <c r="P1572" s="17" t="str">
        <f t="shared" ca="1" si="48"/>
        <v>50-74.9K</v>
      </c>
      <c r="Q1572" s="17">
        <v>5</v>
      </c>
      <c r="R1572">
        <v>10</v>
      </c>
      <c r="S1572">
        <v>4</v>
      </c>
      <c r="T1572">
        <v>2</v>
      </c>
      <c r="U1572">
        <v>7</v>
      </c>
      <c r="V1572" s="15">
        <f t="shared" ca="1" si="49"/>
        <v>4</v>
      </c>
    </row>
    <row r="1573" spans="1:22">
      <c r="A1573" t="s">
        <v>3853</v>
      </c>
      <c r="B1573" s="1">
        <v>41056.995000000003</v>
      </c>
      <c r="C1573" s="2" t="s">
        <v>3854</v>
      </c>
      <c r="D1573">
        <v>24000</v>
      </c>
      <c r="E1573" t="s">
        <v>1856</v>
      </c>
      <c r="F1573" s="5">
        <v>24000</v>
      </c>
      <c r="G1573" s="5">
        <v>24000</v>
      </c>
      <c r="H1573" s="5">
        <f ca="1">OFFSET(F1573,0,Brains!$D$1,1,1)</f>
        <v>24000</v>
      </c>
      <c r="I1573" t="s">
        <v>3855</v>
      </c>
      <c r="J1573" t="s">
        <v>1882</v>
      </c>
      <c r="K1573" t="s">
        <v>1859</v>
      </c>
      <c r="L1573" t="s">
        <v>1859</v>
      </c>
      <c r="M1573" s="11" t="s">
        <v>3918</v>
      </c>
      <c r="N1573" t="s">
        <v>1860</v>
      </c>
      <c r="O1573" s="7" t="s">
        <v>3921</v>
      </c>
      <c r="P1573" s="17" t="str">
        <f t="shared" ca="1" si="48"/>
        <v>15-29.9K</v>
      </c>
      <c r="Q1573" s="17">
        <v>5</v>
      </c>
      <c r="R1573">
        <v>10</v>
      </c>
      <c r="S1573">
        <v>4</v>
      </c>
      <c r="T1573">
        <v>2</v>
      </c>
      <c r="U1573">
        <v>7</v>
      </c>
      <c r="V1573" s="15">
        <f t="shared" ca="1" si="49"/>
        <v>2</v>
      </c>
    </row>
    <row r="1574" spans="1:22">
      <c r="A1574" t="s">
        <v>651</v>
      </c>
      <c r="B1574" s="1">
        <v>41058.519918981481</v>
      </c>
      <c r="C1574" s="2">
        <v>15000</v>
      </c>
      <c r="D1574">
        <v>15000</v>
      </c>
      <c r="E1574" t="s">
        <v>1856</v>
      </c>
      <c r="F1574" s="5">
        <v>15000</v>
      </c>
      <c r="G1574" s="5">
        <v>15000</v>
      </c>
      <c r="H1574" s="5">
        <f ca="1">OFFSET(F1574,0,Brains!$D$1,1,1)</f>
        <v>15000</v>
      </c>
      <c r="I1574" t="s">
        <v>652</v>
      </c>
      <c r="J1574" t="s">
        <v>1882</v>
      </c>
      <c r="K1574" t="s">
        <v>653</v>
      </c>
      <c r="L1574" t="s">
        <v>653</v>
      </c>
      <c r="M1574" s="11" t="s">
        <v>3918</v>
      </c>
      <c r="N1574" t="s">
        <v>1860</v>
      </c>
      <c r="O1574" s="7" t="s">
        <v>3921</v>
      </c>
      <c r="P1574" s="17" t="str">
        <f t="shared" ca="1" si="48"/>
        <v>15-29.9K</v>
      </c>
      <c r="Q1574" s="17">
        <v>5</v>
      </c>
      <c r="R1574">
        <v>10</v>
      </c>
      <c r="S1574">
        <v>4</v>
      </c>
      <c r="T1574">
        <v>2</v>
      </c>
      <c r="U1574">
        <v>7</v>
      </c>
      <c r="V1574" s="15">
        <f t="shared" ca="1" si="49"/>
        <v>2</v>
      </c>
    </row>
    <row r="1575" spans="1:22">
      <c r="A1575" t="s">
        <v>3157</v>
      </c>
      <c r="B1575" s="1">
        <v>41055.417685185188</v>
      </c>
      <c r="C1575" s="2">
        <v>380000</v>
      </c>
      <c r="D1575">
        <v>380000</v>
      </c>
      <c r="E1575" t="s">
        <v>1908</v>
      </c>
      <c r="F1575" s="5">
        <v>6767.0083412281756</v>
      </c>
      <c r="G1575" s="5">
        <v>18922.418085848021</v>
      </c>
      <c r="H1575" s="5">
        <f ca="1">OFFSET(F1575,0,Brains!$D$1,1,1)</f>
        <v>18922.418085848021</v>
      </c>
      <c r="I1575" t="s">
        <v>3158</v>
      </c>
      <c r="J1575" t="s">
        <v>1882</v>
      </c>
      <c r="K1575" t="s">
        <v>1859</v>
      </c>
      <c r="L1575" t="s">
        <v>1859</v>
      </c>
      <c r="M1575" s="11" t="s">
        <v>3918</v>
      </c>
      <c r="N1575" t="s">
        <v>1860</v>
      </c>
      <c r="O1575" s="7" t="s">
        <v>3921</v>
      </c>
      <c r="P1575" s="17" t="str">
        <f t="shared" ca="1" si="48"/>
        <v>15-29.9K</v>
      </c>
      <c r="Q1575" s="17">
        <v>5</v>
      </c>
      <c r="R1575">
        <v>10</v>
      </c>
      <c r="S1575">
        <v>4</v>
      </c>
      <c r="T1575">
        <v>2</v>
      </c>
      <c r="U1575">
        <v>7</v>
      </c>
      <c r="V1575" s="15">
        <f t="shared" ca="1" si="49"/>
        <v>2</v>
      </c>
    </row>
    <row r="1576" spans="1:22">
      <c r="A1576" t="s">
        <v>1577</v>
      </c>
      <c r="B1576" s="1">
        <v>41070.522083333337</v>
      </c>
      <c r="C1576" s="2">
        <v>125000</v>
      </c>
      <c r="D1576">
        <v>125000</v>
      </c>
      <c r="E1576" t="s">
        <v>1856</v>
      </c>
      <c r="F1576" s="5">
        <v>125000</v>
      </c>
      <c r="G1576" s="5">
        <v>125000</v>
      </c>
      <c r="H1576" s="5">
        <f ca="1">OFFSET(F1576,0,Brains!$D$1,1,1)</f>
        <v>125000</v>
      </c>
      <c r="I1576" t="s">
        <v>2190</v>
      </c>
      <c r="J1576" t="s">
        <v>1882</v>
      </c>
      <c r="K1576" t="s">
        <v>1869</v>
      </c>
      <c r="L1576" t="s">
        <v>1869</v>
      </c>
      <c r="M1576" t="s">
        <v>3941</v>
      </c>
      <c r="N1576" t="s">
        <v>1866</v>
      </c>
      <c r="O1576" s="7" t="s">
        <v>3921</v>
      </c>
      <c r="P1576" s="17" t="str">
        <f t="shared" ca="1" si="48"/>
        <v>100-149.9K</v>
      </c>
      <c r="Q1576" s="17">
        <v>8</v>
      </c>
      <c r="R1576">
        <v>10</v>
      </c>
      <c r="S1576">
        <v>5</v>
      </c>
      <c r="T1576">
        <v>2</v>
      </c>
      <c r="U1576">
        <v>7</v>
      </c>
      <c r="V1576" s="15">
        <f t="shared" ca="1" si="49"/>
        <v>6</v>
      </c>
    </row>
    <row r="1577" spans="1:22">
      <c r="A1577" t="s">
        <v>1385</v>
      </c>
      <c r="B1577" s="1">
        <v>41064.971307870372</v>
      </c>
      <c r="C1577" s="2">
        <v>85000</v>
      </c>
      <c r="D1577">
        <v>85000</v>
      </c>
      <c r="E1577" t="s">
        <v>1856</v>
      </c>
      <c r="F1577" s="5">
        <v>85000</v>
      </c>
      <c r="G1577" s="5">
        <v>85000</v>
      </c>
      <c r="H1577" s="5">
        <f ca="1">OFFSET(F1577,0,Brains!$D$1,1,1)</f>
        <v>85000</v>
      </c>
      <c r="I1577" t="s">
        <v>1386</v>
      </c>
      <c r="J1577" t="s">
        <v>1882</v>
      </c>
      <c r="K1577" t="s">
        <v>1869</v>
      </c>
      <c r="L1577" t="s">
        <v>1869</v>
      </c>
      <c r="M1577" t="s">
        <v>3941</v>
      </c>
      <c r="N1577" t="s">
        <v>1866</v>
      </c>
      <c r="O1577" s="7" t="s">
        <v>3921</v>
      </c>
      <c r="P1577" s="17" t="str">
        <f t="shared" ca="1" si="48"/>
        <v>75-99.9K</v>
      </c>
      <c r="Q1577" s="17">
        <v>8</v>
      </c>
      <c r="R1577">
        <v>10</v>
      </c>
      <c r="S1577">
        <v>5</v>
      </c>
      <c r="T1577">
        <v>2</v>
      </c>
      <c r="U1577">
        <v>7</v>
      </c>
      <c r="V1577" s="15">
        <f t="shared" ca="1" si="49"/>
        <v>5</v>
      </c>
    </row>
    <row r="1578" spans="1:22">
      <c r="A1578" t="s">
        <v>1557</v>
      </c>
      <c r="B1578" s="1">
        <v>41068.990405092591</v>
      </c>
      <c r="C1578" s="2">
        <v>67000</v>
      </c>
      <c r="D1578">
        <v>67000</v>
      </c>
      <c r="E1578" t="s">
        <v>1856</v>
      </c>
      <c r="F1578" s="5">
        <v>67000</v>
      </c>
      <c r="G1578" s="5">
        <v>67000</v>
      </c>
      <c r="H1578" s="5">
        <f ca="1">OFFSET(F1578,0,Brains!$D$1,1,1)</f>
        <v>67000</v>
      </c>
      <c r="I1578" t="s">
        <v>1882</v>
      </c>
      <c r="J1578" t="s">
        <v>1882</v>
      </c>
      <c r="K1578" t="s">
        <v>1869</v>
      </c>
      <c r="L1578" t="s">
        <v>1869</v>
      </c>
      <c r="M1578" s="11" t="s">
        <v>3919</v>
      </c>
      <c r="N1578" t="s">
        <v>2155</v>
      </c>
      <c r="O1578" s="7" t="s">
        <v>3921</v>
      </c>
      <c r="P1578" s="17" t="str">
        <f t="shared" ca="1" si="48"/>
        <v>50-74.9K</v>
      </c>
      <c r="Q1578" s="17">
        <v>0</v>
      </c>
      <c r="R1578">
        <v>6</v>
      </c>
      <c r="S1578">
        <v>1</v>
      </c>
      <c r="T1578">
        <v>2</v>
      </c>
      <c r="U1578">
        <v>7</v>
      </c>
      <c r="V1578" s="15">
        <f t="shared" ca="1" si="49"/>
        <v>4</v>
      </c>
    </row>
    <row r="1579" spans="1:22">
      <c r="A1579" t="s">
        <v>974</v>
      </c>
      <c r="B1579" s="1">
        <v>41059.559166666666</v>
      </c>
      <c r="C1579" s="2">
        <v>20000</v>
      </c>
      <c r="D1579">
        <v>20000</v>
      </c>
      <c r="E1579" t="s">
        <v>1856</v>
      </c>
      <c r="F1579" s="5">
        <v>20000</v>
      </c>
      <c r="G1579" s="5">
        <v>20000</v>
      </c>
      <c r="H1579" s="5">
        <f ca="1">OFFSET(F1579,0,Brains!$D$1,1,1)</f>
        <v>20000</v>
      </c>
      <c r="I1579" t="s">
        <v>3012</v>
      </c>
      <c r="J1579" t="s">
        <v>1882</v>
      </c>
      <c r="K1579" t="s">
        <v>1859</v>
      </c>
      <c r="L1579" t="s">
        <v>1859</v>
      </c>
      <c r="M1579" s="11" t="s">
        <v>3919</v>
      </c>
      <c r="N1579" t="s">
        <v>2155</v>
      </c>
      <c r="O1579" s="7" t="s">
        <v>3921</v>
      </c>
      <c r="P1579" s="17" t="str">
        <f t="shared" ca="1" si="48"/>
        <v>15-29.9K</v>
      </c>
      <c r="Q1579" s="17">
        <v>0</v>
      </c>
      <c r="R1579">
        <v>10</v>
      </c>
      <c r="S1579">
        <v>1</v>
      </c>
      <c r="T1579">
        <v>2</v>
      </c>
      <c r="U1579">
        <v>7</v>
      </c>
      <c r="V1579" s="15">
        <f t="shared" ca="1" si="49"/>
        <v>2</v>
      </c>
    </row>
    <row r="1580" spans="1:22">
      <c r="A1580" t="s">
        <v>2948</v>
      </c>
      <c r="B1580" s="1">
        <v>41055.168043981481</v>
      </c>
      <c r="C1580" s="2">
        <v>58000</v>
      </c>
      <c r="D1580">
        <v>58000</v>
      </c>
      <c r="E1580" t="s">
        <v>1954</v>
      </c>
      <c r="F1580" s="5">
        <v>91418.339779902482</v>
      </c>
      <c r="G1580" s="5">
        <v>86053.412462908003</v>
      </c>
      <c r="H1580" s="5">
        <f ca="1">OFFSET(F1580,0,Brains!$D$1,1,1)</f>
        <v>86053.412462908003</v>
      </c>
      <c r="I1580" t="s">
        <v>2949</v>
      </c>
      <c r="J1580" t="s">
        <v>1882</v>
      </c>
      <c r="K1580" t="s">
        <v>1956</v>
      </c>
      <c r="L1580" t="s">
        <v>1956</v>
      </c>
      <c r="M1580" s="7" t="s">
        <v>3941</v>
      </c>
      <c r="N1580" t="s">
        <v>1866</v>
      </c>
      <c r="P1580" s="15" t="str">
        <f t="shared" ca="1" si="48"/>
        <v>75-99.9K</v>
      </c>
      <c r="Q1580" s="15">
        <v>8</v>
      </c>
      <c r="S1580">
        <v>5</v>
      </c>
      <c r="U1580">
        <v>7</v>
      </c>
      <c r="V1580" s="15">
        <f t="shared" ca="1" si="49"/>
        <v>5</v>
      </c>
    </row>
    <row r="1581" spans="1:22">
      <c r="A1581" t="s">
        <v>2024</v>
      </c>
      <c r="B1581" s="1">
        <v>41054.302222222221</v>
      </c>
      <c r="C1581" s="2">
        <v>61000</v>
      </c>
      <c r="D1581">
        <v>61000</v>
      </c>
      <c r="E1581" t="s">
        <v>1856</v>
      </c>
      <c r="F1581" s="5">
        <v>61000</v>
      </c>
      <c r="G1581" s="5">
        <v>61000</v>
      </c>
      <c r="H1581" s="5">
        <f ca="1">OFFSET(F1581,0,Brains!$D$1,1,1)</f>
        <v>61000</v>
      </c>
      <c r="I1581" t="s">
        <v>2025</v>
      </c>
      <c r="J1581" t="s">
        <v>1882</v>
      </c>
      <c r="K1581" t="s">
        <v>2026</v>
      </c>
      <c r="L1581" t="s">
        <v>2081</v>
      </c>
      <c r="M1581" s="7" t="s">
        <v>3941</v>
      </c>
      <c r="N1581" t="s">
        <v>1866</v>
      </c>
      <c r="P1581" s="15" t="str">
        <f t="shared" ca="1" si="48"/>
        <v>50-74.9K</v>
      </c>
      <c r="Q1581" s="15">
        <v>8</v>
      </c>
      <c r="S1581">
        <v>5</v>
      </c>
      <c r="U1581">
        <v>7</v>
      </c>
      <c r="V1581" s="15">
        <f t="shared" ca="1" si="49"/>
        <v>4</v>
      </c>
    </row>
    <row r="1582" spans="1:22">
      <c r="A1582" t="s">
        <v>1947</v>
      </c>
      <c r="B1582" s="1">
        <v>41054.205416666664</v>
      </c>
      <c r="C1582" s="2">
        <v>41000</v>
      </c>
      <c r="D1582">
        <v>41000</v>
      </c>
      <c r="E1582" t="s">
        <v>1856</v>
      </c>
      <c r="F1582" s="5">
        <v>41000</v>
      </c>
      <c r="G1582" s="5">
        <v>41000</v>
      </c>
      <c r="H1582" s="5">
        <f ca="1">OFFSET(F1582,0,Brains!$D$1,1,1)</f>
        <v>41000</v>
      </c>
      <c r="I1582" t="s">
        <v>1948</v>
      </c>
      <c r="J1582" t="s">
        <v>1882</v>
      </c>
      <c r="K1582" t="s">
        <v>1949</v>
      </c>
      <c r="L1582" t="s">
        <v>1949</v>
      </c>
      <c r="M1582" s="7" t="s">
        <v>3941</v>
      </c>
      <c r="N1582" t="s">
        <v>1866</v>
      </c>
      <c r="P1582" s="15" t="str">
        <f t="shared" ca="1" si="48"/>
        <v>30-49.9K</v>
      </c>
      <c r="Q1582" s="15">
        <v>8</v>
      </c>
      <c r="S1582">
        <v>5</v>
      </c>
      <c r="U1582">
        <v>7</v>
      </c>
      <c r="V1582" s="15">
        <f t="shared" ca="1" si="49"/>
        <v>3</v>
      </c>
    </row>
    <row r="1583" spans="1:22">
      <c r="A1583" t="s">
        <v>2050</v>
      </c>
      <c r="B1583" s="1">
        <v>41054.95925925926</v>
      </c>
      <c r="C1583" s="2">
        <v>2785</v>
      </c>
      <c r="D1583">
        <v>33420</v>
      </c>
      <c r="E1583" t="s">
        <v>1856</v>
      </c>
      <c r="F1583" s="5">
        <v>33420</v>
      </c>
      <c r="G1583" s="5">
        <v>33420</v>
      </c>
      <c r="H1583" s="5">
        <f ca="1">OFFSET(F1583,0,Brains!$D$1,1,1)</f>
        <v>33420</v>
      </c>
      <c r="I1583" t="s">
        <v>2051</v>
      </c>
      <c r="J1583" t="s">
        <v>1882</v>
      </c>
      <c r="K1583" t="s">
        <v>2052</v>
      </c>
      <c r="L1583" t="s">
        <v>2143</v>
      </c>
      <c r="M1583" s="7" t="s">
        <v>3941</v>
      </c>
      <c r="N1583" t="s">
        <v>1866</v>
      </c>
      <c r="P1583" s="15" t="str">
        <f t="shared" ca="1" si="48"/>
        <v>30-49.9K</v>
      </c>
      <c r="Q1583" s="15">
        <v>8</v>
      </c>
      <c r="S1583">
        <v>5</v>
      </c>
      <c r="U1583">
        <v>7</v>
      </c>
      <c r="V1583" s="15">
        <f t="shared" ca="1" si="49"/>
        <v>3</v>
      </c>
    </row>
    <row r="1584" spans="1:22">
      <c r="A1584" t="s">
        <v>2003</v>
      </c>
      <c r="B1584" s="1">
        <v>41054.25675925926</v>
      </c>
      <c r="C1584" s="2" t="s">
        <v>2004</v>
      </c>
      <c r="D1584">
        <v>24000</v>
      </c>
      <c r="E1584" t="s">
        <v>1880</v>
      </c>
      <c r="F1584" s="5">
        <v>30489.586535798586</v>
      </c>
      <c r="G1584" s="5">
        <v>30148.784250275108</v>
      </c>
      <c r="H1584" s="5">
        <f ca="1">OFFSET(F1584,0,Brains!$D$1,1,1)</f>
        <v>30148.784250275108</v>
      </c>
      <c r="I1584" t="s">
        <v>2005</v>
      </c>
      <c r="J1584" t="s">
        <v>1882</v>
      </c>
      <c r="K1584" t="s">
        <v>1883</v>
      </c>
      <c r="L1584" t="s">
        <v>1883</v>
      </c>
      <c r="M1584" s="7" t="s">
        <v>3941</v>
      </c>
      <c r="N1584" t="s">
        <v>1866</v>
      </c>
      <c r="P1584" s="15" t="str">
        <f t="shared" ca="1" si="48"/>
        <v>30-49.9K</v>
      </c>
      <c r="Q1584" s="15">
        <v>8</v>
      </c>
      <c r="S1584">
        <v>5</v>
      </c>
      <c r="U1584">
        <v>7</v>
      </c>
      <c r="V1584" s="15">
        <f t="shared" ca="1" si="49"/>
        <v>3</v>
      </c>
    </row>
    <row r="1585" spans="1:22">
      <c r="A1585" t="s">
        <v>2277</v>
      </c>
      <c r="B1585" s="1">
        <v>41055.034583333334</v>
      </c>
      <c r="C1585" s="2">
        <v>18500</v>
      </c>
      <c r="D1585">
        <v>18500</v>
      </c>
      <c r="E1585" t="s">
        <v>1954</v>
      </c>
      <c r="F1585" s="5">
        <v>29159.298033244755</v>
      </c>
      <c r="G1585" s="5">
        <v>27448.071216617209</v>
      </c>
      <c r="H1585" s="5">
        <f ca="1">OFFSET(F1585,0,Brains!$D$1,1,1)</f>
        <v>27448.071216617209</v>
      </c>
      <c r="I1585" t="s">
        <v>2278</v>
      </c>
      <c r="J1585" t="s">
        <v>1882</v>
      </c>
      <c r="K1585" t="s">
        <v>1956</v>
      </c>
      <c r="L1585" t="s">
        <v>1956</v>
      </c>
      <c r="M1585" s="7" t="s">
        <v>3941</v>
      </c>
      <c r="N1585" t="s">
        <v>1866</v>
      </c>
      <c r="P1585" s="15" t="str">
        <f t="shared" ca="1" si="48"/>
        <v>15-29.9K</v>
      </c>
      <c r="Q1585" s="15">
        <v>8</v>
      </c>
      <c r="S1585">
        <v>5</v>
      </c>
      <c r="U1585">
        <v>7</v>
      </c>
      <c r="V1585" s="15">
        <f t="shared" ca="1" si="49"/>
        <v>2</v>
      </c>
    </row>
    <row r="1586" spans="1:22">
      <c r="A1586" t="s">
        <v>2150</v>
      </c>
      <c r="B1586" s="1">
        <v>41055.028912037036</v>
      </c>
      <c r="C1586" s="2">
        <v>2000</v>
      </c>
      <c r="D1586">
        <v>24000</v>
      </c>
      <c r="E1586" t="s">
        <v>1856</v>
      </c>
      <c r="F1586" s="5">
        <v>24000</v>
      </c>
      <c r="G1586" s="5">
        <v>24000</v>
      </c>
      <c r="H1586" s="5">
        <f ca="1">OFFSET(F1586,0,Brains!$D$1,1,1)</f>
        <v>24000</v>
      </c>
      <c r="I1586" t="s">
        <v>2151</v>
      </c>
      <c r="J1586" t="s">
        <v>1882</v>
      </c>
      <c r="K1586" t="s">
        <v>2152</v>
      </c>
      <c r="L1586" t="s">
        <v>2152</v>
      </c>
      <c r="M1586" s="7" t="s">
        <v>3941</v>
      </c>
      <c r="N1586" t="s">
        <v>1866</v>
      </c>
      <c r="P1586" s="15" t="str">
        <f t="shared" ca="1" si="48"/>
        <v>15-29.9K</v>
      </c>
      <c r="Q1586" s="15">
        <v>8</v>
      </c>
      <c r="S1586">
        <v>5</v>
      </c>
      <c r="U1586">
        <v>7</v>
      </c>
      <c r="V1586" s="15">
        <f t="shared" ca="1" si="49"/>
        <v>2</v>
      </c>
    </row>
    <row r="1587" spans="1:22">
      <c r="A1587" t="s">
        <v>2748</v>
      </c>
      <c r="B1587" s="1">
        <v>41055.09302083333</v>
      </c>
      <c r="C1587" s="2">
        <v>19200</v>
      </c>
      <c r="D1587">
        <v>19200</v>
      </c>
      <c r="E1587" t="s">
        <v>1856</v>
      </c>
      <c r="F1587" s="5">
        <v>19200</v>
      </c>
      <c r="G1587" s="5">
        <v>19200</v>
      </c>
      <c r="H1587" s="5">
        <f ca="1">OFFSET(F1587,0,Brains!$D$1,1,1)</f>
        <v>19200</v>
      </c>
      <c r="I1587" t="s">
        <v>2749</v>
      </c>
      <c r="J1587" t="s">
        <v>1882</v>
      </c>
      <c r="K1587" t="s">
        <v>2750</v>
      </c>
      <c r="L1587" t="s">
        <v>2750</v>
      </c>
      <c r="M1587" s="7" t="s">
        <v>3941</v>
      </c>
      <c r="N1587" t="s">
        <v>1866</v>
      </c>
      <c r="P1587" s="15" t="str">
        <f t="shared" ca="1" si="48"/>
        <v>15-29.9K</v>
      </c>
      <c r="Q1587" s="15">
        <v>8</v>
      </c>
      <c r="S1587">
        <v>5</v>
      </c>
      <c r="U1587">
        <v>7</v>
      </c>
      <c r="V1587" s="15">
        <f t="shared" ca="1" si="49"/>
        <v>2</v>
      </c>
    </row>
    <row r="1588" spans="1:22">
      <c r="A1588" t="s">
        <v>2295</v>
      </c>
      <c r="B1588" s="1">
        <v>41055.035219907404</v>
      </c>
      <c r="C1588" s="2">
        <v>13636.36</v>
      </c>
      <c r="D1588">
        <v>13636</v>
      </c>
      <c r="E1588" t="s">
        <v>1856</v>
      </c>
      <c r="F1588" s="5">
        <v>13636</v>
      </c>
      <c r="G1588" s="5">
        <v>13636</v>
      </c>
      <c r="H1588" s="5">
        <f ca="1">OFFSET(F1588,0,Brains!$D$1,1,1)</f>
        <v>13636</v>
      </c>
      <c r="I1588" t="s">
        <v>2296</v>
      </c>
      <c r="J1588" t="s">
        <v>1882</v>
      </c>
      <c r="K1588" t="s">
        <v>1859</v>
      </c>
      <c r="L1588" t="s">
        <v>1859</v>
      </c>
      <c r="M1588" s="7" t="s">
        <v>3941</v>
      </c>
      <c r="N1588" t="s">
        <v>1866</v>
      </c>
      <c r="P1588" s="15" t="str">
        <f t="shared" ca="1" si="48"/>
        <v>0-14.9K</v>
      </c>
      <c r="Q1588" s="15">
        <v>8</v>
      </c>
      <c r="S1588">
        <v>5</v>
      </c>
      <c r="U1588">
        <v>7</v>
      </c>
      <c r="V1588" s="15">
        <f t="shared" ca="1" si="49"/>
        <v>1</v>
      </c>
    </row>
    <row r="1589" spans="1:22">
      <c r="A1589" t="s">
        <v>2609</v>
      </c>
      <c r="B1589" s="1">
        <v>41055.067743055559</v>
      </c>
      <c r="C1589" s="2">
        <v>13000</v>
      </c>
      <c r="D1589">
        <v>13000</v>
      </c>
      <c r="E1589" t="s">
        <v>1856</v>
      </c>
      <c r="F1589" s="5">
        <v>13000</v>
      </c>
      <c r="G1589" s="5">
        <v>13000</v>
      </c>
      <c r="H1589" s="5">
        <f ca="1">OFFSET(F1589,0,Brains!$D$1,1,1)</f>
        <v>13000</v>
      </c>
      <c r="I1589" t="s">
        <v>2610</v>
      </c>
      <c r="J1589" t="s">
        <v>1882</v>
      </c>
      <c r="K1589" t="s">
        <v>1859</v>
      </c>
      <c r="L1589" t="s">
        <v>1859</v>
      </c>
      <c r="M1589" s="7" t="s">
        <v>3941</v>
      </c>
      <c r="N1589" t="s">
        <v>1866</v>
      </c>
      <c r="P1589" s="15" t="str">
        <f t="shared" ca="1" si="48"/>
        <v>0-14.9K</v>
      </c>
      <c r="Q1589" s="15">
        <v>8</v>
      </c>
      <c r="S1589">
        <v>5</v>
      </c>
      <c r="U1589">
        <v>7</v>
      </c>
      <c r="V1589" s="15">
        <f t="shared" ca="1" si="49"/>
        <v>1</v>
      </c>
    </row>
    <row r="1590" spans="1:22">
      <c r="A1590" t="s">
        <v>3032</v>
      </c>
      <c r="B1590" s="1">
        <v>41055.229108796295</v>
      </c>
      <c r="C1590" s="2">
        <v>450000</v>
      </c>
      <c r="D1590">
        <v>450000</v>
      </c>
      <c r="E1590" t="s">
        <v>1908</v>
      </c>
      <c r="F1590" s="5">
        <v>8013.5625093491553</v>
      </c>
      <c r="G1590" s="5">
        <v>22408.126680609501</v>
      </c>
      <c r="H1590" s="5">
        <f ca="1">OFFSET(F1590,0,Brains!$D$1,1,1)</f>
        <v>22408.126680609501</v>
      </c>
      <c r="I1590" t="s">
        <v>3033</v>
      </c>
      <c r="J1590" t="s">
        <v>1882</v>
      </c>
      <c r="K1590" t="s">
        <v>1859</v>
      </c>
      <c r="L1590" t="s">
        <v>1859</v>
      </c>
      <c r="M1590" s="7" t="s">
        <v>3941</v>
      </c>
      <c r="N1590" t="s">
        <v>1866</v>
      </c>
      <c r="P1590" s="15" t="str">
        <f t="shared" ca="1" si="48"/>
        <v>15-29.9K</v>
      </c>
      <c r="Q1590" s="15">
        <v>8</v>
      </c>
      <c r="S1590">
        <v>5</v>
      </c>
      <c r="U1590">
        <v>7</v>
      </c>
      <c r="V1590" s="15">
        <f t="shared" ca="1" si="49"/>
        <v>2</v>
      </c>
    </row>
    <row r="1591" spans="1:22">
      <c r="A1591" t="s">
        <v>2786</v>
      </c>
      <c r="B1591" s="1">
        <v>41055.100810185184</v>
      </c>
      <c r="C1591" s="2" t="s">
        <v>2787</v>
      </c>
      <c r="D1591">
        <v>240000</v>
      </c>
      <c r="E1591" t="s">
        <v>1908</v>
      </c>
      <c r="F1591" s="5">
        <v>4273.9000049862161</v>
      </c>
      <c r="G1591" s="5">
        <v>11951.000896325068</v>
      </c>
      <c r="H1591" s="5">
        <f ca="1">OFFSET(F1591,0,Brains!$D$1,1,1)</f>
        <v>11951.000896325068</v>
      </c>
      <c r="I1591" t="s">
        <v>2788</v>
      </c>
      <c r="J1591" t="s">
        <v>1882</v>
      </c>
      <c r="K1591" t="s">
        <v>1859</v>
      </c>
      <c r="L1591" t="s">
        <v>1859</v>
      </c>
      <c r="M1591" s="7" t="s">
        <v>3941</v>
      </c>
      <c r="N1591" t="s">
        <v>1866</v>
      </c>
      <c r="P1591" s="15" t="str">
        <f t="shared" ca="1" si="48"/>
        <v>0-14.9K</v>
      </c>
      <c r="Q1591" s="15">
        <v>8</v>
      </c>
      <c r="S1591">
        <v>5</v>
      </c>
      <c r="U1591">
        <v>7</v>
      </c>
      <c r="V1591" s="15">
        <f t="shared" ca="1" si="49"/>
        <v>1</v>
      </c>
    </row>
    <row r="1592" spans="1:22">
      <c r="A1592" t="s">
        <v>2311</v>
      </c>
      <c r="B1592" s="1">
        <v>41055.036458333336</v>
      </c>
      <c r="C1592" s="2">
        <v>233000</v>
      </c>
      <c r="D1592">
        <v>233000</v>
      </c>
      <c r="E1592" t="s">
        <v>1908</v>
      </c>
      <c r="F1592" s="5">
        <v>4149.2445881741187</v>
      </c>
      <c r="G1592" s="5">
        <v>11602.430036848918</v>
      </c>
      <c r="H1592" s="5">
        <f ca="1">OFFSET(F1592,0,Brains!$D$1,1,1)</f>
        <v>11602.430036848918</v>
      </c>
      <c r="I1592" t="s">
        <v>2312</v>
      </c>
      <c r="J1592" t="s">
        <v>1882</v>
      </c>
      <c r="K1592" t="s">
        <v>1859</v>
      </c>
      <c r="L1592" t="s">
        <v>1859</v>
      </c>
      <c r="M1592" s="7" t="s">
        <v>3941</v>
      </c>
      <c r="N1592" t="s">
        <v>1866</v>
      </c>
      <c r="P1592" s="15" t="str">
        <f t="shared" ca="1" si="48"/>
        <v>0-14.9K</v>
      </c>
      <c r="Q1592" s="15">
        <v>8</v>
      </c>
      <c r="S1592">
        <v>5</v>
      </c>
      <c r="U1592">
        <v>7</v>
      </c>
      <c r="V1592" s="15">
        <f t="shared" ca="1" si="49"/>
        <v>1</v>
      </c>
    </row>
    <row r="1593" spans="1:22">
      <c r="A1593" t="s">
        <v>2338</v>
      </c>
      <c r="B1593" s="1">
        <v>41055.037824074076</v>
      </c>
      <c r="C1593" s="2">
        <v>400000</v>
      </c>
      <c r="D1593">
        <v>400000</v>
      </c>
      <c r="E1593" t="s">
        <v>1856</v>
      </c>
      <c r="F1593" s="5">
        <v>400000</v>
      </c>
      <c r="G1593" s="5">
        <v>400000</v>
      </c>
      <c r="H1593" s="5">
        <f ca="1">OFFSET(F1593,0,Brains!$D$1,1,1)</f>
        <v>400000</v>
      </c>
      <c r="I1593" t="s">
        <v>2339</v>
      </c>
      <c r="J1593" t="s">
        <v>1882</v>
      </c>
      <c r="K1593" t="s">
        <v>1869</v>
      </c>
      <c r="L1593" t="s">
        <v>1869</v>
      </c>
      <c r="M1593" s="11" t="s">
        <v>3916</v>
      </c>
      <c r="N1593" t="s">
        <v>1884</v>
      </c>
      <c r="P1593" s="15" t="str">
        <f t="shared" ca="1" si="48"/>
        <v>250K+</v>
      </c>
      <c r="Q1593" s="15">
        <v>1.5</v>
      </c>
      <c r="S1593">
        <v>2</v>
      </c>
      <c r="U1593">
        <v>7</v>
      </c>
      <c r="V1593" s="15">
        <f t="shared" ca="1" si="49"/>
        <v>8</v>
      </c>
    </row>
    <row r="1594" spans="1:22">
      <c r="A1594" t="s">
        <v>1879</v>
      </c>
      <c r="B1594" s="1">
        <v>41054.148506944446</v>
      </c>
      <c r="C1594" s="2">
        <v>145000</v>
      </c>
      <c r="D1594">
        <v>145000</v>
      </c>
      <c r="E1594" t="s">
        <v>1880</v>
      </c>
      <c r="F1594" s="5">
        <v>184207.91865378313</v>
      </c>
      <c r="G1594" s="5">
        <v>182148.90484541212</v>
      </c>
      <c r="H1594" s="5">
        <f ca="1">OFFSET(F1594,0,Brains!$D$1,1,1)</f>
        <v>182148.90484541212</v>
      </c>
      <c r="I1594" t="s">
        <v>1881</v>
      </c>
      <c r="J1594" t="s">
        <v>1882</v>
      </c>
      <c r="K1594" t="s">
        <v>1883</v>
      </c>
      <c r="L1594" t="s">
        <v>1883</v>
      </c>
      <c r="M1594" s="11" t="s">
        <v>3916</v>
      </c>
      <c r="N1594" t="s">
        <v>1884</v>
      </c>
      <c r="P1594" s="15" t="str">
        <f t="shared" ca="1" si="48"/>
        <v>150-249.9K</v>
      </c>
      <c r="Q1594" s="15">
        <v>1.5</v>
      </c>
      <c r="S1594">
        <v>2</v>
      </c>
      <c r="U1594">
        <v>7</v>
      </c>
      <c r="V1594" s="15">
        <f t="shared" ca="1" si="49"/>
        <v>7</v>
      </c>
    </row>
    <row r="1595" spans="1:22">
      <c r="A1595" t="s">
        <v>2768</v>
      </c>
      <c r="B1595" s="1">
        <v>41055.095868055556</v>
      </c>
      <c r="C1595" s="2" t="s">
        <v>2769</v>
      </c>
      <c r="D1595">
        <v>66000</v>
      </c>
      <c r="E1595" t="s">
        <v>1954</v>
      </c>
      <c r="F1595" s="5">
        <v>104027.76595644075</v>
      </c>
      <c r="G1595" s="5">
        <v>97922.848664688427</v>
      </c>
      <c r="H1595" s="5">
        <f ca="1">OFFSET(F1595,0,Brains!$D$1,1,1)</f>
        <v>97922.848664688427</v>
      </c>
      <c r="I1595" t="s">
        <v>2770</v>
      </c>
      <c r="J1595" t="s">
        <v>1882</v>
      </c>
      <c r="K1595" t="s">
        <v>1956</v>
      </c>
      <c r="L1595" t="s">
        <v>1956</v>
      </c>
      <c r="M1595" s="11" t="s">
        <v>3916</v>
      </c>
      <c r="N1595" t="s">
        <v>1884</v>
      </c>
      <c r="P1595" s="15" t="str">
        <f t="shared" ca="1" si="48"/>
        <v>75-99.9K</v>
      </c>
      <c r="Q1595" s="15">
        <v>1.5</v>
      </c>
      <c r="S1595">
        <v>2</v>
      </c>
      <c r="U1595">
        <v>7</v>
      </c>
      <c r="V1595" s="15">
        <f t="shared" ca="1" si="49"/>
        <v>5</v>
      </c>
    </row>
    <row r="1596" spans="1:22">
      <c r="A1596" t="s">
        <v>2103</v>
      </c>
      <c r="B1596" s="1">
        <v>41055.028136574074</v>
      </c>
      <c r="C1596" s="2" t="s">
        <v>2104</v>
      </c>
      <c r="D1596">
        <v>91000</v>
      </c>
      <c r="E1596" t="s">
        <v>1856</v>
      </c>
      <c r="F1596" s="5">
        <v>91000</v>
      </c>
      <c r="G1596" s="5">
        <v>91000</v>
      </c>
      <c r="H1596" s="5">
        <f ca="1">OFFSET(F1596,0,Brains!$D$1,1,1)</f>
        <v>91000</v>
      </c>
      <c r="I1596" t="s">
        <v>2105</v>
      </c>
      <c r="J1596" t="s">
        <v>1882</v>
      </c>
      <c r="K1596" t="s">
        <v>1869</v>
      </c>
      <c r="L1596" t="s">
        <v>1869</v>
      </c>
      <c r="M1596" s="11" t="s">
        <v>3916</v>
      </c>
      <c r="N1596" t="s">
        <v>1884</v>
      </c>
      <c r="P1596" s="15" t="str">
        <f t="shared" ca="1" si="48"/>
        <v>75-99.9K</v>
      </c>
      <c r="Q1596" s="15">
        <v>1.5</v>
      </c>
      <c r="S1596">
        <v>2</v>
      </c>
      <c r="U1596">
        <v>7</v>
      </c>
      <c r="V1596" s="15">
        <f t="shared" ca="1" si="49"/>
        <v>5</v>
      </c>
    </row>
    <row r="1597" spans="1:22">
      <c r="A1597" t="s">
        <v>2856</v>
      </c>
      <c r="B1597" s="1">
        <v>41055.127187500002</v>
      </c>
      <c r="C1597" s="2">
        <v>80000</v>
      </c>
      <c r="D1597">
        <v>80000</v>
      </c>
      <c r="E1597" t="s">
        <v>1856</v>
      </c>
      <c r="F1597" s="5">
        <v>80000</v>
      </c>
      <c r="G1597" s="5">
        <v>80000</v>
      </c>
      <c r="H1597" s="5">
        <f ca="1">OFFSET(F1597,0,Brains!$D$1,1,1)</f>
        <v>80000</v>
      </c>
      <c r="I1597" t="s">
        <v>2857</v>
      </c>
      <c r="J1597" t="s">
        <v>1882</v>
      </c>
      <c r="K1597" t="s">
        <v>1869</v>
      </c>
      <c r="L1597" t="s">
        <v>1869</v>
      </c>
      <c r="M1597" s="11" t="s">
        <v>3916</v>
      </c>
      <c r="N1597" t="s">
        <v>1884</v>
      </c>
      <c r="P1597" s="15" t="str">
        <f t="shared" ca="1" si="48"/>
        <v>75-99.9K</v>
      </c>
      <c r="Q1597" s="15">
        <v>1.5</v>
      </c>
      <c r="S1597">
        <v>2</v>
      </c>
      <c r="U1597">
        <v>7</v>
      </c>
      <c r="V1597" s="15">
        <f t="shared" ca="1" si="49"/>
        <v>5</v>
      </c>
    </row>
    <row r="1598" spans="1:22">
      <c r="A1598" t="s">
        <v>2872</v>
      </c>
      <c r="B1598" s="1">
        <v>41055.13181712963</v>
      </c>
      <c r="C1598" s="2" t="s">
        <v>2873</v>
      </c>
      <c r="D1598">
        <v>70000</v>
      </c>
      <c r="E1598" t="s">
        <v>1979</v>
      </c>
      <c r="F1598" s="5">
        <v>68835.306612122877</v>
      </c>
      <c r="G1598" s="5">
        <v>56044.83586869495</v>
      </c>
      <c r="H1598" s="5">
        <f ca="1">OFFSET(F1598,0,Brains!$D$1,1,1)</f>
        <v>56044.83586869495</v>
      </c>
      <c r="I1598" t="s">
        <v>2874</v>
      </c>
      <c r="J1598" t="s">
        <v>1882</v>
      </c>
      <c r="K1598" t="s">
        <v>1981</v>
      </c>
      <c r="L1598" t="s">
        <v>1981</v>
      </c>
      <c r="M1598" s="11" t="s">
        <v>3916</v>
      </c>
      <c r="N1598" t="s">
        <v>1884</v>
      </c>
      <c r="P1598" s="15" t="str">
        <f t="shared" ca="1" si="48"/>
        <v>50-74.9K</v>
      </c>
      <c r="Q1598" s="15">
        <v>1.5</v>
      </c>
      <c r="S1598">
        <v>2</v>
      </c>
      <c r="U1598">
        <v>7</v>
      </c>
      <c r="V1598" s="15">
        <f t="shared" ca="1" si="49"/>
        <v>4</v>
      </c>
    </row>
    <row r="1599" spans="1:22">
      <c r="A1599" t="s">
        <v>2242</v>
      </c>
      <c r="B1599" s="1">
        <v>41055.032233796293</v>
      </c>
      <c r="C1599" s="2">
        <v>58</v>
      </c>
      <c r="D1599">
        <v>58000</v>
      </c>
      <c r="E1599" t="s">
        <v>1856</v>
      </c>
      <c r="F1599" s="5">
        <v>58000</v>
      </c>
      <c r="G1599" s="5">
        <v>58000</v>
      </c>
      <c r="H1599" s="5">
        <f ca="1">OFFSET(F1599,0,Brains!$D$1,1,1)</f>
        <v>58000</v>
      </c>
      <c r="I1599" t="s">
        <v>2243</v>
      </c>
      <c r="J1599" t="s">
        <v>1882</v>
      </c>
      <c r="K1599" t="s">
        <v>1981</v>
      </c>
      <c r="L1599" t="s">
        <v>1981</v>
      </c>
      <c r="M1599" s="11" t="s">
        <v>3916</v>
      </c>
      <c r="N1599" t="s">
        <v>1884</v>
      </c>
      <c r="P1599" s="15" t="str">
        <f t="shared" ca="1" si="48"/>
        <v>50-74.9K</v>
      </c>
      <c r="Q1599" s="15">
        <v>1.5</v>
      </c>
      <c r="S1599">
        <v>2</v>
      </c>
      <c r="U1599">
        <v>7</v>
      </c>
      <c r="V1599" s="15">
        <f t="shared" ca="1" si="49"/>
        <v>4</v>
      </c>
    </row>
    <row r="1600" spans="1:22">
      <c r="A1600" t="s">
        <v>1925</v>
      </c>
      <c r="B1600" s="1">
        <v>41054.180115740739</v>
      </c>
      <c r="C1600" s="2">
        <v>50000</v>
      </c>
      <c r="D1600">
        <v>50000</v>
      </c>
      <c r="E1600" t="s">
        <v>1856</v>
      </c>
      <c r="F1600" s="5">
        <v>50000</v>
      </c>
      <c r="G1600" s="5">
        <v>50000</v>
      </c>
      <c r="H1600" s="5">
        <f ca="1">OFFSET(F1600,0,Brains!$D$1,1,1)</f>
        <v>50000</v>
      </c>
      <c r="I1600" t="s">
        <v>1926</v>
      </c>
      <c r="J1600" t="s">
        <v>1882</v>
      </c>
      <c r="K1600" t="s">
        <v>1859</v>
      </c>
      <c r="L1600" t="s">
        <v>1859</v>
      </c>
      <c r="M1600" s="11" t="s">
        <v>3916</v>
      </c>
      <c r="N1600" t="s">
        <v>1884</v>
      </c>
      <c r="P1600" s="15" t="str">
        <f t="shared" ca="1" si="48"/>
        <v>50-74.9K</v>
      </c>
      <c r="Q1600" s="15">
        <v>1.5</v>
      </c>
      <c r="S1600">
        <v>2</v>
      </c>
      <c r="U1600">
        <v>7</v>
      </c>
      <c r="V1600" s="15">
        <f t="shared" ca="1" si="49"/>
        <v>4</v>
      </c>
    </row>
    <row r="1601" spans="1:22">
      <c r="A1601" t="s">
        <v>2167</v>
      </c>
      <c r="B1601" s="1">
        <v>41055.029282407406</v>
      </c>
      <c r="C1601" s="2" t="s">
        <v>2168</v>
      </c>
      <c r="D1601">
        <v>44000</v>
      </c>
      <c r="E1601" t="s">
        <v>1856</v>
      </c>
      <c r="F1601" s="5">
        <v>44000</v>
      </c>
      <c r="G1601" s="5">
        <v>44000</v>
      </c>
      <c r="H1601" s="5">
        <f ca="1">OFFSET(F1601,0,Brains!$D$1,1,1)</f>
        <v>44000</v>
      </c>
      <c r="I1601" t="s">
        <v>2169</v>
      </c>
      <c r="J1601" t="s">
        <v>1882</v>
      </c>
      <c r="K1601" t="s">
        <v>1869</v>
      </c>
      <c r="L1601" t="s">
        <v>1869</v>
      </c>
      <c r="M1601" s="11" t="s">
        <v>3916</v>
      </c>
      <c r="N1601" t="s">
        <v>1884</v>
      </c>
      <c r="P1601" s="15" t="str">
        <f t="shared" ca="1" si="48"/>
        <v>30-49.9K</v>
      </c>
      <c r="Q1601" s="15">
        <v>1.5</v>
      </c>
      <c r="S1601">
        <v>2</v>
      </c>
      <c r="U1601">
        <v>7</v>
      </c>
      <c r="V1601" s="15">
        <f t="shared" ca="1" si="49"/>
        <v>3</v>
      </c>
    </row>
    <row r="1602" spans="1:22">
      <c r="A1602" t="s">
        <v>2327</v>
      </c>
      <c r="B1602" s="1">
        <v>41055.03733796296</v>
      </c>
      <c r="C1602" s="2" t="s">
        <v>2328</v>
      </c>
      <c r="D1602">
        <v>1800000</v>
      </c>
      <c r="E1602" t="s">
        <v>1908</v>
      </c>
      <c r="F1602" s="5">
        <v>32054.250037396621</v>
      </c>
      <c r="G1602" s="5">
        <v>89632.506722438004</v>
      </c>
      <c r="H1602" s="5">
        <f ca="1">OFFSET(F1602,0,Brains!$D$1,1,1)</f>
        <v>89632.506722438004</v>
      </c>
      <c r="I1602" t="s">
        <v>2329</v>
      </c>
      <c r="J1602" t="s">
        <v>1882</v>
      </c>
      <c r="K1602" t="s">
        <v>1859</v>
      </c>
      <c r="L1602" t="s">
        <v>1859</v>
      </c>
      <c r="M1602" s="11" t="s">
        <v>3916</v>
      </c>
      <c r="N1602" t="s">
        <v>1884</v>
      </c>
      <c r="P1602" s="15" t="str">
        <f t="shared" ref="P1602:P1665" ca="1" si="50">IF(H1602&lt;15000,"0-14.9K",IF(H1602&lt;30000,"15-29.9K",IF(H1602&lt;50000,"30-49.9K",IF(H1602&lt;75000,"50-74.9K",IF(H1602&lt;100000,"75-99.9K",IF(H1602&lt;150000,"100-149.9K",IF(H1602&lt;250000,"150-249.9K","250K+")))))))</f>
        <v>75-99.9K</v>
      </c>
      <c r="Q1602" s="15">
        <v>1.5</v>
      </c>
      <c r="S1602">
        <v>2</v>
      </c>
      <c r="U1602">
        <v>7</v>
      </c>
      <c r="V1602" s="15">
        <f t="shared" ref="V1602:V1665" ca="1" si="51">IF(H1602&lt;15000,1,IF(H1602&lt;30000,2,IF(H1602&lt;50000,3,IF(H1602&lt;75000,4,IF(H1602&lt;100000,5,IF(H1602&lt;150000,6,IF(H1602&lt;250000,7,8)))))))</f>
        <v>5</v>
      </c>
    </row>
    <row r="1603" spans="1:22">
      <c r="A1603" t="s">
        <v>2010</v>
      </c>
      <c r="B1603" s="1">
        <v>41054.269085648149</v>
      </c>
      <c r="C1603" s="2" t="s">
        <v>2011</v>
      </c>
      <c r="D1603">
        <v>18000</v>
      </c>
      <c r="E1603" t="s">
        <v>1954</v>
      </c>
      <c r="F1603" s="5">
        <v>28371.208897211112</v>
      </c>
      <c r="G1603" s="5">
        <v>26706.231454005934</v>
      </c>
      <c r="H1603" s="5">
        <f ca="1">OFFSET(F1603,0,Brains!$D$1,1,1)</f>
        <v>26706.231454005934</v>
      </c>
      <c r="I1603" t="s">
        <v>2012</v>
      </c>
      <c r="J1603" t="s">
        <v>1882</v>
      </c>
      <c r="K1603" t="s">
        <v>1956</v>
      </c>
      <c r="L1603" t="s">
        <v>1956</v>
      </c>
      <c r="M1603" s="11" t="s">
        <v>3916</v>
      </c>
      <c r="N1603" t="s">
        <v>1884</v>
      </c>
      <c r="P1603" s="15" t="str">
        <f t="shared" ca="1" si="50"/>
        <v>15-29.9K</v>
      </c>
      <c r="Q1603" s="15">
        <v>1.5</v>
      </c>
      <c r="S1603">
        <v>2</v>
      </c>
      <c r="U1603">
        <v>7</v>
      </c>
      <c r="V1603" s="15">
        <f t="shared" ca="1" si="51"/>
        <v>2</v>
      </c>
    </row>
    <row r="1604" spans="1:22">
      <c r="A1604" t="s">
        <v>2419</v>
      </c>
      <c r="B1604" s="1">
        <v>41055.045300925929</v>
      </c>
      <c r="C1604" s="2">
        <v>25000</v>
      </c>
      <c r="D1604">
        <v>25000</v>
      </c>
      <c r="E1604" t="s">
        <v>1856</v>
      </c>
      <c r="F1604" s="5">
        <v>25000</v>
      </c>
      <c r="G1604" s="5">
        <v>25000</v>
      </c>
      <c r="H1604" s="5">
        <f ca="1">OFFSET(F1604,0,Brains!$D$1,1,1)</f>
        <v>25000</v>
      </c>
      <c r="I1604" t="s">
        <v>1988</v>
      </c>
      <c r="J1604" t="s">
        <v>1882</v>
      </c>
      <c r="K1604" t="s">
        <v>1859</v>
      </c>
      <c r="L1604" t="s">
        <v>1859</v>
      </c>
      <c r="M1604" s="11" t="s">
        <v>3916</v>
      </c>
      <c r="N1604" t="s">
        <v>1884</v>
      </c>
      <c r="P1604" s="15" t="str">
        <f t="shared" ca="1" si="50"/>
        <v>15-29.9K</v>
      </c>
      <c r="Q1604" s="15">
        <v>1.5</v>
      </c>
      <c r="S1604">
        <v>2</v>
      </c>
      <c r="U1604">
        <v>7</v>
      </c>
      <c r="V1604" s="15">
        <f t="shared" ca="1" si="51"/>
        <v>2</v>
      </c>
    </row>
    <row r="1605" spans="1:22">
      <c r="A1605" t="s">
        <v>2545</v>
      </c>
      <c r="B1605" s="1">
        <v>41055.05909722222</v>
      </c>
      <c r="C1605" s="2">
        <v>1400000</v>
      </c>
      <c r="D1605">
        <v>1400000</v>
      </c>
      <c r="E1605" t="s">
        <v>1908</v>
      </c>
      <c r="F1605" s="5">
        <v>24931.083362419595</v>
      </c>
      <c r="G1605" s="5">
        <v>69714.171895229563</v>
      </c>
      <c r="H1605" s="5">
        <f ca="1">OFFSET(F1605,0,Brains!$D$1,1,1)</f>
        <v>69714.171895229563</v>
      </c>
      <c r="I1605" t="s">
        <v>2546</v>
      </c>
      <c r="J1605" t="s">
        <v>1882</v>
      </c>
      <c r="K1605" t="s">
        <v>1859</v>
      </c>
      <c r="L1605" t="s">
        <v>1859</v>
      </c>
      <c r="M1605" s="11" t="s">
        <v>3916</v>
      </c>
      <c r="N1605" t="s">
        <v>1884</v>
      </c>
      <c r="P1605" s="15" t="str">
        <f t="shared" ca="1" si="50"/>
        <v>50-74.9K</v>
      </c>
      <c r="Q1605" s="15">
        <v>1.5</v>
      </c>
      <c r="S1605">
        <v>2</v>
      </c>
      <c r="U1605">
        <v>7</v>
      </c>
      <c r="V1605" s="15">
        <f t="shared" ca="1" si="51"/>
        <v>4</v>
      </c>
    </row>
    <row r="1606" spans="1:22">
      <c r="A1606" t="s">
        <v>2846</v>
      </c>
      <c r="B1606" s="1">
        <v>41055.123460648145</v>
      </c>
      <c r="C1606" s="2">
        <v>900000</v>
      </c>
      <c r="D1606">
        <v>900000</v>
      </c>
      <c r="E1606" t="s">
        <v>1908</v>
      </c>
      <c r="F1606" s="5">
        <v>16027.125018698311</v>
      </c>
      <c r="G1606" s="5">
        <v>44816.253361219002</v>
      </c>
      <c r="H1606" s="5">
        <f ca="1">OFFSET(F1606,0,Brains!$D$1,1,1)</f>
        <v>44816.253361219002</v>
      </c>
      <c r="I1606" t="s">
        <v>2847</v>
      </c>
      <c r="J1606" t="s">
        <v>1882</v>
      </c>
      <c r="K1606" t="s">
        <v>1859</v>
      </c>
      <c r="L1606" t="s">
        <v>1859</v>
      </c>
      <c r="M1606" s="11" t="s">
        <v>3916</v>
      </c>
      <c r="N1606" t="s">
        <v>1884</v>
      </c>
      <c r="P1606" s="15" t="str">
        <f t="shared" ca="1" si="50"/>
        <v>30-49.9K</v>
      </c>
      <c r="Q1606" s="15">
        <v>1.5</v>
      </c>
      <c r="S1606">
        <v>2</v>
      </c>
      <c r="U1606">
        <v>7</v>
      </c>
      <c r="V1606" s="15">
        <f t="shared" ca="1" si="51"/>
        <v>3</v>
      </c>
    </row>
    <row r="1607" spans="1:22">
      <c r="A1607" t="s">
        <v>2696</v>
      </c>
      <c r="B1607" s="1">
        <v>41055.083379629628</v>
      </c>
      <c r="C1607" s="2" t="s">
        <v>2697</v>
      </c>
      <c r="D1607">
        <v>620000</v>
      </c>
      <c r="E1607" t="s">
        <v>1908</v>
      </c>
      <c r="F1607" s="5">
        <v>11040.908346214392</v>
      </c>
      <c r="G1607" s="5">
        <v>30873.418982173091</v>
      </c>
      <c r="H1607" s="5">
        <f ca="1">OFFSET(F1607,0,Brains!$D$1,1,1)</f>
        <v>30873.418982173091</v>
      </c>
      <c r="I1607" t="s">
        <v>2698</v>
      </c>
      <c r="J1607" t="s">
        <v>1882</v>
      </c>
      <c r="K1607" t="s">
        <v>1859</v>
      </c>
      <c r="L1607" t="s">
        <v>1859</v>
      </c>
      <c r="M1607" s="11" t="s">
        <v>3916</v>
      </c>
      <c r="N1607" t="s">
        <v>1884</v>
      </c>
      <c r="P1607" s="15" t="str">
        <f t="shared" ca="1" si="50"/>
        <v>30-49.9K</v>
      </c>
      <c r="Q1607" s="15">
        <v>1.5</v>
      </c>
      <c r="S1607">
        <v>2</v>
      </c>
      <c r="U1607">
        <v>7</v>
      </c>
      <c r="V1607" s="15">
        <f t="shared" ca="1" si="51"/>
        <v>3</v>
      </c>
    </row>
    <row r="1608" spans="1:22">
      <c r="A1608" t="s">
        <v>2667</v>
      </c>
      <c r="B1608" s="1">
        <v>41055.07707175926</v>
      </c>
      <c r="C1608" s="2" t="s">
        <v>2668</v>
      </c>
      <c r="D1608">
        <v>480000</v>
      </c>
      <c r="E1608" t="s">
        <v>1908</v>
      </c>
      <c r="F1608" s="5">
        <v>8547.8000099724322</v>
      </c>
      <c r="G1608" s="5">
        <v>23902.001792650135</v>
      </c>
      <c r="H1608" s="5">
        <f ca="1">OFFSET(F1608,0,Brains!$D$1,1,1)</f>
        <v>23902.001792650135</v>
      </c>
      <c r="I1608" t="s">
        <v>2669</v>
      </c>
      <c r="J1608" t="s">
        <v>1882</v>
      </c>
      <c r="K1608" t="s">
        <v>1859</v>
      </c>
      <c r="L1608" t="s">
        <v>1859</v>
      </c>
      <c r="M1608" s="11" t="s">
        <v>3916</v>
      </c>
      <c r="N1608" t="s">
        <v>1884</v>
      </c>
      <c r="P1608" s="15" t="str">
        <f t="shared" ca="1" si="50"/>
        <v>15-29.9K</v>
      </c>
      <c r="Q1608" s="15">
        <v>1.5</v>
      </c>
      <c r="S1608">
        <v>2</v>
      </c>
      <c r="U1608">
        <v>7</v>
      </c>
      <c r="V1608" s="15">
        <f t="shared" ca="1" si="51"/>
        <v>2</v>
      </c>
    </row>
    <row r="1609" spans="1:22">
      <c r="A1609" t="s">
        <v>2238</v>
      </c>
      <c r="B1609" s="1">
        <v>41055.031863425924</v>
      </c>
      <c r="C1609" s="2">
        <v>420000</v>
      </c>
      <c r="D1609">
        <v>420000</v>
      </c>
      <c r="E1609" t="s">
        <v>1908</v>
      </c>
      <c r="F1609" s="5">
        <v>7479.3250087258784</v>
      </c>
      <c r="G1609" s="5">
        <v>20914.251568568867</v>
      </c>
      <c r="H1609" s="5">
        <f ca="1">OFFSET(F1609,0,Brains!$D$1,1,1)</f>
        <v>20914.251568568867</v>
      </c>
      <c r="I1609" t="s">
        <v>2239</v>
      </c>
      <c r="J1609" t="s">
        <v>1882</v>
      </c>
      <c r="K1609" t="s">
        <v>1859</v>
      </c>
      <c r="L1609" t="s">
        <v>1859</v>
      </c>
      <c r="M1609" s="11" t="s">
        <v>3916</v>
      </c>
      <c r="N1609" t="s">
        <v>1884</v>
      </c>
      <c r="P1609" s="15" t="str">
        <f t="shared" ca="1" si="50"/>
        <v>15-29.9K</v>
      </c>
      <c r="Q1609" s="15">
        <v>1.5</v>
      </c>
      <c r="S1609">
        <v>2</v>
      </c>
      <c r="U1609">
        <v>7</v>
      </c>
      <c r="V1609" s="15">
        <f t="shared" ca="1" si="51"/>
        <v>2</v>
      </c>
    </row>
    <row r="1610" spans="1:22">
      <c r="A1610" t="s">
        <v>1963</v>
      </c>
      <c r="B1610" s="1">
        <v>41054.213553240741</v>
      </c>
      <c r="C1610" s="2">
        <v>150000</v>
      </c>
      <c r="D1610">
        <v>150000</v>
      </c>
      <c r="E1610" t="s">
        <v>1856</v>
      </c>
      <c r="F1610" s="5">
        <v>150000</v>
      </c>
      <c r="G1610" s="5">
        <v>150000</v>
      </c>
      <c r="H1610" s="5">
        <f ca="1">OFFSET(F1610,0,Brains!$D$1,1,1)</f>
        <v>150000</v>
      </c>
      <c r="I1610" t="s">
        <v>1964</v>
      </c>
      <c r="J1610" t="s">
        <v>1882</v>
      </c>
      <c r="K1610" t="s">
        <v>1869</v>
      </c>
      <c r="L1610" t="s">
        <v>1869</v>
      </c>
      <c r="M1610" s="11" t="s">
        <v>3917</v>
      </c>
      <c r="N1610" t="s">
        <v>1873</v>
      </c>
      <c r="P1610" s="15" t="str">
        <f t="shared" ca="1" si="50"/>
        <v>150-249.9K</v>
      </c>
      <c r="Q1610" s="15">
        <v>2.5</v>
      </c>
      <c r="S1610">
        <v>3</v>
      </c>
      <c r="U1610">
        <v>7</v>
      </c>
      <c r="V1610" s="15">
        <f t="shared" ca="1" si="51"/>
        <v>7</v>
      </c>
    </row>
    <row r="1611" spans="1:22">
      <c r="A1611" t="s">
        <v>2910</v>
      </c>
      <c r="B1611" s="1">
        <v>41055.14439814815</v>
      </c>
      <c r="C1611" s="2" t="s">
        <v>2911</v>
      </c>
      <c r="D1611">
        <v>1080000</v>
      </c>
      <c r="E1611" t="s">
        <v>2912</v>
      </c>
      <c r="F1611" s="5">
        <v>131675.52225194403</v>
      </c>
      <c r="G1611" s="5">
        <v>190409.02679830749</v>
      </c>
      <c r="H1611" s="5">
        <f ca="1">OFFSET(F1611,0,Brains!$D$1,1,1)</f>
        <v>190409.02679830749</v>
      </c>
      <c r="I1611" t="s">
        <v>2913</v>
      </c>
      <c r="J1611" t="s">
        <v>1882</v>
      </c>
      <c r="K1611" t="s">
        <v>2914</v>
      </c>
      <c r="L1611" t="s">
        <v>1922</v>
      </c>
      <c r="M1611" s="11" t="s">
        <v>3917</v>
      </c>
      <c r="N1611" t="s">
        <v>1873</v>
      </c>
      <c r="P1611" s="15" t="str">
        <f t="shared" ca="1" si="50"/>
        <v>150-249.9K</v>
      </c>
      <c r="Q1611" s="15">
        <v>2.5</v>
      </c>
      <c r="S1611">
        <v>3</v>
      </c>
      <c r="U1611">
        <v>7</v>
      </c>
      <c r="V1611" s="15">
        <f t="shared" ca="1" si="51"/>
        <v>7</v>
      </c>
    </row>
    <row r="1612" spans="1:22">
      <c r="A1612" t="s">
        <v>2664</v>
      </c>
      <c r="B1612" s="1">
        <v>41055.076736111114</v>
      </c>
      <c r="C1612" s="2">
        <v>130000</v>
      </c>
      <c r="D1612">
        <v>130000</v>
      </c>
      <c r="E1612" t="s">
        <v>1856</v>
      </c>
      <c r="F1612" s="5">
        <v>130000</v>
      </c>
      <c r="G1612" s="5">
        <v>130000</v>
      </c>
      <c r="H1612" s="5">
        <f ca="1">OFFSET(F1612,0,Brains!$D$1,1,1)</f>
        <v>130000</v>
      </c>
      <c r="I1612" t="s">
        <v>2184</v>
      </c>
      <c r="J1612" t="s">
        <v>1882</v>
      </c>
      <c r="K1612" t="s">
        <v>1869</v>
      </c>
      <c r="L1612" t="s">
        <v>1869</v>
      </c>
      <c r="M1612" s="11" t="s">
        <v>3917</v>
      </c>
      <c r="N1612" t="s">
        <v>1873</v>
      </c>
      <c r="P1612" s="15" t="str">
        <f t="shared" ca="1" si="50"/>
        <v>100-149.9K</v>
      </c>
      <c r="Q1612" s="15">
        <v>2.5</v>
      </c>
      <c r="S1612">
        <v>3</v>
      </c>
      <c r="U1612">
        <v>7</v>
      </c>
      <c r="V1612" s="15">
        <f t="shared" ca="1" si="51"/>
        <v>6</v>
      </c>
    </row>
    <row r="1613" spans="1:22">
      <c r="A1613" t="s">
        <v>2864</v>
      </c>
      <c r="B1613" s="1">
        <v>41055.129351851851</v>
      </c>
      <c r="C1613" s="2">
        <v>125000</v>
      </c>
      <c r="D1613">
        <v>125000</v>
      </c>
      <c r="E1613" t="s">
        <v>1856</v>
      </c>
      <c r="F1613" s="5">
        <v>125000</v>
      </c>
      <c r="G1613" s="5">
        <v>125000</v>
      </c>
      <c r="H1613" s="5">
        <f ca="1">OFFSET(F1613,0,Brains!$D$1,1,1)</f>
        <v>125000</v>
      </c>
      <c r="I1613" t="s">
        <v>2865</v>
      </c>
      <c r="J1613" t="s">
        <v>1882</v>
      </c>
      <c r="K1613" t="s">
        <v>1869</v>
      </c>
      <c r="L1613" t="s">
        <v>1869</v>
      </c>
      <c r="M1613" s="11" t="s">
        <v>3917</v>
      </c>
      <c r="N1613" t="s">
        <v>1873</v>
      </c>
      <c r="P1613" s="15" t="str">
        <f t="shared" ca="1" si="50"/>
        <v>100-149.9K</v>
      </c>
      <c r="Q1613" s="15">
        <v>2.5</v>
      </c>
      <c r="S1613">
        <v>3</v>
      </c>
      <c r="U1613">
        <v>7</v>
      </c>
      <c r="V1613" s="15">
        <f t="shared" ca="1" si="51"/>
        <v>6</v>
      </c>
    </row>
    <row r="1614" spans="1:22">
      <c r="A1614" t="s">
        <v>3010</v>
      </c>
      <c r="B1614" s="1">
        <v>41055.220972222225</v>
      </c>
      <c r="C1614" s="2" t="s">
        <v>3011</v>
      </c>
      <c r="D1614">
        <v>120000</v>
      </c>
      <c r="E1614" t="s">
        <v>1856</v>
      </c>
      <c r="F1614" s="5">
        <v>120000</v>
      </c>
      <c r="G1614" s="5">
        <v>120000</v>
      </c>
      <c r="H1614" s="5">
        <f ca="1">OFFSET(F1614,0,Brains!$D$1,1,1)</f>
        <v>120000</v>
      </c>
      <c r="I1614" t="s">
        <v>3012</v>
      </c>
      <c r="J1614" t="s">
        <v>1882</v>
      </c>
      <c r="K1614" t="s">
        <v>3013</v>
      </c>
      <c r="L1614" t="s">
        <v>3083</v>
      </c>
      <c r="M1614" s="11" t="s">
        <v>3917</v>
      </c>
      <c r="N1614" t="s">
        <v>1873</v>
      </c>
      <c r="P1614" s="15" t="str">
        <f t="shared" ca="1" si="50"/>
        <v>100-149.9K</v>
      </c>
      <c r="Q1614" s="15">
        <v>2.5</v>
      </c>
      <c r="S1614">
        <v>3</v>
      </c>
      <c r="U1614">
        <v>7</v>
      </c>
      <c r="V1614" s="15">
        <f t="shared" ca="1" si="51"/>
        <v>6</v>
      </c>
    </row>
    <row r="1615" spans="1:22">
      <c r="A1615" t="s">
        <v>2183</v>
      </c>
      <c r="B1615" s="1">
        <v>41055.029895833337</v>
      </c>
      <c r="C1615" s="2">
        <v>70000</v>
      </c>
      <c r="D1615">
        <v>70000</v>
      </c>
      <c r="E1615" t="s">
        <v>1954</v>
      </c>
      <c r="F1615" s="5">
        <v>110332.47904470989</v>
      </c>
      <c r="G1615" s="5">
        <v>103857.56676557862</v>
      </c>
      <c r="H1615" s="5">
        <f ca="1">OFFSET(F1615,0,Brains!$D$1,1,1)</f>
        <v>103857.56676557862</v>
      </c>
      <c r="I1615" t="s">
        <v>2184</v>
      </c>
      <c r="J1615" t="s">
        <v>1882</v>
      </c>
      <c r="K1615" t="s">
        <v>1956</v>
      </c>
      <c r="L1615" t="s">
        <v>1956</v>
      </c>
      <c r="M1615" s="11" t="s">
        <v>3917</v>
      </c>
      <c r="N1615" t="s">
        <v>1873</v>
      </c>
      <c r="P1615" s="15" t="str">
        <f t="shared" ca="1" si="50"/>
        <v>100-149.9K</v>
      </c>
      <c r="Q1615" s="15">
        <v>2.5</v>
      </c>
      <c r="S1615">
        <v>3</v>
      </c>
      <c r="U1615">
        <v>7</v>
      </c>
      <c r="V1615" s="15">
        <f t="shared" ca="1" si="51"/>
        <v>6</v>
      </c>
    </row>
    <row r="1616" spans="1:22">
      <c r="A1616" t="s">
        <v>2584</v>
      </c>
      <c r="B1616" s="1">
        <v>41055.06386574074</v>
      </c>
      <c r="C1616" s="2">
        <v>108000</v>
      </c>
      <c r="D1616">
        <v>108000</v>
      </c>
      <c r="E1616" t="s">
        <v>1856</v>
      </c>
      <c r="F1616" s="5">
        <v>108000</v>
      </c>
      <c r="G1616" s="5">
        <v>108000</v>
      </c>
      <c r="H1616" s="5">
        <f ca="1">OFFSET(F1616,0,Brains!$D$1,1,1)</f>
        <v>108000</v>
      </c>
      <c r="I1616" t="s">
        <v>2585</v>
      </c>
      <c r="J1616" t="s">
        <v>1882</v>
      </c>
      <c r="K1616" t="s">
        <v>1869</v>
      </c>
      <c r="L1616" t="s">
        <v>1869</v>
      </c>
      <c r="M1616" s="11" t="s">
        <v>3917</v>
      </c>
      <c r="N1616" t="s">
        <v>1873</v>
      </c>
      <c r="P1616" s="15" t="str">
        <f t="shared" ca="1" si="50"/>
        <v>100-149.9K</v>
      </c>
      <c r="Q1616" s="15">
        <v>2.5</v>
      </c>
      <c r="S1616">
        <v>3</v>
      </c>
      <c r="U1616">
        <v>7</v>
      </c>
      <c r="V1616" s="15">
        <f t="shared" ca="1" si="51"/>
        <v>6</v>
      </c>
    </row>
    <row r="1617" spans="1:22">
      <c r="A1617" t="s">
        <v>2250</v>
      </c>
      <c r="B1617" s="1">
        <v>41055.033217592594</v>
      </c>
      <c r="C1617" s="2">
        <v>107000</v>
      </c>
      <c r="D1617">
        <v>107000</v>
      </c>
      <c r="E1617" t="s">
        <v>1979</v>
      </c>
      <c r="F1617" s="5">
        <v>105219.68296424497</v>
      </c>
      <c r="G1617" s="5">
        <v>85668.534827862284</v>
      </c>
      <c r="H1617" s="5">
        <f ca="1">OFFSET(F1617,0,Brains!$D$1,1,1)</f>
        <v>85668.534827862284</v>
      </c>
      <c r="I1617" t="s">
        <v>2251</v>
      </c>
      <c r="J1617" t="s">
        <v>1882</v>
      </c>
      <c r="K1617" t="s">
        <v>1981</v>
      </c>
      <c r="L1617" t="s">
        <v>1981</v>
      </c>
      <c r="M1617" s="11" t="s">
        <v>3917</v>
      </c>
      <c r="N1617" t="s">
        <v>1873</v>
      </c>
      <c r="P1617" s="15" t="str">
        <f t="shared" ca="1" si="50"/>
        <v>75-99.9K</v>
      </c>
      <c r="Q1617" s="15">
        <v>2.5</v>
      </c>
      <c r="S1617">
        <v>3</v>
      </c>
      <c r="U1617">
        <v>7</v>
      </c>
      <c r="V1617" s="15">
        <f t="shared" ca="1" si="51"/>
        <v>5</v>
      </c>
    </row>
    <row r="1618" spans="1:22">
      <c r="A1618" t="s">
        <v>2395</v>
      </c>
      <c r="B1618" s="1">
        <v>41055.043171296296</v>
      </c>
      <c r="C1618" s="2">
        <v>100000</v>
      </c>
      <c r="D1618">
        <v>100000</v>
      </c>
      <c r="E1618" t="s">
        <v>1979</v>
      </c>
      <c r="F1618" s="5">
        <v>98336.152303032693</v>
      </c>
      <c r="G1618" s="5">
        <v>80064.051240992791</v>
      </c>
      <c r="H1618" s="5">
        <f ca="1">OFFSET(F1618,0,Brains!$D$1,1,1)</f>
        <v>80064.051240992791</v>
      </c>
      <c r="I1618" t="s">
        <v>2396</v>
      </c>
      <c r="J1618" t="s">
        <v>1882</v>
      </c>
      <c r="K1618" t="s">
        <v>1981</v>
      </c>
      <c r="L1618" t="s">
        <v>1981</v>
      </c>
      <c r="M1618" s="11" t="s">
        <v>3917</v>
      </c>
      <c r="N1618" t="s">
        <v>1873</v>
      </c>
      <c r="P1618" s="15" t="str">
        <f t="shared" ca="1" si="50"/>
        <v>75-99.9K</v>
      </c>
      <c r="Q1618" s="15">
        <v>2.5</v>
      </c>
      <c r="S1618">
        <v>3</v>
      </c>
      <c r="U1618">
        <v>7</v>
      </c>
      <c r="V1618" s="15">
        <f t="shared" ca="1" si="51"/>
        <v>5</v>
      </c>
    </row>
    <row r="1619" spans="1:22">
      <c r="A1619" t="s">
        <v>2316</v>
      </c>
      <c r="B1619" s="1">
        <v>41055.036805555559</v>
      </c>
      <c r="C1619" s="2">
        <v>90000</v>
      </c>
      <c r="D1619">
        <v>90000</v>
      </c>
      <c r="E1619" t="s">
        <v>1856</v>
      </c>
      <c r="F1619" s="5">
        <v>90000</v>
      </c>
      <c r="G1619" s="5">
        <v>90000</v>
      </c>
      <c r="H1619" s="5">
        <f ca="1">OFFSET(F1619,0,Brains!$D$1,1,1)</f>
        <v>90000</v>
      </c>
      <c r="I1619" t="s">
        <v>2184</v>
      </c>
      <c r="J1619" t="s">
        <v>1882</v>
      </c>
      <c r="K1619" t="s">
        <v>1869</v>
      </c>
      <c r="L1619" t="s">
        <v>1869</v>
      </c>
      <c r="M1619" s="11" t="s">
        <v>3917</v>
      </c>
      <c r="N1619" t="s">
        <v>1873</v>
      </c>
      <c r="P1619" s="15" t="str">
        <f t="shared" ca="1" si="50"/>
        <v>75-99.9K</v>
      </c>
      <c r="Q1619" s="15">
        <v>2.5</v>
      </c>
      <c r="S1619">
        <v>3</v>
      </c>
      <c r="U1619">
        <v>7</v>
      </c>
      <c r="V1619" s="15">
        <f t="shared" ca="1" si="51"/>
        <v>5</v>
      </c>
    </row>
    <row r="1620" spans="1:22">
      <c r="A1620" t="s">
        <v>3001</v>
      </c>
      <c r="B1620" s="1">
        <v>41055.20857638889</v>
      </c>
      <c r="C1620" s="2">
        <v>82300</v>
      </c>
      <c r="D1620">
        <v>82300</v>
      </c>
      <c r="E1620" t="s">
        <v>1856</v>
      </c>
      <c r="F1620" s="5">
        <v>82300</v>
      </c>
      <c r="G1620" s="5">
        <v>82300</v>
      </c>
      <c r="H1620" s="5">
        <f ca="1">OFFSET(F1620,0,Brains!$D$1,1,1)</f>
        <v>82300</v>
      </c>
      <c r="I1620" t="s">
        <v>3002</v>
      </c>
      <c r="J1620" t="s">
        <v>1882</v>
      </c>
      <c r="K1620" t="s">
        <v>1869</v>
      </c>
      <c r="L1620" t="s">
        <v>1869</v>
      </c>
      <c r="M1620" s="11" t="s">
        <v>3917</v>
      </c>
      <c r="N1620" t="s">
        <v>1873</v>
      </c>
      <c r="P1620" s="15" t="str">
        <f t="shared" ca="1" si="50"/>
        <v>75-99.9K</v>
      </c>
      <c r="Q1620" s="15">
        <v>2.5</v>
      </c>
      <c r="S1620">
        <v>3</v>
      </c>
      <c r="U1620">
        <v>7</v>
      </c>
      <c r="V1620" s="15">
        <f t="shared" ca="1" si="51"/>
        <v>5</v>
      </c>
    </row>
    <row r="1621" spans="1:22">
      <c r="A1621" t="s">
        <v>2297</v>
      </c>
      <c r="B1621" s="1">
        <v>41055.035219907404</v>
      </c>
      <c r="C1621" s="2">
        <v>80000</v>
      </c>
      <c r="D1621">
        <v>80000</v>
      </c>
      <c r="E1621" t="s">
        <v>1856</v>
      </c>
      <c r="F1621" s="5">
        <v>80000</v>
      </c>
      <c r="G1621" s="5">
        <v>80000</v>
      </c>
      <c r="H1621" s="5">
        <f ca="1">OFFSET(F1621,0,Brains!$D$1,1,1)</f>
        <v>80000</v>
      </c>
      <c r="I1621" t="s">
        <v>2298</v>
      </c>
      <c r="J1621" t="s">
        <v>1882</v>
      </c>
      <c r="K1621" t="s">
        <v>1869</v>
      </c>
      <c r="L1621" t="s">
        <v>1869</v>
      </c>
      <c r="M1621" s="11" t="s">
        <v>3917</v>
      </c>
      <c r="N1621" t="s">
        <v>1873</v>
      </c>
      <c r="P1621" s="15" t="str">
        <f t="shared" ca="1" si="50"/>
        <v>75-99.9K</v>
      </c>
      <c r="Q1621" s="15">
        <v>2.5</v>
      </c>
      <c r="S1621">
        <v>3</v>
      </c>
      <c r="U1621">
        <v>7</v>
      </c>
      <c r="V1621" s="15">
        <f t="shared" ca="1" si="51"/>
        <v>5</v>
      </c>
    </row>
    <row r="1622" spans="1:22">
      <c r="A1622" t="s">
        <v>2471</v>
      </c>
      <c r="B1622" s="1">
        <v>41055.049930555557</v>
      </c>
      <c r="C1622" s="2">
        <v>80000</v>
      </c>
      <c r="D1622">
        <v>80000</v>
      </c>
      <c r="E1622" t="s">
        <v>1856</v>
      </c>
      <c r="F1622" s="5">
        <v>80000</v>
      </c>
      <c r="G1622" s="5">
        <v>80000</v>
      </c>
      <c r="H1622" s="5">
        <f ca="1">OFFSET(F1622,0,Brains!$D$1,1,1)</f>
        <v>80000</v>
      </c>
      <c r="I1622" t="s">
        <v>2472</v>
      </c>
      <c r="J1622" t="s">
        <v>1882</v>
      </c>
      <c r="K1622" t="s">
        <v>1869</v>
      </c>
      <c r="L1622" t="s">
        <v>1869</v>
      </c>
      <c r="M1622" s="11" t="s">
        <v>3917</v>
      </c>
      <c r="N1622" t="s">
        <v>1873</v>
      </c>
      <c r="P1622" s="15" t="str">
        <f t="shared" ca="1" si="50"/>
        <v>75-99.9K</v>
      </c>
      <c r="Q1622" s="15">
        <v>2.5</v>
      </c>
      <c r="S1622">
        <v>3</v>
      </c>
      <c r="U1622">
        <v>7</v>
      </c>
      <c r="V1622" s="15">
        <f t="shared" ca="1" si="51"/>
        <v>5</v>
      </c>
    </row>
    <row r="1623" spans="1:22">
      <c r="A1623" t="s">
        <v>2973</v>
      </c>
      <c r="B1623" s="1">
        <v>41055.184305555558</v>
      </c>
      <c r="C1623" s="2">
        <v>76000</v>
      </c>
      <c r="D1623">
        <v>76000</v>
      </c>
      <c r="E1623" t="s">
        <v>1856</v>
      </c>
      <c r="F1623" s="5">
        <v>76000</v>
      </c>
      <c r="G1623" s="5">
        <v>76000</v>
      </c>
      <c r="H1623" s="5">
        <f ca="1">OFFSET(F1623,0,Brains!$D$1,1,1)</f>
        <v>76000</v>
      </c>
      <c r="I1623" t="s">
        <v>2732</v>
      </c>
      <c r="J1623" t="s">
        <v>1882</v>
      </c>
      <c r="K1623" t="s">
        <v>1869</v>
      </c>
      <c r="L1623" t="s">
        <v>1869</v>
      </c>
      <c r="M1623" s="11" t="s">
        <v>3917</v>
      </c>
      <c r="N1623" t="s">
        <v>1873</v>
      </c>
      <c r="P1623" s="15" t="str">
        <f t="shared" ca="1" si="50"/>
        <v>75-99.9K</v>
      </c>
      <c r="Q1623" s="15">
        <v>2.5</v>
      </c>
      <c r="S1623">
        <v>3</v>
      </c>
      <c r="U1623">
        <v>7</v>
      </c>
      <c r="V1623" s="15">
        <f t="shared" ca="1" si="51"/>
        <v>5</v>
      </c>
    </row>
    <row r="1624" spans="1:22">
      <c r="A1624" t="s">
        <v>2987</v>
      </c>
      <c r="B1624" s="1">
        <v>41055.194861111115</v>
      </c>
      <c r="C1624" s="2">
        <v>72600</v>
      </c>
      <c r="D1624">
        <v>72600</v>
      </c>
      <c r="E1624" t="s">
        <v>1856</v>
      </c>
      <c r="F1624" s="5">
        <v>72600</v>
      </c>
      <c r="G1624" s="5">
        <v>72600</v>
      </c>
      <c r="H1624" s="5">
        <f ca="1">OFFSET(F1624,0,Brains!$D$1,1,1)</f>
        <v>72600</v>
      </c>
      <c r="I1624" t="s">
        <v>2988</v>
      </c>
      <c r="J1624" t="s">
        <v>1882</v>
      </c>
      <c r="K1624" t="s">
        <v>1869</v>
      </c>
      <c r="L1624" t="s">
        <v>1869</v>
      </c>
      <c r="M1624" s="11" t="s">
        <v>3917</v>
      </c>
      <c r="N1624" t="s">
        <v>1873</v>
      </c>
      <c r="P1624" s="15" t="str">
        <f t="shared" ca="1" si="50"/>
        <v>50-74.9K</v>
      </c>
      <c r="Q1624" s="15">
        <v>2.5</v>
      </c>
      <c r="S1624">
        <v>3</v>
      </c>
      <c r="U1624">
        <v>7</v>
      </c>
      <c r="V1624" s="15">
        <f t="shared" ca="1" si="51"/>
        <v>4</v>
      </c>
    </row>
    <row r="1625" spans="1:22">
      <c r="A1625" t="s">
        <v>2388</v>
      </c>
      <c r="B1625" s="1">
        <v>41055.042395833334</v>
      </c>
      <c r="C1625" s="2">
        <v>45000</v>
      </c>
      <c r="D1625">
        <v>45000</v>
      </c>
      <c r="E1625" t="s">
        <v>1954</v>
      </c>
      <c r="F1625" s="5">
        <v>70928.022243027779</v>
      </c>
      <c r="G1625" s="5">
        <v>66765.578635014841</v>
      </c>
      <c r="H1625" s="5">
        <f ca="1">OFFSET(F1625,0,Brains!$D$1,1,1)</f>
        <v>66765.578635014841</v>
      </c>
      <c r="I1625" t="s">
        <v>2389</v>
      </c>
      <c r="J1625" t="s">
        <v>1882</v>
      </c>
      <c r="K1625" t="s">
        <v>1956</v>
      </c>
      <c r="L1625" t="s">
        <v>1956</v>
      </c>
      <c r="M1625" s="11" t="s">
        <v>3917</v>
      </c>
      <c r="N1625" t="s">
        <v>1873</v>
      </c>
      <c r="P1625" s="15" t="str">
        <f t="shared" ca="1" si="50"/>
        <v>50-74.9K</v>
      </c>
      <c r="Q1625" s="15">
        <v>2.5</v>
      </c>
      <c r="S1625">
        <v>3</v>
      </c>
      <c r="U1625">
        <v>7</v>
      </c>
      <c r="V1625" s="15">
        <f t="shared" ca="1" si="51"/>
        <v>4</v>
      </c>
    </row>
    <row r="1626" spans="1:22">
      <c r="A1626" t="s">
        <v>2406</v>
      </c>
      <c r="B1626" s="1">
        <v>41055.044074074074</v>
      </c>
      <c r="C1626" s="2">
        <v>70000</v>
      </c>
      <c r="D1626">
        <v>70000</v>
      </c>
      <c r="E1626" t="s">
        <v>1856</v>
      </c>
      <c r="F1626" s="5">
        <v>70000</v>
      </c>
      <c r="G1626" s="5">
        <v>70000</v>
      </c>
      <c r="H1626" s="5">
        <f ca="1">OFFSET(F1626,0,Brains!$D$1,1,1)</f>
        <v>70000</v>
      </c>
      <c r="I1626" t="s">
        <v>2407</v>
      </c>
      <c r="J1626" t="s">
        <v>1882</v>
      </c>
      <c r="K1626" t="s">
        <v>1869</v>
      </c>
      <c r="L1626" t="s">
        <v>1869</v>
      </c>
      <c r="M1626" s="11" t="s">
        <v>3917</v>
      </c>
      <c r="N1626" t="s">
        <v>1873</v>
      </c>
      <c r="P1626" s="15" t="str">
        <f t="shared" ca="1" si="50"/>
        <v>50-74.9K</v>
      </c>
      <c r="Q1626" s="15">
        <v>2.5</v>
      </c>
      <c r="S1626">
        <v>3</v>
      </c>
      <c r="U1626">
        <v>7</v>
      </c>
      <c r="V1626" s="15">
        <f t="shared" ca="1" si="51"/>
        <v>4</v>
      </c>
    </row>
    <row r="1627" spans="1:22">
      <c r="A1627" t="s">
        <v>2644</v>
      </c>
      <c r="B1627" s="1">
        <v>41055.072083333333</v>
      </c>
      <c r="C1627" s="2">
        <v>68000</v>
      </c>
      <c r="D1627">
        <v>68000</v>
      </c>
      <c r="E1627" t="s">
        <v>1856</v>
      </c>
      <c r="F1627" s="5">
        <v>68000</v>
      </c>
      <c r="G1627" s="5">
        <v>68000</v>
      </c>
      <c r="H1627" s="5">
        <f ca="1">OFFSET(F1627,0,Brains!$D$1,1,1)</f>
        <v>68000</v>
      </c>
      <c r="I1627" t="s">
        <v>2184</v>
      </c>
      <c r="J1627" t="s">
        <v>1882</v>
      </c>
      <c r="K1627" t="s">
        <v>1869</v>
      </c>
      <c r="L1627" t="s">
        <v>1869</v>
      </c>
      <c r="M1627" s="11" t="s">
        <v>3917</v>
      </c>
      <c r="N1627" t="s">
        <v>1873</v>
      </c>
      <c r="P1627" s="15" t="str">
        <f t="shared" ca="1" si="50"/>
        <v>50-74.9K</v>
      </c>
      <c r="Q1627" s="15">
        <v>2.5</v>
      </c>
      <c r="S1627">
        <v>3</v>
      </c>
      <c r="U1627">
        <v>7</v>
      </c>
      <c r="V1627" s="15">
        <f t="shared" ca="1" si="51"/>
        <v>4</v>
      </c>
    </row>
    <row r="1628" spans="1:22">
      <c r="A1628" t="s">
        <v>2376</v>
      </c>
      <c r="B1628" s="1">
        <v>41055.040532407409</v>
      </c>
      <c r="C1628" s="2">
        <v>43000</v>
      </c>
      <c r="D1628">
        <v>43000</v>
      </c>
      <c r="E1628" t="s">
        <v>1954</v>
      </c>
      <c r="F1628" s="5">
        <v>67775.665698893223</v>
      </c>
      <c r="G1628" s="5">
        <v>63798.219584569728</v>
      </c>
      <c r="H1628" s="5">
        <f ca="1">OFFSET(F1628,0,Brains!$D$1,1,1)</f>
        <v>63798.219584569728</v>
      </c>
      <c r="I1628" t="s">
        <v>2377</v>
      </c>
      <c r="J1628" t="s">
        <v>1882</v>
      </c>
      <c r="K1628" t="s">
        <v>1956</v>
      </c>
      <c r="L1628" t="s">
        <v>1956</v>
      </c>
      <c r="M1628" s="11" t="s">
        <v>3917</v>
      </c>
      <c r="N1628" t="s">
        <v>1873</v>
      </c>
      <c r="P1628" s="15" t="str">
        <f t="shared" ca="1" si="50"/>
        <v>50-74.9K</v>
      </c>
      <c r="Q1628" s="15">
        <v>2.5</v>
      </c>
      <c r="S1628">
        <v>3</v>
      </c>
      <c r="U1628">
        <v>7</v>
      </c>
      <c r="V1628" s="15">
        <f t="shared" ca="1" si="51"/>
        <v>4</v>
      </c>
    </row>
    <row r="1629" spans="1:22">
      <c r="A1629" t="s">
        <v>2587</v>
      </c>
      <c r="B1629" s="1">
        <v>41055.064050925925</v>
      </c>
      <c r="C1629" s="2" t="s">
        <v>2588</v>
      </c>
      <c r="D1629">
        <v>65000</v>
      </c>
      <c r="E1629" t="s">
        <v>1979</v>
      </c>
      <c r="F1629" s="5">
        <v>63918.498996971248</v>
      </c>
      <c r="G1629" s="5">
        <v>52041.633306645308</v>
      </c>
      <c r="H1629" s="5">
        <f ca="1">OFFSET(F1629,0,Brains!$D$1,1,1)</f>
        <v>52041.633306645308</v>
      </c>
      <c r="I1629" t="s">
        <v>2589</v>
      </c>
      <c r="J1629" t="s">
        <v>1882</v>
      </c>
      <c r="K1629" t="s">
        <v>2023</v>
      </c>
      <c r="L1629" t="s">
        <v>1981</v>
      </c>
      <c r="M1629" s="11" t="s">
        <v>3917</v>
      </c>
      <c r="N1629" t="s">
        <v>1873</v>
      </c>
      <c r="P1629" s="15" t="str">
        <f t="shared" ca="1" si="50"/>
        <v>50-74.9K</v>
      </c>
      <c r="Q1629" s="15">
        <v>2.5</v>
      </c>
      <c r="S1629">
        <v>3</v>
      </c>
      <c r="U1629">
        <v>7</v>
      </c>
      <c r="V1629" s="15">
        <f t="shared" ca="1" si="51"/>
        <v>4</v>
      </c>
    </row>
    <row r="1630" spans="1:22">
      <c r="A1630" t="s">
        <v>2741</v>
      </c>
      <c r="B1630" s="1">
        <v>41055.090682870374</v>
      </c>
      <c r="C1630" s="2">
        <v>63586.95</v>
      </c>
      <c r="D1630">
        <v>63586</v>
      </c>
      <c r="E1630" t="s">
        <v>1856</v>
      </c>
      <c r="F1630" s="5">
        <v>63586</v>
      </c>
      <c r="G1630" s="5">
        <v>63586</v>
      </c>
      <c r="H1630" s="5">
        <f ca="1">OFFSET(F1630,0,Brains!$D$1,1,1)</f>
        <v>63586</v>
      </c>
      <c r="I1630" t="s">
        <v>2742</v>
      </c>
      <c r="J1630" t="s">
        <v>1882</v>
      </c>
      <c r="K1630" t="s">
        <v>2743</v>
      </c>
      <c r="L1630" t="s">
        <v>2143</v>
      </c>
      <c r="M1630" s="11" t="s">
        <v>3917</v>
      </c>
      <c r="N1630" t="s">
        <v>1873</v>
      </c>
      <c r="P1630" s="15" t="str">
        <f t="shared" ca="1" si="50"/>
        <v>50-74.9K</v>
      </c>
      <c r="Q1630" s="15">
        <v>2.5</v>
      </c>
      <c r="S1630">
        <v>3</v>
      </c>
      <c r="U1630">
        <v>7</v>
      </c>
      <c r="V1630" s="15">
        <f t="shared" ca="1" si="51"/>
        <v>4</v>
      </c>
    </row>
    <row r="1631" spans="1:22">
      <c r="A1631" t="s">
        <v>3058</v>
      </c>
      <c r="B1631" s="1">
        <v>41055.244988425926</v>
      </c>
      <c r="C1631" s="2">
        <v>50000</v>
      </c>
      <c r="D1631">
        <v>50000</v>
      </c>
      <c r="E1631" t="s">
        <v>1880</v>
      </c>
      <c r="F1631" s="5">
        <v>63519.971949580387</v>
      </c>
      <c r="G1631" s="5">
        <v>62809.967188073148</v>
      </c>
      <c r="H1631" s="5">
        <f ca="1">OFFSET(F1631,0,Brains!$D$1,1,1)</f>
        <v>62809.967188073148</v>
      </c>
      <c r="I1631" t="s">
        <v>3059</v>
      </c>
      <c r="J1631" t="s">
        <v>1882</v>
      </c>
      <c r="K1631" t="s">
        <v>2069</v>
      </c>
      <c r="L1631" t="s">
        <v>2069</v>
      </c>
      <c r="M1631" s="11" t="s">
        <v>3917</v>
      </c>
      <c r="N1631" t="s">
        <v>1873</v>
      </c>
      <c r="P1631" s="15" t="str">
        <f t="shared" ca="1" si="50"/>
        <v>50-74.9K</v>
      </c>
      <c r="Q1631" s="15">
        <v>2.5</v>
      </c>
      <c r="S1631">
        <v>3</v>
      </c>
      <c r="U1631">
        <v>7</v>
      </c>
      <c r="V1631" s="15">
        <f t="shared" ca="1" si="51"/>
        <v>4</v>
      </c>
    </row>
    <row r="1632" spans="1:22">
      <c r="A1632" t="s">
        <v>2013</v>
      </c>
      <c r="B1632" s="1">
        <v>41054.284317129626</v>
      </c>
      <c r="C1632" s="2">
        <v>49000</v>
      </c>
      <c r="D1632">
        <v>49000</v>
      </c>
      <c r="E1632" t="s">
        <v>1880</v>
      </c>
      <c r="F1632" s="5">
        <v>62249.572510588783</v>
      </c>
      <c r="G1632" s="5">
        <v>61553.767844311682</v>
      </c>
      <c r="H1632" s="5">
        <f ca="1">OFFSET(F1632,0,Brains!$D$1,1,1)</f>
        <v>61553.767844311682</v>
      </c>
      <c r="I1632" t="s">
        <v>2014</v>
      </c>
      <c r="J1632" t="s">
        <v>1882</v>
      </c>
      <c r="K1632" t="s">
        <v>2015</v>
      </c>
      <c r="L1632" t="s">
        <v>2015</v>
      </c>
      <c r="M1632" s="11" t="s">
        <v>3917</v>
      </c>
      <c r="N1632" t="s">
        <v>1873</v>
      </c>
      <c r="P1632" s="15" t="str">
        <f t="shared" ca="1" si="50"/>
        <v>50-74.9K</v>
      </c>
      <c r="Q1632" s="15">
        <v>2.5</v>
      </c>
      <c r="S1632">
        <v>3</v>
      </c>
      <c r="U1632">
        <v>7</v>
      </c>
      <c r="V1632" s="15">
        <f t="shared" ca="1" si="51"/>
        <v>4</v>
      </c>
    </row>
    <row r="1633" spans="1:22">
      <c r="A1633" t="s">
        <v>2999</v>
      </c>
      <c r="B1633" s="1">
        <v>41055.201932870368</v>
      </c>
      <c r="C1633" s="2">
        <v>36500</v>
      </c>
      <c r="D1633">
        <v>36500</v>
      </c>
      <c r="E1633" t="s">
        <v>1954</v>
      </c>
      <c r="F1633" s="5">
        <v>57530.506930455871</v>
      </c>
      <c r="G1633" s="5">
        <v>54154.302670623147</v>
      </c>
      <c r="H1633" s="5">
        <f ca="1">OFFSET(F1633,0,Brains!$D$1,1,1)</f>
        <v>54154.302670623147</v>
      </c>
      <c r="I1633" t="s">
        <v>3000</v>
      </c>
      <c r="J1633" t="s">
        <v>1882</v>
      </c>
      <c r="K1633" t="s">
        <v>1956</v>
      </c>
      <c r="L1633" t="s">
        <v>1956</v>
      </c>
      <c r="M1633" s="11" t="s">
        <v>3917</v>
      </c>
      <c r="N1633" t="s">
        <v>1873</v>
      </c>
      <c r="P1633" s="15" t="str">
        <f t="shared" ca="1" si="50"/>
        <v>50-74.9K</v>
      </c>
      <c r="Q1633" s="15">
        <v>2.5</v>
      </c>
      <c r="S1633">
        <v>3</v>
      </c>
      <c r="U1633">
        <v>7</v>
      </c>
      <c r="V1633" s="15">
        <f t="shared" ca="1" si="51"/>
        <v>4</v>
      </c>
    </row>
    <row r="1634" spans="1:22">
      <c r="A1634" t="s">
        <v>2635</v>
      </c>
      <c r="B1634" s="1">
        <v>41055.070914351854</v>
      </c>
      <c r="C1634" s="2">
        <v>56000</v>
      </c>
      <c r="D1634">
        <v>56000</v>
      </c>
      <c r="E1634" t="s">
        <v>1856</v>
      </c>
      <c r="F1634" s="5">
        <v>56000</v>
      </c>
      <c r="G1634" s="5">
        <v>56000</v>
      </c>
      <c r="H1634" s="5">
        <f ca="1">OFFSET(F1634,0,Brains!$D$1,1,1)</f>
        <v>56000</v>
      </c>
      <c r="I1634" t="s">
        <v>2636</v>
      </c>
      <c r="J1634" t="s">
        <v>1882</v>
      </c>
      <c r="K1634" t="s">
        <v>1869</v>
      </c>
      <c r="L1634" t="s">
        <v>1869</v>
      </c>
      <c r="M1634" s="11" t="s">
        <v>3917</v>
      </c>
      <c r="N1634" t="s">
        <v>1873</v>
      </c>
      <c r="P1634" s="15" t="str">
        <f t="shared" ca="1" si="50"/>
        <v>50-74.9K</v>
      </c>
      <c r="Q1634" s="15">
        <v>2.5</v>
      </c>
      <c r="S1634">
        <v>3</v>
      </c>
      <c r="U1634">
        <v>7</v>
      </c>
      <c r="V1634" s="15">
        <f t="shared" ca="1" si="51"/>
        <v>4</v>
      </c>
    </row>
    <row r="1635" spans="1:22">
      <c r="A1635" t="s">
        <v>2244</v>
      </c>
      <c r="B1635" s="1">
        <v>41055.032280092593</v>
      </c>
      <c r="C1635" s="2">
        <v>55000</v>
      </c>
      <c r="D1635">
        <v>55000</v>
      </c>
      <c r="E1635" t="s">
        <v>1856</v>
      </c>
      <c r="F1635" s="5">
        <v>55000</v>
      </c>
      <c r="G1635" s="5">
        <v>55000</v>
      </c>
      <c r="H1635" s="5">
        <f ca="1">OFFSET(F1635,0,Brains!$D$1,1,1)</f>
        <v>55000</v>
      </c>
      <c r="I1635" t="s">
        <v>2245</v>
      </c>
      <c r="J1635" t="s">
        <v>1882</v>
      </c>
      <c r="K1635" t="s">
        <v>1869</v>
      </c>
      <c r="L1635" t="s">
        <v>1869</v>
      </c>
      <c r="M1635" s="11" t="s">
        <v>3917</v>
      </c>
      <c r="N1635" t="s">
        <v>1873</v>
      </c>
      <c r="P1635" s="15" t="str">
        <f t="shared" ca="1" si="50"/>
        <v>50-74.9K</v>
      </c>
      <c r="Q1635" s="15">
        <v>2.5</v>
      </c>
      <c r="S1635">
        <v>3</v>
      </c>
      <c r="U1635">
        <v>7</v>
      </c>
      <c r="V1635" s="15">
        <f t="shared" ca="1" si="51"/>
        <v>4</v>
      </c>
    </row>
    <row r="1636" spans="1:22">
      <c r="A1636" t="s">
        <v>2625</v>
      </c>
      <c r="B1636" s="1">
        <v>41055.069768518515</v>
      </c>
      <c r="C1636" s="2">
        <v>53000</v>
      </c>
      <c r="D1636">
        <v>53000</v>
      </c>
      <c r="E1636" t="s">
        <v>1856</v>
      </c>
      <c r="F1636" s="5">
        <v>53000</v>
      </c>
      <c r="G1636" s="5">
        <v>53000</v>
      </c>
      <c r="H1636" s="5">
        <f ca="1">OFFSET(F1636,0,Brains!$D$1,1,1)</f>
        <v>53000</v>
      </c>
      <c r="I1636" t="s">
        <v>2626</v>
      </c>
      <c r="J1636" t="s">
        <v>1882</v>
      </c>
      <c r="K1636" t="s">
        <v>1869</v>
      </c>
      <c r="L1636" t="s">
        <v>1869</v>
      </c>
      <c r="M1636" s="11" t="s">
        <v>3917</v>
      </c>
      <c r="N1636" t="s">
        <v>1873</v>
      </c>
      <c r="P1636" s="15" t="str">
        <f t="shared" ca="1" si="50"/>
        <v>50-74.9K</v>
      </c>
      <c r="Q1636" s="15">
        <v>2.5</v>
      </c>
      <c r="S1636">
        <v>3</v>
      </c>
      <c r="U1636">
        <v>7</v>
      </c>
      <c r="V1636" s="15">
        <f t="shared" ca="1" si="51"/>
        <v>4</v>
      </c>
    </row>
    <row r="1637" spans="1:22">
      <c r="A1637" t="s">
        <v>2832</v>
      </c>
      <c r="B1637" s="1">
        <v>41055.117638888885</v>
      </c>
      <c r="C1637" s="2">
        <v>51000</v>
      </c>
      <c r="D1637">
        <v>51000</v>
      </c>
      <c r="E1637" t="s">
        <v>1856</v>
      </c>
      <c r="F1637" s="5">
        <v>51000</v>
      </c>
      <c r="G1637" s="5">
        <v>51000</v>
      </c>
      <c r="H1637" s="5">
        <f ca="1">OFFSET(F1637,0,Brains!$D$1,1,1)</f>
        <v>51000</v>
      </c>
      <c r="I1637" t="s">
        <v>2833</v>
      </c>
      <c r="J1637" t="s">
        <v>1882</v>
      </c>
      <c r="K1637" t="s">
        <v>1869</v>
      </c>
      <c r="L1637" t="s">
        <v>1869</v>
      </c>
      <c r="M1637" s="11" t="s">
        <v>3917</v>
      </c>
      <c r="N1637" t="s">
        <v>1873</v>
      </c>
      <c r="P1637" s="15" t="str">
        <f t="shared" ca="1" si="50"/>
        <v>50-74.9K</v>
      </c>
      <c r="Q1637" s="15">
        <v>2.5</v>
      </c>
      <c r="S1637">
        <v>3</v>
      </c>
      <c r="U1637">
        <v>7</v>
      </c>
      <c r="V1637" s="15">
        <f t="shared" ca="1" si="51"/>
        <v>4</v>
      </c>
    </row>
    <row r="1638" spans="1:22">
      <c r="A1638" t="s">
        <v>2065</v>
      </c>
      <c r="B1638" s="1">
        <v>41054.980046296296</v>
      </c>
      <c r="C1638" s="2">
        <v>50000</v>
      </c>
      <c r="D1638">
        <v>50000</v>
      </c>
      <c r="E1638" t="s">
        <v>1856</v>
      </c>
      <c r="F1638" s="5">
        <v>50000</v>
      </c>
      <c r="G1638" s="5">
        <v>50000</v>
      </c>
      <c r="H1638" s="5">
        <f ca="1">OFFSET(F1638,0,Brains!$D$1,1,1)</f>
        <v>50000</v>
      </c>
      <c r="I1638" t="s">
        <v>2066</v>
      </c>
      <c r="J1638" t="s">
        <v>1882</v>
      </c>
      <c r="K1638" t="s">
        <v>1869</v>
      </c>
      <c r="L1638" t="s">
        <v>1869</v>
      </c>
      <c r="M1638" s="11" t="s">
        <v>3917</v>
      </c>
      <c r="N1638" t="s">
        <v>1873</v>
      </c>
      <c r="P1638" s="15" t="str">
        <f t="shared" ca="1" si="50"/>
        <v>50-74.9K</v>
      </c>
      <c r="Q1638" s="15">
        <v>2.5</v>
      </c>
      <c r="S1638">
        <v>3</v>
      </c>
      <c r="U1638">
        <v>7</v>
      </c>
      <c r="V1638" s="15">
        <f t="shared" ca="1" si="51"/>
        <v>4</v>
      </c>
    </row>
    <row r="1639" spans="1:22">
      <c r="A1639" t="s">
        <v>2709</v>
      </c>
      <c r="B1639" s="1">
        <v>41055.084108796298</v>
      </c>
      <c r="C1639" s="2">
        <v>50000</v>
      </c>
      <c r="D1639">
        <v>50000</v>
      </c>
      <c r="E1639" t="s">
        <v>1856</v>
      </c>
      <c r="F1639" s="5">
        <v>50000</v>
      </c>
      <c r="G1639" s="5">
        <v>50000</v>
      </c>
      <c r="H1639" s="5">
        <f ca="1">OFFSET(F1639,0,Brains!$D$1,1,1)</f>
        <v>50000</v>
      </c>
      <c r="I1639" t="s">
        <v>2710</v>
      </c>
      <c r="J1639" t="s">
        <v>1882</v>
      </c>
      <c r="K1639" t="s">
        <v>1869</v>
      </c>
      <c r="L1639" t="s">
        <v>1869</v>
      </c>
      <c r="M1639" s="11" t="s">
        <v>3917</v>
      </c>
      <c r="N1639" t="s">
        <v>1873</v>
      </c>
      <c r="P1639" s="15" t="str">
        <f t="shared" ca="1" si="50"/>
        <v>50-74.9K</v>
      </c>
      <c r="Q1639" s="15">
        <v>2.5</v>
      </c>
      <c r="S1639">
        <v>3</v>
      </c>
      <c r="U1639">
        <v>7</v>
      </c>
      <c r="V1639" s="15">
        <f t="shared" ca="1" si="51"/>
        <v>4</v>
      </c>
    </row>
    <row r="1640" spans="1:22">
      <c r="A1640" t="s">
        <v>2141</v>
      </c>
      <c r="B1640" s="1">
        <v>41055.028819444444</v>
      </c>
      <c r="C1640" s="2">
        <v>4000</v>
      </c>
      <c r="D1640">
        <v>48000</v>
      </c>
      <c r="E1640" t="s">
        <v>1856</v>
      </c>
      <c r="F1640" s="5">
        <v>48000</v>
      </c>
      <c r="G1640" s="5">
        <v>48000</v>
      </c>
      <c r="H1640" s="5">
        <f ca="1">OFFSET(F1640,0,Brains!$D$1,1,1)</f>
        <v>48000</v>
      </c>
      <c r="I1640" t="s">
        <v>2142</v>
      </c>
      <c r="J1640" t="s">
        <v>1882</v>
      </c>
      <c r="K1640" t="s">
        <v>2143</v>
      </c>
      <c r="L1640" t="s">
        <v>2143</v>
      </c>
      <c r="M1640" s="11" t="s">
        <v>3917</v>
      </c>
      <c r="N1640" t="s">
        <v>1873</v>
      </c>
      <c r="P1640" s="15" t="str">
        <f t="shared" ca="1" si="50"/>
        <v>30-49.9K</v>
      </c>
      <c r="Q1640" s="15">
        <v>2.5</v>
      </c>
      <c r="S1640">
        <v>3</v>
      </c>
      <c r="U1640">
        <v>7</v>
      </c>
      <c r="V1640" s="15">
        <f t="shared" ca="1" si="51"/>
        <v>3</v>
      </c>
    </row>
    <row r="1641" spans="1:22">
      <c r="A1641" t="s">
        <v>2702</v>
      </c>
      <c r="B1641" s="1">
        <v>41055.083495370367</v>
      </c>
      <c r="C1641" s="2">
        <v>47000</v>
      </c>
      <c r="D1641">
        <v>47000</v>
      </c>
      <c r="E1641" t="s">
        <v>1856</v>
      </c>
      <c r="F1641" s="5">
        <v>47000</v>
      </c>
      <c r="G1641" s="5">
        <v>47000</v>
      </c>
      <c r="H1641" s="5">
        <f ca="1">OFFSET(F1641,0,Brains!$D$1,1,1)</f>
        <v>47000</v>
      </c>
      <c r="I1641" t="s">
        <v>2703</v>
      </c>
      <c r="J1641" t="s">
        <v>1882</v>
      </c>
      <c r="K1641" t="s">
        <v>1869</v>
      </c>
      <c r="L1641" t="s">
        <v>1869</v>
      </c>
      <c r="M1641" s="11" t="s">
        <v>3917</v>
      </c>
      <c r="N1641" t="s">
        <v>1873</v>
      </c>
      <c r="P1641" s="15" t="str">
        <f t="shared" ca="1" si="50"/>
        <v>30-49.9K</v>
      </c>
      <c r="Q1641" s="15">
        <v>2.5</v>
      </c>
      <c r="S1641">
        <v>3</v>
      </c>
      <c r="U1641">
        <v>7</v>
      </c>
      <c r="V1641" s="15">
        <f t="shared" ca="1" si="51"/>
        <v>3</v>
      </c>
    </row>
    <row r="1642" spans="1:22">
      <c r="A1642" t="s">
        <v>2887</v>
      </c>
      <c r="B1642" s="1">
        <v>41055.135763888888</v>
      </c>
      <c r="C1642" s="2" t="s">
        <v>2888</v>
      </c>
      <c r="D1642">
        <v>28500</v>
      </c>
      <c r="E1642" t="s">
        <v>1954</v>
      </c>
      <c r="F1642" s="5">
        <v>44921.080753917595</v>
      </c>
      <c r="G1642" s="5">
        <v>42284.866468842731</v>
      </c>
      <c r="H1642" s="5">
        <f ca="1">OFFSET(F1642,0,Brains!$D$1,1,1)</f>
        <v>42284.866468842731</v>
      </c>
      <c r="I1642" t="s">
        <v>2889</v>
      </c>
      <c r="J1642" t="s">
        <v>1882</v>
      </c>
      <c r="K1642" t="s">
        <v>1956</v>
      </c>
      <c r="L1642" t="s">
        <v>1956</v>
      </c>
      <c r="M1642" s="11" t="s">
        <v>3917</v>
      </c>
      <c r="N1642" t="s">
        <v>1873</v>
      </c>
      <c r="P1642" s="15" t="str">
        <f t="shared" ca="1" si="50"/>
        <v>30-49.9K</v>
      </c>
      <c r="Q1642" s="15">
        <v>2.5</v>
      </c>
      <c r="S1642">
        <v>3</v>
      </c>
      <c r="U1642">
        <v>7</v>
      </c>
      <c r="V1642" s="15">
        <f t="shared" ca="1" si="51"/>
        <v>3</v>
      </c>
    </row>
    <row r="1643" spans="1:22">
      <c r="A1643" t="s">
        <v>2699</v>
      </c>
      <c r="B1643" s="1">
        <v>41055.083449074074</v>
      </c>
      <c r="C1643" s="2" t="s">
        <v>2700</v>
      </c>
      <c r="D1643">
        <v>28000</v>
      </c>
      <c r="E1643" t="s">
        <v>1954</v>
      </c>
      <c r="F1643" s="5">
        <v>44132.991617883956</v>
      </c>
      <c r="G1643" s="5">
        <v>41543.026706231452</v>
      </c>
      <c r="H1643" s="5">
        <f ca="1">OFFSET(F1643,0,Brains!$D$1,1,1)</f>
        <v>41543.026706231452</v>
      </c>
      <c r="I1643" t="s">
        <v>2701</v>
      </c>
      <c r="J1643" t="s">
        <v>1882</v>
      </c>
      <c r="K1643" t="s">
        <v>1956</v>
      </c>
      <c r="L1643" t="s">
        <v>1956</v>
      </c>
      <c r="M1643" s="11" t="s">
        <v>3917</v>
      </c>
      <c r="N1643" t="s">
        <v>1873</v>
      </c>
      <c r="P1643" s="15" t="str">
        <f t="shared" ca="1" si="50"/>
        <v>30-49.9K</v>
      </c>
      <c r="Q1643" s="15">
        <v>2.5</v>
      </c>
      <c r="S1643">
        <v>3</v>
      </c>
      <c r="U1643">
        <v>7</v>
      </c>
      <c r="V1643" s="15">
        <f t="shared" ca="1" si="51"/>
        <v>3</v>
      </c>
    </row>
    <row r="1644" spans="1:22">
      <c r="A1644" t="s">
        <v>2670</v>
      </c>
      <c r="B1644" s="1">
        <v>41055.077361111114</v>
      </c>
      <c r="C1644" s="2">
        <v>41932</v>
      </c>
      <c r="D1644">
        <v>41932</v>
      </c>
      <c r="E1644" t="s">
        <v>1856</v>
      </c>
      <c r="F1644" s="5">
        <v>41932</v>
      </c>
      <c r="G1644" s="5">
        <v>41932</v>
      </c>
      <c r="H1644" s="5">
        <f ca="1">OFFSET(F1644,0,Brains!$D$1,1,1)</f>
        <v>41932</v>
      </c>
      <c r="I1644" t="s">
        <v>2337</v>
      </c>
      <c r="J1644" t="s">
        <v>1882</v>
      </c>
      <c r="K1644" t="s">
        <v>1869</v>
      </c>
      <c r="L1644" t="s">
        <v>1869</v>
      </c>
      <c r="M1644" s="11" t="s">
        <v>3917</v>
      </c>
      <c r="N1644" t="s">
        <v>1873</v>
      </c>
      <c r="P1644" s="15" t="str">
        <f t="shared" ca="1" si="50"/>
        <v>30-49.9K</v>
      </c>
      <c r="Q1644" s="15">
        <v>2.5</v>
      </c>
      <c r="S1644">
        <v>3</v>
      </c>
      <c r="U1644">
        <v>7</v>
      </c>
      <c r="V1644" s="15">
        <f t="shared" ca="1" si="51"/>
        <v>3</v>
      </c>
    </row>
    <row r="1645" spans="1:22">
      <c r="A1645" t="s">
        <v>1933</v>
      </c>
      <c r="B1645" s="1">
        <v>41054.197118055556</v>
      </c>
      <c r="C1645" s="2" t="s">
        <v>1934</v>
      </c>
      <c r="D1645">
        <v>40000</v>
      </c>
      <c r="E1645" t="s">
        <v>1856</v>
      </c>
      <c r="F1645" s="5">
        <v>40000</v>
      </c>
      <c r="G1645" s="5">
        <v>40000</v>
      </c>
      <c r="H1645" s="5">
        <f ca="1">OFFSET(F1645,0,Brains!$D$1,1,1)</f>
        <v>40000</v>
      </c>
      <c r="I1645" t="s">
        <v>1935</v>
      </c>
      <c r="J1645" t="s">
        <v>1882</v>
      </c>
      <c r="K1645" t="s">
        <v>1869</v>
      </c>
      <c r="L1645" t="s">
        <v>1869</v>
      </c>
      <c r="M1645" s="11" t="s">
        <v>3917</v>
      </c>
      <c r="N1645" t="s">
        <v>1873</v>
      </c>
      <c r="P1645" s="15" t="str">
        <f t="shared" ca="1" si="50"/>
        <v>30-49.9K</v>
      </c>
      <c r="Q1645" s="15">
        <v>2.5</v>
      </c>
      <c r="S1645">
        <v>3</v>
      </c>
      <c r="U1645">
        <v>7</v>
      </c>
      <c r="V1645" s="15">
        <f t="shared" ca="1" si="51"/>
        <v>3</v>
      </c>
    </row>
    <row r="1646" spans="1:22">
      <c r="A1646" t="s">
        <v>2731</v>
      </c>
      <c r="B1646" s="1">
        <v>41055.087476851855</v>
      </c>
      <c r="C1646" s="2">
        <v>40000</v>
      </c>
      <c r="D1646">
        <v>40000</v>
      </c>
      <c r="E1646" t="s">
        <v>1856</v>
      </c>
      <c r="F1646" s="5">
        <v>40000</v>
      </c>
      <c r="G1646" s="5">
        <v>40000</v>
      </c>
      <c r="H1646" s="5">
        <f ca="1">OFFSET(F1646,0,Brains!$D$1,1,1)</f>
        <v>40000</v>
      </c>
      <c r="I1646" t="s">
        <v>2732</v>
      </c>
      <c r="J1646" t="s">
        <v>1882</v>
      </c>
      <c r="K1646" t="s">
        <v>1869</v>
      </c>
      <c r="L1646" t="s">
        <v>1869</v>
      </c>
      <c r="M1646" s="11" t="s">
        <v>3917</v>
      </c>
      <c r="N1646" t="s">
        <v>1873</v>
      </c>
      <c r="P1646" s="15" t="str">
        <f t="shared" ca="1" si="50"/>
        <v>30-49.9K</v>
      </c>
      <c r="Q1646" s="15">
        <v>2.5</v>
      </c>
      <c r="S1646">
        <v>3</v>
      </c>
      <c r="U1646">
        <v>7</v>
      </c>
      <c r="V1646" s="15">
        <f t="shared" ca="1" si="51"/>
        <v>3</v>
      </c>
    </row>
    <row r="1647" spans="1:22">
      <c r="A1647" t="s">
        <v>2093</v>
      </c>
      <c r="B1647" s="1">
        <v>41055.02752314815</v>
      </c>
      <c r="C1647" s="2">
        <v>36000</v>
      </c>
      <c r="D1647">
        <v>36000</v>
      </c>
      <c r="E1647" t="s">
        <v>1856</v>
      </c>
      <c r="F1647" s="5">
        <v>36000</v>
      </c>
      <c r="G1647" s="5">
        <v>36000</v>
      </c>
      <c r="H1647" s="5">
        <f ca="1">OFFSET(F1647,0,Brains!$D$1,1,1)</f>
        <v>36000</v>
      </c>
      <c r="I1647" t="s">
        <v>2094</v>
      </c>
      <c r="J1647" t="s">
        <v>1882</v>
      </c>
      <c r="K1647" t="s">
        <v>1869</v>
      </c>
      <c r="L1647" t="s">
        <v>1869</v>
      </c>
      <c r="M1647" s="11" t="s">
        <v>3917</v>
      </c>
      <c r="N1647" t="s">
        <v>1873</v>
      </c>
      <c r="P1647" s="15" t="str">
        <f t="shared" ca="1" si="50"/>
        <v>30-49.9K</v>
      </c>
      <c r="Q1647" s="15">
        <v>2.5</v>
      </c>
      <c r="S1647">
        <v>3</v>
      </c>
      <c r="U1647">
        <v>7</v>
      </c>
      <c r="V1647" s="15">
        <f t="shared" ca="1" si="51"/>
        <v>3</v>
      </c>
    </row>
    <row r="1648" spans="1:22">
      <c r="A1648" t="s">
        <v>2219</v>
      </c>
      <c r="B1648" s="1">
        <v>41055.031018518515</v>
      </c>
      <c r="C1648" s="2">
        <v>35000</v>
      </c>
      <c r="D1648">
        <v>35000</v>
      </c>
      <c r="E1648" t="s">
        <v>1856</v>
      </c>
      <c r="F1648" s="5">
        <v>35000</v>
      </c>
      <c r="G1648" s="5">
        <v>35000</v>
      </c>
      <c r="H1648" s="5">
        <f ca="1">OFFSET(F1648,0,Brains!$D$1,1,1)</f>
        <v>35000</v>
      </c>
      <c r="I1648" t="s">
        <v>2220</v>
      </c>
      <c r="J1648" t="s">
        <v>1882</v>
      </c>
      <c r="K1648" t="s">
        <v>1869</v>
      </c>
      <c r="L1648" t="s">
        <v>1869</v>
      </c>
      <c r="M1648" s="11" t="s">
        <v>3917</v>
      </c>
      <c r="N1648" t="s">
        <v>1873</v>
      </c>
      <c r="P1648" s="15" t="str">
        <f t="shared" ca="1" si="50"/>
        <v>30-49.9K</v>
      </c>
      <c r="Q1648" s="15">
        <v>2.5</v>
      </c>
      <c r="S1648">
        <v>3</v>
      </c>
      <c r="U1648">
        <v>7</v>
      </c>
      <c r="V1648" s="15">
        <f t="shared" ca="1" si="51"/>
        <v>3</v>
      </c>
    </row>
    <row r="1649" spans="1:22">
      <c r="A1649" t="s">
        <v>2437</v>
      </c>
      <c r="B1649" s="1">
        <v>41055.047013888892</v>
      </c>
      <c r="C1649" s="2">
        <v>1920000</v>
      </c>
      <c r="D1649">
        <v>1920000</v>
      </c>
      <c r="E1649" t="s">
        <v>1908</v>
      </c>
      <c r="F1649" s="5">
        <v>34191.200039889729</v>
      </c>
      <c r="G1649" s="5">
        <v>95608.00717060054</v>
      </c>
      <c r="H1649" s="5">
        <f ca="1">OFFSET(F1649,0,Brains!$D$1,1,1)</f>
        <v>95608.00717060054</v>
      </c>
      <c r="I1649" t="s">
        <v>2184</v>
      </c>
      <c r="J1649" t="s">
        <v>1882</v>
      </c>
      <c r="K1649" t="s">
        <v>1859</v>
      </c>
      <c r="L1649" t="s">
        <v>1859</v>
      </c>
      <c r="M1649" s="11" t="s">
        <v>3917</v>
      </c>
      <c r="N1649" t="s">
        <v>1873</v>
      </c>
      <c r="P1649" s="15" t="str">
        <f t="shared" ca="1" si="50"/>
        <v>75-99.9K</v>
      </c>
      <c r="Q1649" s="15">
        <v>2.5</v>
      </c>
      <c r="S1649">
        <v>3</v>
      </c>
      <c r="U1649">
        <v>7</v>
      </c>
      <c r="V1649" s="15">
        <f t="shared" ca="1" si="51"/>
        <v>5</v>
      </c>
    </row>
    <row r="1650" spans="1:22">
      <c r="A1650" t="s">
        <v>2789</v>
      </c>
      <c r="B1650" s="1">
        <v>41055.102662037039</v>
      </c>
      <c r="C1650" s="2" t="s">
        <v>2790</v>
      </c>
      <c r="D1650">
        <v>30000</v>
      </c>
      <c r="E1650" t="s">
        <v>1856</v>
      </c>
      <c r="F1650" s="5">
        <v>30000</v>
      </c>
      <c r="G1650" s="5">
        <v>30000</v>
      </c>
      <c r="H1650" s="5">
        <f ca="1">OFFSET(F1650,0,Brains!$D$1,1,1)</f>
        <v>30000</v>
      </c>
      <c r="I1650" t="s">
        <v>2791</v>
      </c>
      <c r="J1650" t="s">
        <v>1882</v>
      </c>
      <c r="K1650" t="s">
        <v>1869</v>
      </c>
      <c r="L1650" t="s">
        <v>1869</v>
      </c>
      <c r="M1650" s="11" t="s">
        <v>3917</v>
      </c>
      <c r="N1650" t="s">
        <v>1873</v>
      </c>
      <c r="P1650" s="15" t="str">
        <f t="shared" ca="1" si="50"/>
        <v>30-49.9K</v>
      </c>
      <c r="Q1650" s="15">
        <v>2.5</v>
      </c>
      <c r="S1650">
        <v>3</v>
      </c>
      <c r="U1650">
        <v>7</v>
      </c>
      <c r="V1650" s="15">
        <f t="shared" ca="1" si="51"/>
        <v>3</v>
      </c>
    </row>
    <row r="1651" spans="1:22">
      <c r="A1651" t="s">
        <v>2101</v>
      </c>
      <c r="B1651" s="1">
        <v>41055.028090277781</v>
      </c>
      <c r="C1651" s="2">
        <v>24000</v>
      </c>
      <c r="D1651">
        <v>24000</v>
      </c>
      <c r="E1651" t="s">
        <v>1856</v>
      </c>
      <c r="F1651" s="5">
        <v>24000</v>
      </c>
      <c r="G1651" s="5">
        <v>24000</v>
      </c>
      <c r="H1651" s="5">
        <f ca="1">OFFSET(F1651,0,Brains!$D$1,1,1)</f>
        <v>24000</v>
      </c>
      <c r="I1651" t="s">
        <v>2102</v>
      </c>
      <c r="J1651" t="s">
        <v>1882</v>
      </c>
      <c r="K1651" t="s">
        <v>1869</v>
      </c>
      <c r="L1651" t="s">
        <v>1869</v>
      </c>
      <c r="M1651" s="11" t="s">
        <v>3917</v>
      </c>
      <c r="N1651" t="s">
        <v>1873</v>
      </c>
      <c r="P1651" s="15" t="str">
        <f t="shared" ca="1" si="50"/>
        <v>15-29.9K</v>
      </c>
      <c r="Q1651" s="15">
        <v>2.5</v>
      </c>
      <c r="S1651">
        <v>3</v>
      </c>
      <c r="U1651">
        <v>7</v>
      </c>
      <c r="V1651" s="15">
        <f t="shared" ca="1" si="51"/>
        <v>2</v>
      </c>
    </row>
    <row r="1652" spans="1:22">
      <c r="A1652" t="s">
        <v>2681</v>
      </c>
      <c r="B1652" s="1">
        <v>41055.081712962965</v>
      </c>
      <c r="C1652" s="2">
        <v>1500</v>
      </c>
      <c r="D1652">
        <v>18000</v>
      </c>
      <c r="E1652" t="s">
        <v>1880</v>
      </c>
      <c r="F1652" s="5">
        <v>22867.189901848938</v>
      </c>
      <c r="G1652" s="5">
        <v>22611.588187706333</v>
      </c>
      <c r="H1652" s="5">
        <f ca="1">OFFSET(F1652,0,Brains!$D$1,1,1)</f>
        <v>22611.588187706333</v>
      </c>
      <c r="I1652" t="s">
        <v>2682</v>
      </c>
      <c r="J1652" t="s">
        <v>1882</v>
      </c>
      <c r="K1652" t="s">
        <v>1892</v>
      </c>
      <c r="L1652" t="s">
        <v>1892</v>
      </c>
      <c r="M1652" s="11" t="s">
        <v>3917</v>
      </c>
      <c r="N1652" t="s">
        <v>1873</v>
      </c>
      <c r="P1652" s="15" t="str">
        <f t="shared" ca="1" si="50"/>
        <v>15-29.9K</v>
      </c>
      <c r="Q1652" s="15">
        <v>2.5</v>
      </c>
      <c r="S1652">
        <v>3</v>
      </c>
      <c r="U1652">
        <v>7</v>
      </c>
      <c r="V1652" s="15">
        <f t="shared" ca="1" si="51"/>
        <v>2</v>
      </c>
    </row>
    <row r="1653" spans="1:22">
      <c r="A1653" t="s">
        <v>2393</v>
      </c>
      <c r="B1653" s="1">
        <v>41055.043136574073</v>
      </c>
      <c r="C1653" s="2">
        <v>1200000</v>
      </c>
      <c r="D1653">
        <v>1200000</v>
      </c>
      <c r="E1653" t="s">
        <v>1908</v>
      </c>
      <c r="F1653" s="5">
        <v>21369.500024931083</v>
      </c>
      <c r="G1653" s="5">
        <v>59755.004481625336</v>
      </c>
      <c r="H1653" s="5">
        <f ca="1">OFFSET(F1653,0,Brains!$D$1,1,1)</f>
        <v>59755.004481625336</v>
      </c>
      <c r="I1653" t="s">
        <v>2394</v>
      </c>
      <c r="J1653" t="s">
        <v>1882</v>
      </c>
      <c r="K1653" t="s">
        <v>1859</v>
      </c>
      <c r="L1653" t="s">
        <v>1859</v>
      </c>
      <c r="M1653" s="11" t="s">
        <v>3917</v>
      </c>
      <c r="N1653" t="s">
        <v>1873</v>
      </c>
      <c r="P1653" s="15" t="str">
        <f t="shared" ca="1" si="50"/>
        <v>50-74.9K</v>
      </c>
      <c r="Q1653" s="15">
        <v>2.5</v>
      </c>
      <c r="S1653">
        <v>3</v>
      </c>
      <c r="U1653">
        <v>7</v>
      </c>
      <c r="V1653" s="15">
        <f t="shared" ca="1" si="51"/>
        <v>4</v>
      </c>
    </row>
    <row r="1654" spans="1:22">
      <c r="A1654" t="s">
        <v>2484</v>
      </c>
      <c r="B1654" s="1">
        <v>41055.052372685182</v>
      </c>
      <c r="C1654" s="2">
        <v>15000</v>
      </c>
      <c r="D1654">
        <v>15000</v>
      </c>
      <c r="E1654" t="s">
        <v>1856</v>
      </c>
      <c r="F1654" s="5">
        <v>15000</v>
      </c>
      <c r="G1654" s="5">
        <v>15000</v>
      </c>
      <c r="H1654" s="5">
        <f ca="1">OFFSET(F1654,0,Brains!$D$1,1,1)</f>
        <v>15000</v>
      </c>
      <c r="I1654" t="s">
        <v>2485</v>
      </c>
      <c r="J1654" t="s">
        <v>1882</v>
      </c>
      <c r="K1654" t="s">
        <v>1869</v>
      </c>
      <c r="L1654" t="s">
        <v>1869</v>
      </c>
      <c r="M1654" s="11" t="s">
        <v>3917</v>
      </c>
      <c r="N1654" t="s">
        <v>1873</v>
      </c>
      <c r="P1654" s="15" t="str">
        <f t="shared" ca="1" si="50"/>
        <v>15-29.9K</v>
      </c>
      <c r="Q1654" s="15">
        <v>2.5</v>
      </c>
      <c r="S1654">
        <v>3</v>
      </c>
      <c r="U1654">
        <v>7</v>
      </c>
      <c r="V1654" s="15">
        <f t="shared" ca="1" si="51"/>
        <v>2</v>
      </c>
    </row>
    <row r="1655" spans="1:22">
      <c r="A1655" t="s">
        <v>1987</v>
      </c>
      <c r="B1655" s="1">
        <v>41054.24082175926</v>
      </c>
      <c r="C1655" s="2">
        <v>800000</v>
      </c>
      <c r="D1655">
        <v>800000</v>
      </c>
      <c r="E1655" t="s">
        <v>1908</v>
      </c>
      <c r="F1655" s="5">
        <v>14246.333349954055</v>
      </c>
      <c r="G1655" s="5">
        <v>39836.669654416888</v>
      </c>
      <c r="H1655" s="5">
        <f ca="1">OFFSET(F1655,0,Brains!$D$1,1,1)</f>
        <v>39836.669654416888</v>
      </c>
      <c r="I1655" t="s">
        <v>1988</v>
      </c>
      <c r="J1655" t="s">
        <v>1882</v>
      </c>
      <c r="K1655" t="s">
        <v>1859</v>
      </c>
      <c r="L1655" t="s">
        <v>1859</v>
      </c>
      <c r="M1655" s="11" t="s">
        <v>3917</v>
      </c>
      <c r="N1655" t="s">
        <v>1873</v>
      </c>
      <c r="P1655" s="15" t="str">
        <f t="shared" ca="1" si="50"/>
        <v>30-49.9K</v>
      </c>
      <c r="Q1655" s="15">
        <v>2.5</v>
      </c>
      <c r="S1655">
        <v>3</v>
      </c>
      <c r="U1655">
        <v>7</v>
      </c>
      <c r="V1655" s="15">
        <f t="shared" ca="1" si="51"/>
        <v>3</v>
      </c>
    </row>
    <row r="1656" spans="1:22">
      <c r="A1656" t="s">
        <v>2187</v>
      </c>
      <c r="B1656" s="1">
        <v>41055.029953703706</v>
      </c>
      <c r="C1656" s="2">
        <v>800000</v>
      </c>
      <c r="D1656">
        <v>800000</v>
      </c>
      <c r="E1656" t="s">
        <v>1908</v>
      </c>
      <c r="F1656" s="5">
        <v>14246.333349954055</v>
      </c>
      <c r="G1656" s="5">
        <v>39836.669654416888</v>
      </c>
      <c r="H1656" s="5">
        <f ca="1">OFFSET(F1656,0,Brains!$D$1,1,1)</f>
        <v>39836.669654416888</v>
      </c>
      <c r="I1656" t="s">
        <v>2188</v>
      </c>
      <c r="J1656" t="s">
        <v>1882</v>
      </c>
      <c r="K1656" t="s">
        <v>1859</v>
      </c>
      <c r="L1656" t="s">
        <v>1859</v>
      </c>
      <c r="M1656" s="11" t="s">
        <v>3917</v>
      </c>
      <c r="N1656" t="s">
        <v>1873</v>
      </c>
      <c r="P1656" s="15" t="str">
        <f t="shared" ca="1" si="50"/>
        <v>30-49.9K</v>
      </c>
      <c r="Q1656" s="15">
        <v>2.5</v>
      </c>
      <c r="S1656">
        <v>3</v>
      </c>
      <c r="U1656">
        <v>7</v>
      </c>
      <c r="V1656" s="15">
        <f t="shared" ca="1" si="51"/>
        <v>3</v>
      </c>
    </row>
    <row r="1657" spans="1:22">
      <c r="A1657" t="s">
        <v>2941</v>
      </c>
      <c r="B1657" s="1">
        <v>41055.162141203706</v>
      </c>
      <c r="C1657" s="2" t="s">
        <v>2942</v>
      </c>
      <c r="D1657">
        <v>720000</v>
      </c>
      <c r="E1657" t="s">
        <v>1908</v>
      </c>
      <c r="F1657" s="5">
        <v>12821.700014958649</v>
      </c>
      <c r="G1657" s="5">
        <v>35853.002688975197</v>
      </c>
      <c r="H1657" s="5">
        <f ca="1">OFFSET(F1657,0,Brains!$D$1,1,1)</f>
        <v>35853.002688975197</v>
      </c>
      <c r="I1657" t="s">
        <v>2943</v>
      </c>
      <c r="J1657" t="s">
        <v>1882</v>
      </c>
      <c r="K1657" t="s">
        <v>1859</v>
      </c>
      <c r="L1657" t="s">
        <v>1859</v>
      </c>
      <c r="M1657" s="11" t="s">
        <v>3917</v>
      </c>
      <c r="N1657" t="s">
        <v>1873</v>
      </c>
      <c r="P1657" s="15" t="str">
        <f t="shared" ca="1" si="50"/>
        <v>30-49.9K</v>
      </c>
      <c r="Q1657" s="15">
        <v>2.5</v>
      </c>
      <c r="S1657">
        <v>3</v>
      </c>
      <c r="U1657">
        <v>7</v>
      </c>
      <c r="V1657" s="15">
        <f t="shared" ca="1" si="51"/>
        <v>3</v>
      </c>
    </row>
    <row r="1658" spans="1:22">
      <c r="A1658" t="s">
        <v>1923</v>
      </c>
      <c r="B1658" s="1">
        <v>41054.178148148145</v>
      </c>
      <c r="C1658" s="2">
        <v>550000</v>
      </c>
      <c r="D1658">
        <v>550000</v>
      </c>
      <c r="E1658" t="s">
        <v>1908</v>
      </c>
      <c r="F1658" s="5">
        <v>9794.354178093412</v>
      </c>
      <c r="G1658" s="5">
        <v>27387.710387411611</v>
      </c>
      <c r="H1658" s="5">
        <f ca="1">OFFSET(F1658,0,Brains!$D$1,1,1)</f>
        <v>27387.710387411611</v>
      </c>
      <c r="I1658" t="s">
        <v>1924</v>
      </c>
      <c r="J1658" t="s">
        <v>1882</v>
      </c>
      <c r="K1658" t="s">
        <v>1859</v>
      </c>
      <c r="L1658" t="s">
        <v>1859</v>
      </c>
      <c r="M1658" s="11" t="s">
        <v>3917</v>
      </c>
      <c r="N1658" t="s">
        <v>1873</v>
      </c>
      <c r="P1658" s="15" t="str">
        <f t="shared" ca="1" si="50"/>
        <v>15-29.9K</v>
      </c>
      <c r="Q1658" s="15">
        <v>2.5</v>
      </c>
      <c r="S1658">
        <v>3</v>
      </c>
      <c r="U1658">
        <v>7</v>
      </c>
      <c r="V1658" s="15">
        <f t="shared" ca="1" si="51"/>
        <v>2</v>
      </c>
    </row>
    <row r="1659" spans="1:22">
      <c r="A1659" t="s">
        <v>2676</v>
      </c>
      <c r="B1659" s="1">
        <v>41055.079710648148</v>
      </c>
      <c r="C1659" s="2" t="s">
        <v>2677</v>
      </c>
      <c r="D1659">
        <v>500000</v>
      </c>
      <c r="E1659" t="s">
        <v>1908</v>
      </c>
      <c r="F1659" s="5">
        <v>8903.9583437212841</v>
      </c>
      <c r="G1659" s="5">
        <v>24897.918534010558</v>
      </c>
      <c r="H1659" s="5">
        <f ca="1">OFFSET(F1659,0,Brains!$D$1,1,1)</f>
        <v>24897.918534010558</v>
      </c>
      <c r="I1659" t="s">
        <v>2678</v>
      </c>
      <c r="J1659" t="s">
        <v>1882</v>
      </c>
      <c r="K1659" t="s">
        <v>1859</v>
      </c>
      <c r="L1659" t="s">
        <v>1859</v>
      </c>
      <c r="M1659" s="11" t="s">
        <v>3917</v>
      </c>
      <c r="N1659" t="s">
        <v>1873</v>
      </c>
      <c r="P1659" s="15" t="str">
        <f t="shared" ca="1" si="50"/>
        <v>15-29.9K</v>
      </c>
      <c r="Q1659" s="15">
        <v>2.5</v>
      </c>
      <c r="S1659">
        <v>3</v>
      </c>
      <c r="U1659">
        <v>7</v>
      </c>
      <c r="V1659" s="15">
        <f t="shared" ca="1" si="51"/>
        <v>2</v>
      </c>
    </row>
    <row r="1660" spans="1:22">
      <c r="A1660" t="s">
        <v>2962</v>
      </c>
      <c r="B1660" s="1">
        <v>41055.17796296296</v>
      </c>
      <c r="C1660" s="2" t="s">
        <v>2963</v>
      </c>
      <c r="D1660">
        <v>500000</v>
      </c>
      <c r="E1660" t="s">
        <v>1908</v>
      </c>
      <c r="F1660" s="5">
        <v>8903.9583437212841</v>
      </c>
      <c r="G1660" s="5">
        <v>24897.918534010558</v>
      </c>
      <c r="H1660" s="5">
        <f ca="1">OFFSET(F1660,0,Brains!$D$1,1,1)</f>
        <v>24897.918534010558</v>
      </c>
      <c r="I1660" t="s">
        <v>2964</v>
      </c>
      <c r="J1660" t="s">
        <v>1882</v>
      </c>
      <c r="K1660" t="s">
        <v>1859</v>
      </c>
      <c r="L1660" t="s">
        <v>1859</v>
      </c>
      <c r="M1660" s="11" t="s">
        <v>3917</v>
      </c>
      <c r="N1660" t="s">
        <v>1873</v>
      </c>
      <c r="P1660" s="15" t="str">
        <f t="shared" ca="1" si="50"/>
        <v>15-29.9K</v>
      </c>
      <c r="Q1660" s="15">
        <v>2.5</v>
      </c>
      <c r="S1660">
        <v>3</v>
      </c>
      <c r="U1660">
        <v>7</v>
      </c>
      <c r="V1660" s="15">
        <f t="shared" ca="1" si="51"/>
        <v>2</v>
      </c>
    </row>
    <row r="1661" spans="1:22">
      <c r="A1661" t="s">
        <v>2597</v>
      </c>
      <c r="B1661" s="1">
        <v>41055.065104166664</v>
      </c>
      <c r="C1661" s="2">
        <v>150000</v>
      </c>
      <c r="D1661">
        <v>150000</v>
      </c>
      <c r="E1661" t="s">
        <v>1856</v>
      </c>
      <c r="F1661" s="5">
        <v>150000</v>
      </c>
      <c r="G1661" s="5">
        <v>150000</v>
      </c>
      <c r="H1661" s="5">
        <f ca="1">OFFSET(F1661,0,Brains!$D$1,1,1)</f>
        <v>150000</v>
      </c>
      <c r="I1661" t="s">
        <v>2598</v>
      </c>
      <c r="J1661" t="s">
        <v>1882</v>
      </c>
      <c r="K1661" t="s">
        <v>2599</v>
      </c>
      <c r="L1661" t="s">
        <v>2599</v>
      </c>
      <c r="M1661" s="11" t="s">
        <v>3918</v>
      </c>
      <c r="N1661" t="s">
        <v>1860</v>
      </c>
      <c r="P1661" s="15" t="str">
        <f t="shared" ca="1" si="50"/>
        <v>150-249.9K</v>
      </c>
      <c r="Q1661" s="15">
        <v>5</v>
      </c>
      <c r="S1661">
        <v>4</v>
      </c>
      <c r="U1661">
        <v>7</v>
      </c>
      <c r="V1661" s="15">
        <f t="shared" ca="1" si="51"/>
        <v>7</v>
      </c>
    </row>
    <row r="1662" spans="1:22">
      <c r="A1662" t="s">
        <v>2411</v>
      </c>
      <c r="B1662" s="1">
        <v>41055.044374999998</v>
      </c>
      <c r="C1662" s="2">
        <v>140000</v>
      </c>
      <c r="D1662">
        <v>140000</v>
      </c>
      <c r="E1662" t="s">
        <v>1856</v>
      </c>
      <c r="F1662" s="5">
        <v>140000</v>
      </c>
      <c r="G1662" s="5">
        <v>140000</v>
      </c>
      <c r="H1662" s="5">
        <f ca="1">OFFSET(F1662,0,Brains!$D$1,1,1)</f>
        <v>140000</v>
      </c>
      <c r="I1662" t="s">
        <v>1882</v>
      </c>
      <c r="J1662" t="s">
        <v>1882</v>
      </c>
      <c r="K1662" t="s">
        <v>1869</v>
      </c>
      <c r="L1662" t="s">
        <v>1869</v>
      </c>
      <c r="M1662" s="11" t="s">
        <v>3918</v>
      </c>
      <c r="N1662" t="s">
        <v>1860</v>
      </c>
      <c r="P1662" s="15" t="str">
        <f t="shared" ca="1" si="50"/>
        <v>100-149.9K</v>
      </c>
      <c r="Q1662" s="15">
        <v>5</v>
      </c>
      <c r="S1662">
        <v>4</v>
      </c>
      <c r="U1662">
        <v>7</v>
      </c>
      <c r="V1662" s="15">
        <f t="shared" ca="1" si="51"/>
        <v>6</v>
      </c>
    </row>
    <row r="1663" spans="1:22">
      <c r="A1663" t="s">
        <v>2427</v>
      </c>
      <c r="B1663" s="1">
        <v>41055.04619212963</v>
      </c>
      <c r="C1663" s="2">
        <v>130000</v>
      </c>
      <c r="D1663">
        <v>130000</v>
      </c>
      <c r="E1663" t="s">
        <v>1856</v>
      </c>
      <c r="F1663" s="5">
        <v>130000</v>
      </c>
      <c r="G1663" s="5">
        <v>130000</v>
      </c>
      <c r="H1663" s="5">
        <f ca="1">OFFSET(F1663,0,Brains!$D$1,1,1)</f>
        <v>130000</v>
      </c>
      <c r="I1663" t="s">
        <v>2428</v>
      </c>
      <c r="J1663" t="s">
        <v>1882</v>
      </c>
      <c r="K1663" t="s">
        <v>1869</v>
      </c>
      <c r="L1663" t="s">
        <v>1869</v>
      </c>
      <c r="M1663" s="11" t="s">
        <v>3918</v>
      </c>
      <c r="N1663" t="s">
        <v>1860</v>
      </c>
      <c r="P1663" s="15" t="str">
        <f t="shared" ca="1" si="50"/>
        <v>100-149.9K</v>
      </c>
      <c r="Q1663" s="15">
        <v>5</v>
      </c>
      <c r="S1663">
        <v>4</v>
      </c>
      <c r="U1663">
        <v>7</v>
      </c>
      <c r="V1663" s="15">
        <f t="shared" ca="1" si="51"/>
        <v>6</v>
      </c>
    </row>
    <row r="1664" spans="1:22">
      <c r="A1664" t="s">
        <v>2547</v>
      </c>
      <c r="B1664" s="1">
        <v>41055.059374999997</v>
      </c>
      <c r="C1664" s="2">
        <v>125000</v>
      </c>
      <c r="D1664">
        <v>125000</v>
      </c>
      <c r="E1664" t="s">
        <v>1856</v>
      </c>
      <c r="F1664" s="5">
        <v>125000</v>
      </c>
      <c r="G1664" s="5">
        <v>125000</v>
      </c>
      <c r="H1664" s="5">
        <f ca="1">OFFSET(F1664,0,Brains!$D$1,1,1)</f>
        <v>125000</v>
      </c>
      <c r="I1664" t="s">
        <v>2548</v>
      </c>
      <c r="J1664" t="s">
        <v>1882</v>
      </c>
      <c r="K1664" t="s">
        <v>1869</v>
      </c>
      <c r="L1664" t="s">
        <v>1869</v>
      </c>
      <c r="M1664" s="11" t="s">
        <v>3918</v>
      </c>
      <c r="N1664" t="s">
        <v>1860</v>
      </c>
      <c r="P1664" s="15" t="str">
        <f t="shared" ca="1" si="50"/>
        <v>100-149.9K</v>
      </c>
      <c r="Q1664" s="15">
        <v>5</v>
      </c>
      <c r="S1664">
        <v>4</v>
      </c>
      <c r="U1664">
        <v>7</v>
      </c>
      <c r="V1664" s="15">
        <f t="shared" ca="1" si="51"/>
        <v>6</v>
      </c>
    </row>
    <row r="1665" spans="1:22">
      <c r="A1665" t="s">
        <v>2075</v>
      </c>
      <c r="B1665" s="1">
        <v>41055.003993055558</v>
      </c>
      <c r="C1665" s="2">
        <v>120000</v>
      </c>
      <c r="D1665">
        <v>120000</v>
      </c>
      <c r="E1665" t="s">
        <v>1856</v>
      </c>
      <c r="F1665" s="5">
        <v>120000</v>
      </c>
      <c r="G1665" s="5">
        <v>120000</v>
      </c>
      <c r="H1665" s="5">
        <f ca="1">OFFSET(F1665,0,Brains!$D$1,1,1)</f>
        <v>120000</v>
      </c>
      <c r="I1665" t="s">
        <v>2076</v>
      </c>
      <c r="J1665" t="s">
        <v>1882</v>
      </c>
      <c r="K1665" t="s">
        <v>1869</v>
      </c>
      <c r="L1665" t="s">
        <v>1869</v>
      </c>
      <c r="M1665" s="11" t="s">
        <v>3918</v>
      </c>
      <c r="N1665" t="s">
        <v>1860</v>
      </c>
      <c r="P1665" s="15" t="str">
        <f t="shared" ca="1" si="50"/>
        <v>100-149.9K</v>
      </c>
      <c r="Q1665" s="15">
        <v>5</v>
      </c>
      <c r="S1665">
        <v>4</v>
      </c>
      <c r="U1665">
        <v>7</v>
      </c>
      <c r="V1665" s="15">
        <f t="shared" ca="1" si="51"/>
        <v>6</v>
      </c>
    </row>
    <row r="1666" spans="1:22">
      <c r="A1666" t="s">
        <v>3020</v>
      </c>
      <c r="B1666" s="1">
        <v>41055.224537037036</v>
      </c>
      <c r="C1666" s="2" t="s">
        <v>3021</v>
      </c>
      <c r="D1666">
        <v>73000</v>
      </c>
      <c r="E1666" t="s">
        <v>1954</v>
      </c>
      <c r="F1666" s="5">
        <v>115061.01386091174</v>
      </c>
      <c r="G1666" s="5">
        <v>108308.60534124629</v>
      </c>
      <c r="H1666" s="5">
        <f ca="1">OFFSET(F1666,0,Brains!$D$1,1,1)</f>
        <v>108308.60534124629</v>
      </c>
      <c r="I1666" t="s">
        <v>3022</v>
      </c>
      <c r="J1666" t="s">
        <v>1882</v>
      </c>
      <c r="K1666" t="s">
        <v>1956</v>
      </c>
      <c r="L1666" t="s">
        <v>1956</v>
      </c>
      <c r="M1666" s="11" t="s">
        <v>3918</v>
      </c>
      <c r="N1666" t="s">
        <v>1860</v>
      </c>
      <c r="P1666" s="15" t="str">
        <f t="shared" ref="P1666:P1729" ca="1" si="52">IF(H1666&lt;15000,"0-14.9K",IF(H1666&lt;30000,"15-29.9K",IF(H1666&lt;50000,"30-49.9K",IF(H1666&lt;75000,"50-74.9K",IF(H1666&lt;100000,"75-99.9K",IF(H1666&lt;150000,"100-149.9K",IF(H1666&lt;250000,"150-249.9K","250K+")))))))</f>
        <v>100-149.9K</v>
      </c>
      <c r="Q1666" s="15">
        <v>5</v>
      </c>
      <c r="S1666">
        <v>4</v>
      </c>
      <c r="U1666">
        <v>7</v>
      </c>
      <c r="V1666" s="15">
        <f t="shared" ref="V1666:V1729" ca="1" si="53">IF(H1666&lt;15000,1,IF(H1666&lt;30000,2,IF(H1666&lt;50000,3,IF(H1666&lt;75000,4,IF(H1666&lt;100000,5,IF(H1666&lt;150000,6,IF(H1666&lt;250000,7,8)))))))</f>
        <v>6</v>
      </c>
    </row>
    <row r="1667" spans="1:22">
      <c r="A1667" t="s">
        <v>2933</v>
      </c>
      <c r="B1667" s="1">
        <v>41055.158819444441</v>
      </c>
      <c r="C1667" s="2" t="s">
        <v>2934</v>
      </c>
      <c r="D1667">
        <v>108000</v>
      </c>
      <c r="E1667" t="s">
        <v>1856</v>
      </c>
      <c r="F1667" s="5">
        <v>108000</v>
      </c>
      <c r="G1667" s="5">
        <v>108000</v>
      </c>
      <c r="H1667" s="5">
        <f ca="1">OFFSET(F1667,0,Brains!$D$1,1,1)</f>
        <v>108000</v>
      </c>
      <c r="I1667" t="s">
        <v>1882</v>
      </c>
      <c r="J1667" t="s">
        <v>1882</v>
      </c>
      <c r="K1667" t="s">
        <v>2909</v>
      </c>
      <c r="L1667" t="s">
        <v>2909</v>
      </c>
      <c r="M1667" s="11" t="s">
        <v>3918</v>
      </c>
      <c r="N1667" t="s">
        <v>1860</v>
      </c>
      <c r="P1667" s="15" t="str">
        <f t="shared" ca="1" si="52"/>
        <v>100-149.9K</v>
      </c>
      <c r="Q1667" s="15">
        <v>5</v>
      </c>
      <c r="S1667">
        <v>4</v>
      </c>
      <c r="U1667">
        <v>7</v>
      </c>
      <c r="V1667" s="15">
        <f t="shared" ca="1" si="53"/>
        <v>6</v>
      </c>
    </row>
    <row r="1668" spans="1:22">
      <c r="A1668" t="s">
        <v>1916</v>
      </c>
      <c r="B1668" s="1">
        <v>41054.173738425925</v>
      </c>
      <c r="C1668" s="2">
        <v>107000</v>
      </c>
      <c r="D1668">
        <v>107000</v>
      </c>
      <c r="E1668" t="s">
        <v>1856</v>
      </c>
      <c r="F1668" s="5">
        <v>107000</v>
      </c>
      <c r="G1668" s="5">
        <v>107000</v>
      </c>
      <c r="H1668" s="5">
        <f ca="1">OFFSET(F1668,0,Brains!$D$1,1,1)</f>
        <v>107000</v>
      </c>
      <c r="I1668" t="s">
        <v>1917</v>
      </c>
      <c r="J1668" t="s">
        <v>1882</v>
      </c>
      <c r="K1668" t="s">
        <v>1918</v>
      </c>
      <c r="L1668" t="s">
        <v>1918</v>
      </c>
      <c r="M1668" s="11" t="s">
        <v>3918</v>
      </c>
      <c r="N1668" t="s">
        <v>1860</v>
      </c>
      <c r="P1668" s="15" t="str">
        <f t="shared" ca="1" si="52"/>
        <v>100-149.9K</v>
      </c>
      <c r="Q1668" s="15">
        <v>5</v>
      </c>
      <c r="S1668">
        <v>4</v>
      </c>
      <c r="U1668">
        <v>7</v>
      </c>
      <c r="V1668" s="15">
        <f t="shared" ca="1" si="53"/>
        <v>6</v>
      </c>
    </row>
    <row r="1669" spans="1:22">
      <c r="A1669" t="s">
        <v>2047</v>
      </c>
      <c r="B1669" s="1">
        <v>41054.957696759258</v>
      </c>
      <c r="C1669" s="2" t="s">
        <v>2048</v>
      </c>
      <c r="D1669">
        <v>100000</v>
      </c>
      <c r="E1669" t="s">
        <v>1973</v>
      </c>
      <c r="F1669" s="5">
        <v>101990.96564026357</v>
      </c>
      <c r="G1669" s="5">
        <v>63613.231552162855</v>
      </c>
      <c r="H1669" s="5">
        <f ca="1">OFFSET(F1669,0,Brains!$D$1,1,1)</f>
        <v>63613.231552162855</v>
      </c>
      <c r="I1669" t="s">
        <v>2049</v>
      </c>
      <c r="J1669" t="s">
        <v>1882</v>
      </c>
      <c r="K1669" t="s">
        <v>1975</v>
      </c>
      <c r="L1669" t="s">
        <v>1975</v>
      </c>
      <c r="M1669" s="11" t="s">
        <v>3918</v>
      </c>
      <c r="N1669" t="s">
        <v>1860</v>
      </c>
      <c r="P1669" s="15" t="str">
        <f t="shared" ca="1" si="52"/>
        <v>50-74.9K</v>
      </c>
      <c r="Q1669" s="15">
        <v>5</v>
      </c>
      <c r="S1669">
        <v>4</v>
      </c>
      <c r="U1669">
        <v>7</v>
      </c>
      <c r="V1669" s="15">
        <f t="shared" ca="1" si="53"/>
        <v>4</v>
      </c>
    </row>
    <row r="1670" spans="1:22">
      <c r="A1670" t="s">
        <v>2040</v>
      </c>
      <c r="B1670" s="1">
        <v>41054.324305555558</v>
      </c>
      <c r="C1670" s="2">
        <v>100000</v>
      </c>
      <c r="D1670">
        <v>100000</v>
      </c>
      <c r="E1670" t="s">
        <v>1856</v>
      </c>
      <c r="F1670" s="5">
        <v>100000</v>
      </c>
      <c r="G1670" s="5">
        <v>100000</v>
      </c>
      <c r="H1670" s="5">
        <f ca="1">OFFSET(F1670,0,Brains!$D$1,1,1)</f>
        <v>100000</v>
      </c>
      <c r="I1670" t="s">
        <v>2041</v>
      </c>
      <c r="J1670" t="s">
        <v>1882</v>
      </c>
      <c r="K1670" t="s">
        <v>2042</v>
      </c>
      <c r="L1670" t="s">
        <v>1922</v>
      </c>
      <c r="M1670" s="11" t="s">
        <v>3918</v>
      </c>
      <c r="N1670" t="s">
        <v>1860</v>
      </c>
      <c r="P1670" s="15" t="str">
        <f t="shared" ca="1" si="52"/>
        <v>100-149.9K</v>
      </c>
      <c r="Q1670" s="15">
        <v>5</v>
      </c>
      <c r="S1670">
        <v>4</v>
      </c>
      <c r="U1670">
        <v>7</v>
      </c>
      <c r="V1670" s="15">
        <f t="shared" ca="1" si="53"/>
        <v>6</v>
      </c>
    </row>
    <row r="1671" spans="1:22">
      <c r="A1671" t="s">
        <v>2579</v>
      </c>
      <c r="B1671" s="1">
        <v>41055.06349537037</v>
      </c>
      <c r="C1671" s="2">
        <v>92000</v>
      </c>
      <c r="D1671">
        <v>92000</v>
      </c>
      <c r="E1671" t="s">
        <v>1856</v>
      </c>
      <c r="F1671" s="5">
        <v>92000</v>
      </c>
      <c r="G1671" s="5">
        <v>92000</v>
      </c>
      <c r="H1671" s="5">
        <f ca="1">OFFSET(F1671,0,Brains!$D$1,1,1)</f>
        <v>92000</v>
      </c>
      <c r="I1671" t="s">
        <v>2580</v>
      </c>
      <c r="J1671" t="s">
        <v>1882</v>
      </c>
      <c r="K1671" t="s">
        <v>1869</v>
      </c>
      <c r="L1671" t="s">
        <v>1869</v>
      </c>
      <c r="M1671" s="11" t="s">
        <v>3918</v>
      </c>
      <c r="N1671" t="s">
        <v>1860</v>
      </c>
      <c r="P1671" s="15" t="str">
        <f t="shared" ca="1" si="52"/>
        <v>75-99.9K</v>
      </c>
      <c r="Q1671" s="15">
        <v>5</v>
      </c>
      <c r="S1671">
        <v>4</v>
      </c>
      <c r="U1671">
        <v>7</v>
      </c>
      <c r="V1671" s="15">
        <f t="shared" ca="1" si="53"/>
        <v>5</v>
      </c>
    </row>
    <row r="1672" spans="1:22">
      <c r="A1672" t="s">
        <v>2404</v>
      </c>
      <c r="B1672" s="1">
        <v>41055.04383101852</v>
      </c>
      <c r="C1672" s="2">
        <v>90000</v>
      </c>
      <c r="D1672">
        <v>90000</v>
      </c>
      <c r="E1672" t="s">
        <v>1856</v>
      </c>
      <c r="F1672" s="5">
        <v>90000</v>
      </c>
      <c r="G1672" s="5">
        <v>90000</v>
      </c>
      <c r="H1672" s="5">
        <f ca="1">OFFSET(F1672,0,Brains!$D$1,1,1)</f>
        <v>90000</v>
      </c>
      <c r="I1672" t="s">
        <v>2405</v>
      </c>
      <c r="J1672" t="s">
        <v>1882</v>
      </c>
      <c r="K1672" t="s">
        <v>1869</v>
      </c>
      <c r="L1672" t="s">
        <v>1869</v>
      </c>
      <c r="M1672" s="11" t="s">
        <v>3918</v>
      </c>
      <c r="N1672" t="s">
        <v>1860</v>
      </c>
      <c r="P1672" s="15" t="str">
        <f t="shared" ca="1" si="52"/>
        <v>75-99.9K</v>
      </c>
      <c r="Q1672" s="15">
        <v>5</v>
      </c>
      <c r="S1672">
        <v>4</v>
      </c>
      <c r="U1672">
        <v>7</v>
      </c>
      <c r="V1672" s="15">
        <f t="shared" ca="1" si="53"/>
        <v>5</v>
      </c>
    </row>
    <row r="1673" spans="1:22">
      <c r="A1673" t="s">
        <v>2658</v>
      </c>
      <c r="B1673" s="1">
        <v>41055.076342592591</v>
      </c>
      <c r="C1673" s="2">
        <v>89000</v>
      </c>
      <c r="D1673">
        <v>89000</v>
      </c>
      <c r="E1673" t="s">
        <v>1856</v>
      </c>
      <c r="F1673" s="5">
        <v>89000</v>
      </c>
      <c r="G1673" s="5">
        <v>89000</v>
      </c>
      <c r="H1673" s="5">
        <f ca="1">OFFSET(F1673,0,Brains!$D$1,1,1)</f>
        <v>89000</v>
      </c>
      <c r="I1673" t="s">
        <v>2659</v>
      </c>
      <c r="J1673" t="s">
        <v>1882</v>
      </c>
      <c r="K1673" t="s">
        <v>1869</v>
      </c>
      <c r="L1673" t="s">
        <v>1869</v>
      </c>
      <c r="M1673" s="11" t="s">
        <v>3918</v>
      </c>
      <c r="N1673" t="s">
        <v>1860</v>
      </c>
      <c r="P1673" s="15" t="str">
        <f t="shared" ca="1" si="52"/>
        <v>75-99.9K</v>
      </c>
      <c r="Q1673" s="15">
        <v>5</v>
      </c>
      <c r="S1673">
        <v>4</v>
      </c>
      <c r="U1673">
        <v>7</v>
      </c>
      <c r="V1673" s="15">
        <f t="shared" ca="1" si="53"/>
        <v>5</v>
      </c>
    </row>
    <row r="1674" spans="1:22">
      <c r="A1674" t="s">
        <v>2211</v>
      </c>
      <c r="B1674" s="1">
        <v>41055.030763888892</v>
      </c>
      <c r="C1674" s="2">
        <v>88000</v>
      </c>
      <c r="D1674">
        <v>88000</v>
      </c>
      <c r="E1674" t="s">
        <v>1856</v>
      </c>
      <c r="F1674" s="5">
        <v>88000</v>
      </c>
      <c r="G1674" s="5">
        <v>88000</v>
      </c>
      <c r="H1674" s="5">
        <f ca="1">OFFSET(F1674,0,Brains!$D$1,1,1)</f>
        <v>88000</v>
      </c>
      <c r="I1674" t="s">
        <v>2212</v>
      </c>
      <c r="J1674" t="s">
        <v>1882</v>
      </c>
      <c r="K1674" t="s">
        <v>1869</v>
      </c>
      <c r="L1674" t="s">
        <v>1869</v>
      </c>
      <c r="M1674" s="11" t="s">
        <v>3918</v>
      </c>
      <c r="N1674" t="s">
        <v>1860</v>
      </c>
      <c r="P1674" s="15" t="str">
        <f t="shared" ca="1" si="52"/>
        <v>75-99.9K</v>
      </c>
      <c r="Q1674" s="15">
        <v>5</v>
      </c>
      <c r="S1674">
        <v>4</v>
      </c>
      <c r="U1674">
        <v>7</v>
      </c>
      <c r="V1674" s="15">
        <f t="shared" ca="1" si="53"/>
        <v>5</v>
      </c>
    </row>
    <row r="1675" spans="1:22">
      <c r="A1675" t="s">
        <v>2986</v>
      </c>
      <c r="B1675" s="1">
        <v>41055.193877314814</v>
      </c>
      <c r="C1675" s="2">
        <v>87550</v>
      </c>
      <c r="D1675">
        <v>87550</v>
      </c>
      <c r="E1675" t="s">
        <v>1979</v>
      </c>
      <c r="F1675" s="5">
        <v>86093.301341305123</v>
      </c>
      <c r="G1675" s="5">
        <v>70096.076861489186</v>
      </c>
      <c r="H1675" s="5">
        <f ca="1">OFFSET(F1675,0,Brains!$D$1,1,1)</f>
        <v>70096.076861489186</v>
      </c>
      <c r="I1675" t="s">
        <v>1882</v>
      </c>
      <c r="J1675" t="s">
        <v>1882</v>
      </c>
      <c r="K1675" t="s">
        <v>1981</v>
      </c>
      <c r="L1675" t="s">
        <v>1981</v>
      </c>
      <c r="M1675" s="11" t="s">
        <v>3918</v>
      </c>
      <c r="N1675" t="s">
        <v>1860</v>
      </c>
      <c r="P1675" s="15" t="str">
        <f t="shared" ca="1" si="52"/>
        <v>50-74.9K</v>
      </c>
      <c r="Q1675" s="15">
        <v>5</v>
      </c>
      <c r="S1675">
        <v>4</v>
      </c>
      <c r="U1675">
        <v>7</v>
      </c>
      <c r="V1675" s="15">
        <f t="shared" ca="1" si="53"/>
        <v>4</v>
      </c>
    </row>
    <row r="1676" spans="1:22">
      <c r="A1676" t="s">
        <v>2879</v>
      </c>
      <c r="B1676" s="1">
        <v>41055.133148148147</v>
      </c>
      <c r="C1676" s="2">
        <v>87000</v>
      </c>
      <c r="D1676">
        <v>87000</v>
      </c>
      <c r="E1676" t="s">
        <v>1979</v>
      </c>
      <c r="F1676" s="5">
        <v>85552.452503638444</v>
      </c>
      <c r="G1676" s="5">
        <v>69655.724579663729</v>
      </c>
      <c r="H1676" s="5">
        <f ca="1">OFFSET(F1676,0,Brains!$D$1,1,1)</f>
        <v>69655.724579663729</v>
      </c>
      <c r="I1676" t="s">
        <v>2880</v>
      </c>
      <c r="J1676" t="s">
        <v>1882</v>
      </c>
      <c r="K1676" t="s">
        <v>1981</v>
      </c>
      <c r="L1676" t="s">
        <v>1981</v>
      </c>
      <c r="M1676" s="11" t="s">
        <v>3918</v>
      </c>
      <c r="N1676" t="s">
        <v>1860</v>
      </c>
      <c r="P1676" s="15" t="str">
        <f t="shared" ca="1" si="52"/>
        <v>50-74.9K</v>
      </c>
      <c r="Q1676" s="15">
        <v>5</v>
      </c>
      <c r="S1676">
        <v>4</v>
      </c>
      <c r="U1676">
        <v>7</v>
      </c>
      <c r="V1676" s="15">
        <f t="shared" ca="1" si="53"/>
        <v>4</v>
      </c>
    </row>
    <row r="1677" spans="1:22">
      <c r="A1677" t="s">
        <v>2030</v>
      </c>
      <c r="B1677" s="1">
        <v>41054.305648148147</v>
      </c>
      <c r="C1677" s="2">
        <v>85000</v>
      </c>
      <c r="D1677">
        <v>85000</v>
      </c>
      <c r="E1677" t="s">
        <v>1856</v>
      </c>
      <c r="F1677" s="5">
        <v>85000</v>
      </c>
      <c r="G1677" s="5">
        <v>85000</v>
      </c>
      <c r="H1677" s="5">
        <f ca="1">OFFSET(F1677,0,Brains!$D$1,1,1)</f>
        <v>85000</v>
      </c>
      <c r="I1677" t="s">
        <v>1882</v>
      </c>
      <c r="J1677" t="s">
        <v>1882</v>
      </c>
      <c r="K1677" t="s">
        <v>1869</v>
      </c>
      <c r="L1677" t="s">
        <v>1869</v>
      </c>
      <c r="M1677" s="11" t="s">
        <v>3918</v>
      </c>
      <c r="N1677" t="s">
        <v>1860</v>
      </c>
      <c r="P1677" s="15" t="str">
        <f t="shared" ca="1" si="52"/>
        <v>75-99.9K</v>
      </c>
      <c r="Q1677" s="15">
        <v>5</v>
      </c>
      <c r="S1677">
        <v>4</v>
      </c>
      <c r="U1677">
        <v>7</v>
      </c>
      <c r="V1677" s="15">
        <f t="shared" ca="1" si="53"/>
        <v>5</v>
      </c>
    </row>
    <row r="1678" spans="1:22">
      <c r="A1678" t="s">
        <v>2843</v>
      </c>
      <c r="B1678" s="1">
        <v>41055.123287037037</v>
      </c>
      <c r="C1678" s="2">
        <v>78000</v>
      </c>
      <c r="D1678">
        <v>78000</v>
      </c>
      <c r="E1678" t="s">
        <v>1856</v>
      </c>
      <c r="F1678" s="5">
        <v>78000</v>
      </c>
      <c r="G1678" s="5">
        <v>78000</v>
      </c>
      <c r="H1678" s="5">
        <f ca="1">OFFSET(F1678,0,Brains!$D$1,1,1)</f>
        <v>78000</v>
      </c>
      <c r="I1678" t="s">
        <v>2844</v>
      </c>
      <c r="J1678" t="s">
        <v>1882</v>
      </c>
      <c r="K1678" t="s">
        <v>2845</v>
      </c>
      <c r="L1678" t="s">
        <v>2845</v>
      </c>
      <c r="M1678" s="11" t="s">
        <v>3918</v>
      </c>
      <c r="N1678" t="s">
        <v>1860</v>
      </c>
      <c r="P1678" s="15" t="str">
        <f t="shared" ca="1" si="52"/>
        <v>75-99.9K</v>
      </c>
      <c r="Q1678" s="15">
        <v>5</v>
      </c>
      <c r="S1678">
        <v>4</v>
      </c>
      <c r="U1678">
        <v>7</v>
      </c>
      <c r="V1678" s="15">
        <f t="shared" ca="1" si="53"/>
        <v>5</v>
      </c>
    </row>
    <row r="1679" spans="1:22">
      <c r="A1679" t="s">
        <v>2285</v>
      </c>
      <c r="B1679" s="1">
        <v>41055.034895833334</v>
      </c>
      <c r="C1679" s="2">
        <v>70000</v>
      </c>
      <c r="D1679">
        <v>70000</v>
      </c>
      <c r="E1679" t="s">
        <v>1856</v>
      </c>
      <c r="F1679" s="5">
        <v>70000</v>
      </c>
      <c r="G1679" s="5">
        <v>70000</v>
      </c>
      <c r="H1679" s="5">
        <f ca="1">OFFSET(F1679,0,Brains!$D$1,1,1)</f>
        <v>70000</v>
      </c>
      <c r="I1679" t="s">
        <v>2286</v>
      </c>
      <c r="J1679" t="s">
        <v>1882</v>
      </c>
      <c r="K1679" t="s">
        <v>1869</v>
      </c>
      <c r="L1679" t="s">
        <v>1869</v>
      </c>
      <c r="M1679" s="11" t="s">
        <v>3918</v>
      </c>
      <c r="N1679" t="s">
        <v>1860</v>
      </c>
      <c r="P1679" s="15" t="str">
        <f t="shared" ca="1" si="52"/>
        <v>50-74.9K</v>
      </c>
      <c r="Q1679" s="15">
        <v>5</v>
      </c>
      <c r="S1679">
        <v>4</v>
      </c>
      <c r="U1679">
        <v>7</v>
      </c>
      <c r="V1679" s="15">
        <f t="shared" ca="1" si="53"/>
        <v>4</v>
      </c>
    </row>
    <row r="1680" spans="1:22">
      <c r="A1680" t="s">
        <v>2718</v>
      </c>
      <c r="B1680" s="1">
        <v>41055.0859375</v>
      </c>
      <c r="C1680" s="2">
        <v>70000</v>
      </c>
      <c r="D1680">
        <v>70000</v>
      </c>
      <c r="E1680" t="s">
        <v>1856</v>
      </c>
      <c r="F1680" s="5">
        <v>70000</v>
      </c>
      <c r="G1680" s="5">
        <v>70000</v>
      </c>
      <c r="H1680" s="5">
        <f ca="1">OFFSET(F1680,0,Brains!$D$1,1,1)</f>
        <v>70000</v>
      </c>
      <c r="I1680" t="s">
        <v>2719</v>
      </c>
      <c r="J1680" t="s">
        <v>1882</v>
      </c>
      <c r="K1680" t="s">
        <v>1869</v>
      </c>
      <c r="L1680" t="s">
        <v>1869</v>
      </c>
      <c r="M1680" s="11" t="s">
        <v>3918</v>
      </c>
      <c r="N1680" t="s">
        <v>1860</v>
      </c>
      <c r="P1680" s="15" t="str">
        <f t="shared" ca="1" si="52"/>
        <v>50-74.9K</v>
      </c>
      <c r="Q1680" s="15">
        <v>5</v>
      </c>
      <c r="S1680">
        <v>4</v>
      </c>
      <c r="U1680">
        <v>7</v>
      </c>
      <c r="V1680" s="15">
        <f t="shared" ca="1" si="53"/>
        <v>4</v>
      </c>
    </row>
    <row r="1681" spans="1:22">
      <c r="A1681" t="s">
        <v>2189</v>
      </c>
      <c r="B1681" s="1">
        <v>41055.030057870368</v>
      </c>
      <c r="C1681" s="2">
        <v>70000</v>
      </c>
      <c r="D1681">
        <v>70000</v>
      </c>
      <c r="E1681" t="s">
        <v>1979</v>
      </c>
      <c r="F1681" s="5">
        <v>68835.306612122877</v>
      </c>
      <c r="G1681" s="5">
        <v>56044.83586869495</v>
      </c>
      <c r="H1681" s="5">
        <f ca="1">OFFSET(F1681,0,Brains!$D$1,1,1)</f>
        <v>56044.83586869495</v>
      </c>
      <c r="I1681" t="s">
        <v>2190</v>
      </c>
      <c r="J1681" t="s">
        <v>1882</v>
      </c>
      <c r="K1681" t="s">
        <v>2191</v>
      </c>
      <c r="L1681" t="s">
        <v>1981</v>
      </c>
      <c r="M1681" s="11" t="s">
        <v>3918</v>
      </c>
      <c r="N1681" t="s">
        <v>1860</v>
      </c>
      <c r="P1681" s="15" t="str">
        <f t="shared" ca="1" si="52"/>
        <v>50-74.9K</v>
      </c>
      <c r="Q1681" s="15">
        <v>5</v>
      </c>
      <c r="S1681">
        <v>4</v>
      </c>
      <c r="U1681">
        <v>7</v>
      </c>
      <c r="V1681" s="15">
        <f t="shared" ca="1" si="53"/>
        <v>4</v>
      </c>
    </row>
    <row r="1682" spans="1:22">
      <c r="A1682" t="s">
        <v>2656</v>
      </c>
      <c r="B1682" s="1">
        <v>41055.076331018521</v>
      </c>
      <c r="C1682" s="2">
        <v>43000</v>
      </c>
      <c r="D1682">
        <v>43000</v>
      </c>
      <c r="E1682" t="s">
        <v>1954</v>
      </c>
      <c r="F1682" s="5">
        <v>67775.665698893223</v>
      </c>
      <c r="G1682" s="5">
        <v>63798.219584569728</v>
      </c>
      <c r="H1682" s="5">
        <f ca="1">OFFSET(F1682,0,Brains!$D$1,1,1)</f>
        <v>63798.219584569728</v>
      </c>
      <c r="I1682" t="s">
        <v>2657</v>
      </c>
      <c r="J1682" t="s">
        <v>1882</v>
      </c>
      <c r="K1682" t="s">
        <v>1956</v>
      </c>
      <c r="L1682" t="s">
        <v>1956</v>
      </c>
      <c r="M1682" s="11" t="s">
        <v>3918</v>
      </c>
      <c r="N1682" t="s">
        <v>1860</v>
      </c>
      <c r="P1682" s="15" t="str">
        <f t="shared" ca="1" si="52"/>
        <v>50-74.9K</v>
      </c>
      <c r="Q1682" s="15">
        <v>5</v>
      </c>
      <c r="S1682">
        <v>4</v>
      </c>
      <c r="U1682">
        <v>7</v>
      </c>
      <c r="V1682" s="15">
        <f t="shared" ca="1" si="53"/>
        <v>4</v>
      </c>
    </row>
    <row r="1683" spans="1:22">
      <c r="A1683" t="s">
        <v>2408</v>
      </c>
      <c r="B1683" s="1">
        <v>41055.04414351852</v>
      </c>
      <c r="C1683" s="2">
        <v>65000</v>
      </c>
      <c r="D1683">
        <v>65000</v>
      </c>
      <c r="E1683" t="s">
        <v>1979</v>
      </c>
      <c r="F1683" s="5">
        <v>63918.498996971248</v>
      </c>
      <c r="G1683" s="5">
        <v>52041.633306645308</v>
      </c>
      <c r="H1683" s="5">
        <f ca="1">OFFSET(F1683,0,Brains!$D$1,1,1)</f>
        <v>52041.633306645308</v>
      </c>
      <c r="I1683" t="s">
        <v>2409</v>
      </c>
      <c r="J1683" t="s">
        <v>1882</v>
      </c>
      <c r="K1683" t="s">
        <v>1981</v>
      </c>
      <c r="L1683" t="s">
        <v>1981</v>
      </c>
      <c r="M1683" s="11" t="s">
        <v>3918</v>
      </c>
      <c r="N1683" t="s">
        <v>1860</v>
      </c>
      <c r="P1683" s="15" t="str">
        <f t="shared" ca="1" si="52"/>
        <v>50-74.9K</v>
      </c>
      <c r="Q1683" s="15">
        <v>5</v>
      </c>
      <c r="S1683">
        <v>4</v>
      </c>
      <c r="U1683">
        <v>7</v>
      </c>
      <c r="V1683" s="15">
        <f t="shared" ca="1" si="53"/>
        <v>4</v>
      </c>
    </row>
    <row r="1684" spans="1:22">
      <c r="A1684" t="s">
        <v>2797</v>
      </c>
      <c r="B1684" s="1">
        <v>41055.106249999997</v>
      </c>
      <c r="C1684" s="2">
        <v>60000</v>
      </c>
      <c r="D1684">
        <v>60000</v>
      </c>
      <c r="E1684" t="s">
        <v>1856</v>
      </c>
      <c r="F1684" s="5">
        <v>60000</v>
      </c>
      <c r="G1684" s="5">
        <v>60000</v>
      </c>
      <c r="H1684" s="5">
        <f ca="1">OFFSET(F1684,0,Brains!$D$1,1,1)</f>
        <v>60000</v>
      </c>
      <c r="I1684" t="s">
        <v>2798</v>
      </c>
      <c r="J1684" t="s">
        <v>1882</v>
      </c>
      <c r="K1684" t="s">
        <v>1869</v>
      </c>
      <c r="L1684" t="s">
        <v>1869</v>
      </c>
      <c r="M1684" s="11" t="s">
        <v>3918</v>
      </c>
      <c r="N1684" t="s">
        <v>1860</v>
      </c>
      <c r="P1684" s="15" t="str">
        <f t="shared" ca="1" si="52"/>
        <v>50-74.9K</v>
      </c>
      <c r="Q1684" s="15">
        <v>5</v>
      </c>
      <c r="S1684">
        <v>4</v>
      </c>
      <c r="U1684">
        <v>7</v>
      </c>
      <c r="V1684" s="15">
        <f t="shared" ca="1" si="53"/>
        <v>4</v>
      </c>
    </row>
    <row r="1685" spans="1:22">
      <c r="A1685" t="s">
        <v>2136</v>
      </c>
      <c r="B1685" s="1">
        <v>41055.028784722221</v>
      </c>
      <c r="C1685" s="2" t="s">
        <v>2137</v>
      </c>
      <c r="D1685">
        <v>58000</v>
      </c>
      <c r="E1685" t="s">
        <v>1856</v>
      </c>
      <c r="F1685" s="5">
        <v>58000</v>
      </c>
      <c r="G1685" s="5">
        <v>58000</v>
      </c>
      <c r="H1685" s="5">
        <f ca="1">OFFSET(F1685,0,Brains!$D$1,1,1)</f>
        <v>58000</v>
      </c>
      <c r="I1685" t="s">
        <v>2138</v>
      </c>
      <c r="J1685" t="s">
        <v>1882</v>
      </c>
      <c r="K1685" t="s">
        <v>1869</v>
      </c>
      <c r="L1685" t="s">
        <v>1869</v>
      </c>
      <c r="M1685" s="11" t="s">
        <v>3918</v>
      </c>
      <c r="N1685" t="s">
        <v>1860</v>
      </c>
      <c r="P1685" s="15" t="str">
        <f t="shared" ca="1" si="52"/>
        <v>50-74.9K</v>
      </c>
      <c r="Q1685" s="15">
        <v>5</v>
      </c>
      <c r="S1685">
        <v>4</v>
      </c>
      <c r="U1685">
        <v>7</v>
      </c>
      <c r="V1685" s="15">
        <f t="shared" ca="1" si="53"/>
        <v>4</v>
      </c>
    </row>
    <row r="1686" spans="1:22">
      <c r="A1686" t="s">
        <v>1993</v>
      </c>
      <c r="B1686" s="1">
        <v>41054.253263888888</v>
      </c>
      <c r="C1686" s="2" t="s">
        <v>1994</v>
      </c>
      <c r="D1686">
        <v>45000</v>
      </c>
      <c r="E1686" t="s">
        <v>1880</v>
      </c>
      <c r="F1686" s="5">
        <v>57167.974754622352</v>
      </c>
      <c r="G1686" s="5">
        <v>56528.970469265834</v>
      </c>
      <c r="H1686" s="5">
        <f ca="1">OFFSET(F1686,0,Brains!$D$1,1,1)</f>
        <v>56528.970469265834</v>
      </c>
      <c r="I1686" t="s">
        <v>1995</v>
      </c>
      <c r="J1686" t="s">
        <v>1882</v>
      </c>
      <c r="K1686" t="s">
        <v>1996</v>
      </c>
      <c r="L1686" t="s">
        <v>2998</v>
      </c>
      <c r="M1686" s="11" t="s">
        <v>3918</v>
      </c>
      <c r="N1686" t="s">
        <v>1860</v>
      </c>
      <c r="P1686" s="15" t="str">
        <f t="shared" ca="1" si="52"/>
        <v>50-74.9K</v>
      </c>
      <c r="Q1686" s="15">
        <v>5</v>
      </c>
      <c r="S1686">
        <v>4</v>
      </c>
      <c r="U1686">
        <v>7</v>
      </c>
      <c r="V1686" s="15">
        <f t="shared" ca="1" si="53"/>
        <v>4</v>
      </c>
    </row>
    <row r="1687" spans="1:22">
      <c r="A1687" t="s">
        <v>2108</v>
      </c>
      <c r="B1687" s="1">
        <v>41055.028240740743</v>
      </c>
      <c r="C1687" s="2">
        <v>57000</v>
      </c>
      <c r="D1687">
        <v>57000</v>
      </c>
      <c r="E1687" t="s">
        <v>1856</v>
      </c>
      <c r="F1687" s="5">
        <v>57000</v>
      </c>
      <c r="G1687" s="5">
        <v>57000</v>
      </c>
      <c r="H1687" s="5">
        <f ca="1">OFFSET(F1687,0,Brains!$D$1,1,1)</f>
        <v>57000</v>
      </c>
      <c r="I1687" t="s">
        <v>2109</v>
      </c>
      <c r="J1687" t="s">
        <v>1882</v>
      </c>
      <c r="K1687" t="s">
        <v>1869</v>
      </c>
      <c r="L1687" t="s">
        <v>1869</v>
      </c>
      <c r="M1687" s="11" t="s">
        <v>3918</v>
      </c>
      <c r="N1687" t="s">
        <v>1860</v>
      </c>
      <c r="P1687" s="15" t="str">
        <f t="shared" ca="1" si="52"/>
        <v>50-74.9K</v>
      </c>
      <c r="Q1687" s="15">
        <v>5</v>
      </c>
      <c r="S1687">
        <v>4</v>
      </c>
      <c r="U1687">
        <v>7</v>
      </c>
      <c r="V1687" s="15">
        <f t="shared" ca="1" si="53"/>
        <v>4</v>
      </c>
    </row>
    <row r="1688" spans="1:22">
      <c r="A1688" t="s">
        <v>2977</v>
      </c>
      <c r="B1688" s="1">
        <v>41055.189618055556</v>
      </c>
      <c r="C1688" s="2" t="s">
        <v>2978</v>
      </c>
      <c r="D1688">
        <v>57000</v>
      </c>
      <c r="E1688" t="s">
        <v>1856</v>
      </c>
      <c r="F1688" s="5">
        <v>57000</v>
      </c>
      <c r="G1688" s="5">
        <v>57000</v>
      </c>
      <c r="H1688" s="5">
        <f ca="1">OFFSET(F1688,0,Brains!$D$1,1,1)</f>
        <v>57000</v>
      </c>
      <c r="I1688" t="s">
        <v>2979</v>
      </c>
      <c r="J1688" t="s">
        <v>1882</v>
      </c>
      <c r="K1688" t="s">
        <v>2980</v>
      </c>
      <c r="L1688" t="s">
        <v>2599</v>
      </c>
      <c r="M1688" s="11" t="s">
        <v>3918</v>
      </c>
      <c r="N1688" t="s">
        <v>1860</v>
      </c>
      <c r="P1688" s="15" t="str">
        <f t="shared" ca="1" si="52"/>
        <v>50-74.9K</v>
      </c>
      <c r="Q1688" s="15">
        <v>5</v>
      </c>
      <c r="S1688">
        <v>4</v>
      </c>
      <c r="U1688">
        <v>7</v>
      </c>
      <c r="V1688" s="15">
        <f t="shared" ca="1" si="53"/>
        <v>4</v>
      </c>
    </row>
    <row r="1689" spans="1:22">
      <c r="A1689" t="s">
        <v>2826</v>
      </c>
      <c r="B1689" s="1">
        <v>41055.115925925929</v>
      </c>
      <c r="C1689" s="2" t="s">
        <v>2827</v>
      </c>
      <c r="D1689">
        <v>3000000</v>
      </c>
      <c r="E1689" t="s">
        <v>1908</v>
      </c>
      <c r="F1689" s="5">
        <v>53423.750062327701</v>
      </c>
      <c r="G1689" s="5">
        <v>149387.51120406334</v>
      </c>
      <c r="H1689" s="5">
        <f ca="1">OFFSET(F1689,0,Brains!$D$1,1,1)</f>
        <v>149387.51120406334</v>
      </c>
      <c r="I1689" t="s">
        <v>2828</v>
      </c>
      <c r="J1689" t="s">
        <v>1882</v>
      </c>
      <c r="K1689" t="s">
        <v>1859</v>
      </c>
      <c r="L1689" t="s">
        <v>1859</v>
      </c>
      <c r="M1689" s="11" t="s">
        <v>3918</v>
      </c>
      <c r="N1689" t="s">
        <v>1860</v>
      </c>
      <c r="P1689" s="15" t="str">
        <f t="shared" ca="1" si="52"/>
        <v>100-149.9K</v>
      </c>
      <c r="Q1689" s="15">
        <v>5</v>
      </c>
      <c r="S1689">
        <v>4</v>
      </c>
      <c r="U1689">
        <v>7</v>
      </c>
      <c r="V1689" s="15">
        <f t="shared" ca="1" si="53"/>
        <v>6</v>
      </c>
    </row>
    <row r="1690" spans="1:22">
      <c r="A1690" t="s">
        <v>2939</v>
      </c>
      <c r="B1690" s="1">
        <v>41055.16138888889</v>
      </c>
      <c r="C1690" s="2">
        <v>33000</v>
      </c>
      <c r="D1690">
        <v>33000</v>
      </c>
      <c r="E1690" t="s">
        <v>1954</v>
      </c>
      <c r="F1690" s="5">
        <v>52013.882978220376</v>
      </c>
      <c r="G1690" s="5">
        <v>48961.424332344213</v>
      </c>
      <c r="H1690" s="5">
        <f ca="1">OFFSET(F1690,0,Brains!$D$1,1,1)</f>
        <v>48961.424332344213</v>
      </c>
      <c r="I1690" t="s">
        <v>2940</v>
      </c>
      <c r="J1690" t="s">
        <v>1882</v>
      </c>
      <c r="K1690" t="s">
        <v>1956</v>
      </c>
      <c r="L1690" t="s">
        <v>1956</v>
      </c>
      <c r="M1690" s="11" t="s">
        <v>3918</v>
      </c>
      <c r="N1690" t="s">
        <v>1860</v>
      </c>
      <c r="P1690" s="15" t="str">
        <f t="shared" ca="1" si="52"/>
        <v>30-49.9K</v>
      </c>
      <c r="Q1690" s="15">
        <v>5</v>
      </c>
      <c r="S1690">
        <v>4</v>
      </c>
      <c r="U1690">
        <v>7</v>
      </c>
      <c r="V1690" s="15">
        <f t="shared" ca="1" si="53"/>
        <v>3</v>
      </c>
    </row>
    <row r="1691" spans="1:22">
      <c r="A1691" t="s">
        <v>2119</v>
      </c>
      <c r="B1691" s="1">
        <v>41055.028356481482</v>
      </c>
      <c r="C1691" s="2">
        <v>52000</v>
      </c>
      <c r="D1691">
        <v>52000</v>
      </c>
      <c r="E1691" t="s">
        <v>1856</v>
      </c>
      <c r="F1691" s="5">
        <v>52000</v>
      </c>
      <c r="G1691" s="5">
        <v>52000</v>
      </c>
      <c r="H1691" s="5">
        <f ca="1">OFFSET(F1691,0,Brains!$D$1,1,1)</f>
        <v>52000</v>
      </c>
      <c r="I1691" t="s">
        <v>2120</v>
      </c>
      <c r="J1691" t="s">
        <v>1882</v>
      </c>
      <c r="K1691" t="s">
        <v>1869</v>
      </c>
      <c r="L1691" t="s">
        <v>1869</v>
      </c>
      <c r="M1691" s="11" t="s">
        <v>3918</v>
      </c>
      <c r="N1691" t="s">
        <v>1860</v>
      </c>
      <c r="P1691" s="15" t="str">
        <f t="shared" ca="1" si="52"/>
        <v>50-74.9K</v>
      </c>
      <c r="Q1691" s="15">
        <v>5</v>
      </c>
      <c r="S1691">
        <v>4</v>
      </c>
      <c r="U1691">
        <v>7</v>
      </c>
      <c r="V1691" s="15">
        <f t="shared" ca="1" si="53"/>
        <v>4</v>
      </c>
    </row>
    <row r="1692" spans="1:22">
      <c r="A1692" t="s">
        <v>2861</v>
      </c>
      <c r="B1692" s="1">
        <v>41055.127847222226</v>
      </c>
      <c r="C1692" s="2" t="s">
        <v>2862</v>
      </c>
      <c r="D1692">
        <v>52000</v>
      </c>
      <c r="E1692" t="s">
        <v>1979</v>
      </c>
      <c r="F1692" s="5">
        <v>51134.799197576998</v>
      </c>
      <c r="G1692" s="5">
        <v>41633.306645316246</v>
      </c>
      <c r="H1692" s="5">
        <f ca="1">OFFSET(F1692,0,Brains!$D$1,1,1)</f>
        <v>41633.306645316246</v>
      </c>
      <c r="I1692" t="s">
        <v>2863</v>
      </c>
      <c r="J1692" t="s">
        <v>1882</v>
      </c>
      <c r="K1692" t="s">
        <v>1981</v>
      </c>
      <c r="L1692" t="s">
        <v>1981</v>
      </c>
      <c r="M1692" s="11" t="s">
        <v>3918</v>
      </c>
      <c r="N1692" t="s">
        <v>1860</v>
      </c>
      <c r="P1692" s="15" t="str">
        <f t="shared" ca="1" si="52"/>
        <v>30-49.9K</v>
      </c>
      <c r="Q1692" s="15">
        <v>5</v>
      </c>
      <c r="S1692">
        <v>4</v>
      </c>
      <c r="U1692">
        <v>7</v>
      </c>
      <c r="V1692" s="15">
        <f t="shared" ca="1" si="53"/>
        <v>3</v>
      </c>
    </row>
    <row r="1693" spans="1:22">
      <c r="A1693" t="s">
        <v>2323</v>
      </c>
      <c r="B1693" s="1">
        <v>41055.037233796298</v>
      </c>
      <c r="C1693" s="2">
        <v>51000</v>
      </c>
      <c r="D1693">
        <v>51000</v>
      </c>
      <c r="E1693" t="s">
        <v>1856</v>
      </c>
      <c r="F1693" s="5">
        <v>51000</v>
      </c>
      <c r="G1693" s="5">
        <v>51000</v>
      </c>
      <c r="H1693" s="5">
        <f ca="1">OFFSET(F1693,0,Brains!$D$1,1,1)</f>
        <v>51000</v>
      </c>
      <c r="I1693" t="s">
        <v>2324</v>
      </c>
      <c r="J1693" t="s">
        <v>1882</v>
      </c>
      <c r="K1693" t="s">
        <v>1869</v>
      </c>
      <c r="L1693" t="s">
        <v>1869</v>
      </c>
      <c r="M1693" s="11" t="s">
        <v>3918</v>
      </c>
      <c r="N1693" t="s">
        <v>1860</v>
      </c>
      <c r="P1693" s="15" t="str">
        <f t="shared" ca="1" si="52"/>
        <v>50-74.9K</v>
      </c>
      <c r="Q1693" s="15">
        <v>5</v>
      </c>
      <c r="S1693">
        <v>4</v>
      </c>
      <c r="U1693">
        <v>7</v>
      </c>
      <c r="V1693" s="15">
        <f t="shared" ca="1" si="53"/>
        <v>4</v>
      </c>
    </row>
    <row r="1694" spans="1:22">
      <c r="A1694" t="s">
        <v>2235</v>
      </c>
      <c r="B1694" s="1">
        <v>41055.031840277778</v>
      </c>
      <c r="C1694" s="2" t="s">
        <v>2236</v>
      </c>
      <c r="D1694">
        <v>32250</v>
      </c>
      <c r="E1694" t="s">
        <v>1954</v>
      </c>
      <c r="F1694" s="5">
        <v>50831.74927416991</v>
      </c>
      <c r="G1694" s="5">
        <v>47848.6646884273</v>
      </c>
      <c r="H1694" s="5">
        <f ca="1">OFFSET(F1694,0,Brains!$D$1,1,1)</f>
        <v>47848.6646884273</v>
      </c>
      <c r="I1694" t="s">
        <v>2237</v>
      </c>
      <c r="J1694" t="s">
        <v>1882</v>
      </c>
      <c r="K1694" t="s">
        <v>1956</v>
      </c>
      <c r="L1694" t="s">
        <v>1956</v>
      </c>
      <c r="M1694" s="11" t="s">
        <v>3918</v>
      </c>
      <c r="N1694" t="s">
        <v>1860</v>
      </c>
      <c r="P1694" s="15" t="str">
        <f t="shared" ca="1" si="52"/>
        <v>30-49.9K</v>
      </c>
      <c r="Q1694" s="15">
        <v>5</v>
      </c>
      <c r="S1694">
        <v>4</v>
      </c>
      <c r="U1694">
        <v>7</v>
      </c>
      <c r="V1694" s="15">
        <f t="shared" ca="1" si="53"/>
        <v>3</v>
      </c>
    </row>
    <row r="1695" spans="1:22">
      <c r="A1695" t="s">
        <v>2336</v>
      </c>
      <c r="B1695" s="1">
        <v>41055.037812499999</v>
      </c>
      <c r="C1695" s="2">
        <v>50000</v>
      </c>
      <c r="D1695">
        <v>50000</v>
      </c>
      <c r="E1695" t="s">
        <v>1856</v>
      </c>
      <c r="F1695" s="5">
        <v>50000</v>
      </c>
      <c r="G1695" s="5">
        <v>50000</v>
      </c>
      <c r="H1695" s="5">
        <f ca="1">OFFSET(F1695,0,Brains!$D$1,1,1)</f>
        <v>50000</v>
      </c>
      <c r="I1695" t="s">
        <v>2337</v>
      </c>
      <c r="J1695" t="s">
        <v>1882</v>
      </c>
      <c r="K1695" t="s">
        <v>1869</v>
      </c>
      <c r="L1695" t="s">
        <v>1869</v>
      </c>
      <c r="M1695" s="11" t="s">
        <v>3918</v>
      </c>
      <c r="N1695" t="s">
        <v>1860</v>
      </c>
      <c r="P1695" s="15" t="str">
        <f t="shared" ca="1" si="52"/>
        <v>50-74.9K</v>
      </c>
      <c r="Q1695" s="15">
        <v>5</v>
      </c>
      <c r="S1695">
        <v>4</v>
      </c>
      <c r="U1695">
        <v>7</v>
      </c>
      <c r="V1695" s="15">
        <f t="shared" ca="1" si="53"/>
        <v>4</v>
      </c>
    </row>
    <row r="1696" spans="1:22">
      <c r="A1696" t="s">
        <v>2373</v>
      </c>
      <c r="B1696" s="1">
        <v>41055.040347222224</v>
      </c>
      <c r="C1696" s="2">
        <v>50000</v>
      </c>
      <c r="D1696">
        <v>50000</v>
      </c>
      <c r="E1696" t="s">
        <v>1856</v>
      </c>
      <c r="F1696" s="5">
        <v>50000</v>
      </c>
      <c r="G1696" s="5">
        <v>50000</v>
      </c>
      <c r="H1696" s="5">
        <f ca="1">OFFSET(F1696,0,Brains!$D$1,1,1)</f>
        <v>50000</v>
      </c>
      <c r="I1696" t="s">
        <v>2184</v>
      </c>
      <c r="J1696" t="s">
        <v>1882</v>
      </c>
      <c r="K1696" t="s">
        <v>1869</v>
      </c>
      <c r="L1696" t="s">
        <v>1869</v>
      </c>
      <c r="M1696" s="11" t="s">
        <v>3918</v>
      </c>
      <c r="N1696" t="s">
        <v>1860</v>
      </c>
      <c r="P1696" s="15" t="str">
        <f t="shared" ca="1" si="52"/>
        <v>50-74.9K</v>
      </c>
      <c r="Q1696" s="15">
        <v>5</v>
      </c>
      <c r="S1696">
        <v>4</v>
      </c>
      <c r="U1696">
        <v>7</v>
      </c>
      <c r="V1696" s="15">
        <f t="shared" ca="1" si="53"/>
        <v>4</v>
      </c>
    </row>
    <row r="1697" spans="1:22">
      <c r="A1697" t="s">
        <v>3041</v>
      </c>
      <c r="B1697" s="1">
        <v>41055.232638888891</v>
      </c>
      <c r="C1697" s="2">
        <v>50000</v>
      </c>
      <c r="D1697">
        <v>50000</v>
      </c>
      <c r="E1697" t="s">
        <v>1856</v>
      </c>
      <c r="F1697" s="5">
        <v>50000</v>
      </c>
      <c r="G1697" s="5">
        <v>50000</v>
      </c>
      <c r="H1697" s="5">
        <f ca="1">OFFSET(F1697,0,Brains!$D$1,1,1)</f>
        <v>50000</v>
      </c>
      <c r="I1697" t="s">
        <v>3042</v>
      </c>
      <c r="J1697" t="s">
        <v>1882</v>
      </c>
      <c r="K1697" t="s">
        <v>1869</v>
      </c>
      <c r="L1697" t="s">
        <v>1869</v>
      </c>
      <c r="M1697" s="11" t="s">
        <v>3918</v>
      </c>
      <c r="N1697" t="s">
        <v>1860</v>
      </c>
      <c r="P1697" s="15" t="str">
        <f t="shared" ca="1" si="52"/>
        <v>50-74.9K</v>
      </c>
      <c r="Q1697" s="15">
        <v>5</v>
      </c>
      <c r="S1697">
        <v>4</v>
      </c>
      <c r="U1697">
        <v>7</v>
      </c>
      <c r="V1697" s="15">
        <f t="shared" ca="1" si="53"/>
        <v>4</v>
      </c>
    </row>
    <row r="1698" spans="1:22">
      <c r="A1698" t="s">
        <v>2192</v>
      </c>
      <c r="B1698" s="1">
        <v>41055.030150462961</v>
      </c>
      <c r="C1698" s="2">
        <v>50000</v>
      </c>
      <c r="D1698">
        <v>50000</v>
      </c>
      <c r="E1698" t="s">
        <v>1979</v>
      </c>
      <c r="F1698" s="5">
        <v>49168.076151516347</v>
      </c>
      <c r="G1698" s="5">
        <v>40032.025620496395</v>
      </c>
      <c r="H1698" s="5">
        <f ca="1">OFFSET(F1698,0,Brains!$D$1,1,1)</f>
        <v>40032.025620496395</v>
      </c>
      <c r="I1698" t="s">
        <v>2193</v>
      </c>
      <c r="J1698" t="s">
        <v>1882</v>
      </c>
      <c r="K1698" t="s">
        <v>1981</v>
      </c>
      <c r="L1698" t="s">
        <v>1981</v>
      </c>
      <c r="M1698" s="11" t="s">
        <v>3918</v>
      </c>
      <c r="N1698" t="s">
        <v>1860</v>
      </c>
      <c r="P1698" s="15" t="str">
        <f t="shared" ca="1" si="52"/>
        <v>30-49.9K</v>
      </c>
      <c r="Q1698" s="15">
        <v>5</v>
      </c>
      <c r="S1698">
        <v>4</v>
      </c>
      <c r="U1698">
        <v>7</v>
      </c>
      <c r="V1698" s="15">
        <f t="shared" ca="1" si="53"/>
        <v>3</v>
      </c>
    </row>
    <row r="1699" spans="1:22">
      <c r="A1699" t="s">
        <v>2070</v>
      </c>
      <c r="B1699" s="1">
        <v>41054.992673611108</v>
      </c>
      <c r="C1699" s="2" t="s">
        <v>2071</v>
      </c>
      <c r="D1699">
        <v>30000</v>
      </c>
      <c r="E1699" t="s">
        <v>1954</v>
      </c>
      <c r="F1699" s="5">
        <v>47285.348162018527</v>
      </c>
      <c r="G1699" s="5">
        <v>44510.385756676558</v>
      </c>
      <c r="H1699" s="5">
        <f ca="1">OFFSET(F1699,0,Brains!$D$1,1,1)</f>
        <v>44510.385756676558</v>
      </c>
      <c r="I1699" t="s">
        <v>2072</v>
      </c>
      <c r="J1699" t="s">
        <v>1882</v>
      </c>
      <c r="K1699" t="s">
        <v>1956</v>
      </c>
      <c r="L1699" t="s">
        <v>1956</v>
      </c>
      <c r="M1699" s="11" t="s">
        <v>3918</v>
      </c>
      <c r="N1699" t="s">
        <v>1860</v>
      </c>
      <c r="P1699" s="15" t="str">
        <f t="shared" ca="1" si="52"/>
        <v>30-49.9K</v>
      </c>
      <c r="Q1699" s="15">
        <v>5</v>
      </c>
      <c r="S1699">
        <v>4</v>
      </c>
      <c r="U1699">
        <v>7</v>
      </c>
      <c r="V1699" s="15">
        <f t="shared" ca="1" si="53"/>
        <v>3</v>
      </c>
    </row>
    <row r="1700" spans="1:22">
      <c r="A1700" t="s">
        <v>2729</v>
      </c>
      <c r="B1700" s="1">
        <v>41055.087372685186</v>
      </c>
      <c r="C1700" s="2">
        <v>47000</v>
      </c>
      <c r="D1700">
        <v>47000</v>
      </c>
      <c r="E1700" t="s">
        <v>1856</v>
      </c>
      <c r="F1700" s="5">
        <v>47000</v>
      </c>
      <c r="G1700" s="5">
        <v>47000</v>
      </c>
      <c r="H1700" s="5">
        <f ca="1">OFFSET(F1700,0,Brains!$D$1,1,1)</f>
        <v>47000</v>
      </c>
      <c r="I1700" t="s">
        <v>2730</v>
      </c>
      <c r="J1700" t="s">
        <v>1882</v>
      </c>
      <c r="K1700" t="s">
        <v>1869</v>
      </c>
      <c r="L1700" t="s">
        <v>1869</v>
      </c>
      <c r="M1700" s="11" t="s">
        <v>3918</v>
      </c>
      <c r="N1700" t="s">
        <v>1860</v>
      </c>
      <c r="P1700" s="15" t="str">
        <f t="shared" ca="1" si="52"/>
        <v>30-49.9K</v>
      </c>
      <c r="Q1700" s="15">
        <v>5</v>
      </c>
      <c r="S1700">
        <v>4</v>
      </c>
      <c r="U1700">
        <v>7</v>
      </c>
      <c r="V1700" s="15">
        <f t="shared" ca="1" si="53"/>
        <v>3</v>
      </c>
    </row>
    <row r="1701" spans="1:22">
      <c r="A1701" t="s">
        <v>2128</v>
      </c>
      <c r="B1701" s="1">
        <v>41055.028541666667</v>
      </c>
      <c r="C1701" s="2">
        <v>35000</v>
      </c>
      <c r="D1701">
        <v>35000</v>
      </c>
      <c r="E1701" t="s">
        <v>1880</v>
      </c>
      <c r="F1701" s="5">
        <v>44463.980364706273</v>
      </c>
      <c r="G1701" s="5">
        <v>43966.9770316512</v>
      </c>
      <c r="H1701" s="5">
        <f ca="1">OFFSET(F1701,0,Brains!$D$1,1,1)</f>
        <v>43966.9770316512</v>
      </c>
      <c r="I1701" t="s">
        <v>2129</v>
      </c>
      <c r="J1701" t="s">
        <v>1882</v>
      </c>
      <c r="K1701" t="s">
        <v>2130</v>
      </c>
      <c r="L1701" t="s">
        <v>2130</v>
      </c>
      <c r="M1701" s="11" t="s">
        <v>3918</v>
      </c>
      <c r="N1701" t="s">
        <v>1860</v>
      </c>
      <c r="P1701" s="15" t="str">
        <f t="shared" ca="1" si="52"/>
        <v>30-49.9K</v>
      </c>
      <c r="Q1701" s="15">
        <v>5</v>
      </c>
      <c r="S1701">
        <v>4</v>
      </c>
      <c r="U1701">
        <v>7</v>
      </c>
      <c r="V1701" s="15">
        <f t="shared" ca="1" si="53"/>
        <v>3</v>
      </c>
    </row>
    <row r="1702" spans="1:22">
      <c r="A1702" t="s">
        <v>2929</v>
      </c>
      <c r="B1702" s="1">
        <v>41055.151226851849</v>
      </c>
      <c r="C1702" s="2">
        <v>28164</v>
      </c>
      <c r="D1702">
        <v>28164</v>
      </c>
      <c r="E1702" t="s">
        <v>1954</v>
      </c>
      <c r="F1702" s="5">
        <v>44391.484854502989</v>
      </c>
      <c r="G1702" s="5">
        <v>41786.35014836795</v>
      </c>
      <c r="H1702" s="5">
        <f ca="1">OFFSET(F1702,0,Brains!$D$1,1,1)</f>
        <v>41786.35014836795</v>
      </c>
      <c r="I1702" t="s">
        <v>2930</v>
      </c>
      <c r="J1702" t="s">
        <v>1882</v>
      </c>
      <c r="K1702" t="s">
        <v>1956</v>
      </c>
      <c r="L1702" t="s">
        <v>1956</v>
      </c>
      <c r="M1702" s="11" t="s">
        <v>3918</v>
      </c>
      <c r="N1702" t="s">
        <v>1860</v>
      </c>
      <c r="P1702" s="15" t="str">
        <f t="shared" ca="1" si="52"/>
        <v>30-49.9K</v>
      </c>
      <c r="Q1702" s="15">
        <v>5</v>
      </c>
      <c r="S1702">
        <v>4</v>
      </c>
      <c r="U1702">
        <v>7</v>
      </c>
      <c r="V1702" s="15">
        <f t="shared" ca="1" si="53"/>
        <v>3</v>
      </c>
    </row>
    <row r="1703" spans="1:22">
      <c r="A1703" t="s">
        <v>2502</v>
      </c>
      <c r="B1703" s="1">
        <v>41055.054837962962</v>
      </c>
      <c r="C1703" s="2">
        <v>3600</v>
      </c>
      <c r="D1703">
        <v>43200</v>
      </c>
      <c r="E1703" t="s">
        <v>1856</v>
      </c>
      <c r="F1703" s="5">
        <v>43200</v>
      </c>
      <c r="G1703" s="5">
        <v>43200</v>
      </c>
      <c r="H1703" s="5">
        <f ca="1">OFFSET(F1703,0,Brains!$D$1,1,1)</f>
        <v>43200</v>
      </c>
      <c r="I1703" t="s">
        <v>2503</v>
      </c>
      <c r="J1703" t="s">
        <v>1882</v>
      </c>
      <c r="K1703" t="s">
        <v>2064</v>
      </c>
      <c r="L1703" t="s">
        <v>2064</v>
      </c>
      <c r="M1703" s="11" t="s">
        <v>3918</v>
      </c>
      <c r="N1703" t="s">
        <v>1860</v>
      </c>
      <c r="P1703" s="15" t="str">
        <f t="shared" ca="1" si="52"/>
        <v>30-49.9K</v>
      </c>
      <c r="Q1703" s="15">
        <v>5</v>
      </c>
      <c r="S1703">
        <v>4</v>
      </c>
      <c r="U1703">
        <v>7</v>
      </c>
      <c r="V1703" s="15">
        <f t="shared" ca="1" si="53"/>
        <v>3</v>
      </c>
    </row>
    <row r="1704" spans="1:22">
      <c r="A1704" t="s">
        <v>2352</v>
      </c>
      <c r="B1704" s="1">
        <v>41055.039317129631</v>
      </c>
      <c r="C1704" s="2">
        <v>41600</v>
      </c>
      <c r="D1704">
        <v>41600</v>
      </c>
      <c r="E1704" t="s">
        <v>1856</v>
      </c>
      <c r="F1704" s="5">
        <v>41600</v>
      </c>
      <c r="G1704" s="5">
        <v>41600</v>
      </c>
      <c r="H1704" s="5">
        <f ca="1">OFFSET(F1704,0,Brains!$D$1,1,1)</f>
        <v>41600</v>
      </c>
      <c r="I1704" t="s">
        <v>2184</v>
      </c>
      <c r="J1704" t="s">
        <v>1882</v>
      </c>
      <c r="K1704" t="s">
        <v>1869</v>
      </c>
      <c r="L1704" t="s">
        <v>1869</v>
      </c>
      <c r="M1704" s="11" t="s">
        <v>3918</v>
      </c>
      <c r="N1704" t="s">
        <v>1860</v>
      </c>
      <c r="P1704" s="15" t="str">
        <f t="shared" ca="1" si="52"/>
        <v>30-49.9K</v>
      </c>
      <c r="Q1704" s="15">
        <v>5</v>
      </c>
      <c r="S1704">
        <v>4</v>
      </c>
      <c r="U1704">
        <v>7</v>
      </c>
      <c r="V1704" s="15">
        <f t="shared" ca="1" si="53"/>
        <v>3</v>
      </c>
    </row>
    <row r="1705" spans="1:22">
      <c r="A1705" t="s">
        <v>1938</v>
      </c>
      <c r="B1705" s="1">
        <v>41054.200381944444</v>
      </c>
      <c r="C1705" s="2">
        <v>2700</v>
      </c>
      <c r="D1705">
        <v>32400</v>
      </c>
      <c r="E1705" t="s">
        <v>1880</v>
      </c>
      <c r="F1705" s="5">
        <v>41160.941823328096</v>
      </c>
      <c r="G1705" s="5">
        <v>40700.8587378714</v>
      </c>
      <c r="H1705" s="5">
        <f ca="1">OFFSET(F1705,0,Brains!$D$1,1,1)</f>
        <v>40700.8587378714</v>
      </c>
      <c r="I1705" t="s">
        <v>1939</v>
      </c>
      <c r="J1705" t="s">
        <v>1882</v>
      </c>
      <c r="K1705" t="s">
        <v>1940</v>
      </c>
      <c r="L1705" t="s">
        <v>1940</v>
      </c>
      <c r="M1705" s="11" t="s">
        <v>3918</v>
      </c>
      <c r="N1705" t="s">
        <v>1860</v>
      </c>
      <c r="P1705" s="15" t="str">
        <f t="shared" ca="1" si="52"/>
        <v>30-49.9K</v>
      </c>
      <c r="Q1705" s="15">
        <v>5</v>
      </c>
      <c r="S1705">
        <v>4</v>
      </c>
      <c r="U1705">
        <v>7</v>
      </c>
      <c r="V1705" s="15">
        <f t="shared" ca="1" si="53"/>
        <v>3</v>
      </c>
    </row>
    <row r="1706" spans="1:22">
      <c r="A1706" t="s">
        <v>2538</v>
      </c>
      <c r="B1706" s="1">
        <v>41055.058298611111</v>
      </c>
      <c r="C1706" s="2">
        <v>40000</v>
      </c>
      <c r="D1706">
        <v>40000</v>
      </c>
      <c r="E1706" t="s">
        <v>1856</v>
      </c>
      <c r="F1706" s="5">
        <v>40000</v>
      </c>
      <c r="G1706" s="5">
        <v>40000</v>
      </c>
      <c r="H1706" s="5">
        <f ca="1">OFFSET(F1706,0,Brains!$D$1,1,1)</f>
        <v>40000</v>
      </c>
      <c r="I1706" t="s">
        <v>2539</v>
      </c>
      <c r="J1706" t="s">
        <v>1882</v>
      </c>
      <c r="K1706" t="s">
        <v>1869</v>
      </c>
      <c r="L1706" t="s">
        <v>1869</v>
      </c>
      <c r="M1706" s="11" t="s">
        <v>3918</v>
      </c>
      <c r="N1706" t="s">
        <v>1860</v>
      </c>
      <c r="P1706" s="15" t="str">
        <f t="shared" ca="1" si="52"/>
        <v>30-49.9K</v>
      </c>
      <c r="Q1706" s="15">
        <v>5</v>
      </c>
      <c r="S1706">
        <v>4</v>
      </c>
      <c r="U1706">
        <v>7</v>
      </c>
      <c r="V1706" s="15">
        <f t="shared" ca="1" si="53"/>
        <v>3</v>
      </c>
    </row>
    <row r="1707" spans="1:22">
      <c r="A1707" t="s">
        <v>2563</v>
      </c>
      <c r="B1707" s="1">
        <v>41055.061018518521</v>
      </c>
      <c r="C1707" s="2">
        <v>40000</v>
      </c>
      <c r="D1707">
        <v>40000</v>
      </c>
      <c r="E1707" t="s">
        <v>1856</v>
      </c>
      <c r="F1707" s="5">
        <v>40000</v>
      </c>
      <c r="G1707" s="5">
        <v>40000</v>
      </c>
      <c r="H1707" s="5">
        <f ca="1">OFFSET(F1707,0,Brains!$D$1,1,1)</f>
        <v>40000</v>
      </c>
      <c r="I1707" t="s">
        <v>2564</v>
      </c>
      <c r="J1707" t="s">
        <v>1882</v>
      </c>
      <c r="K1707" t="s">
        <v>1905</v>
      </c>
      <c r="L1707" t="s">
        <v>1905</v>
      </c>
      <c r="M1707" s="11" t="s">
        <v>3918</v>
      </c>
      <c r="N1707" t="s">
        <v>1860</v>
      </c>
      <c r="P1707" s="15" t="str">
        <f t="shared" ca="1" si="52"/>
        <v>30-49.9K</v>
      </c>
      <c r="Q1707" s="15">
        <v>5</v>
      </c>
      <c r="S1707">
        <v>4</v>
      </c>
      <c r="U1707">
        <v>7</v>
      </c>
      <c r="V1707" s="15">
        <f t="shared" ca="1" si="53"/>
        <v>3</v>
      </c>
    </row>
    <row r="1708" spans="1:22">
      <c r="A1708" t="s">
        <v>2607</v>
      </c>
      <c r="B1708" s="1">
        <v>41055.066377314812</v>
      </c>
      <c r="C1708" s="2">
        <v>29000</v>
      </c>
      <c r="D1708">
        <v>29000</v>
      </c>
      <c r="E1708" t="s">
        <v>1856</v>
      </c>
      <c r="F1708" s="5">
        <v>29000</v>
      </c>
      <c r="G1708" s="5">
        <v>29000</v>
      </c>
      <c r="H1708" s="5">
        <f ca="1">OFFSET(F1708,0,Brains!$D$1,1,1)</f>
        <v>29000</v>
      </c>
      <c r="I1708" t="s">
        <v>2608</v>
      </c>
      <c r="J1708" t="s">
        <v>1882</v>
      </c>
      <c r="K1708" t="s">
        <v>1869</v>
      </c>
      <c r="L1708" t="s">
        <v>1869</v>
      </c>
      <c r="M1708" s="11" t="s">
        <v>3918</v>
      </c>
      <c r="N1708" t="s">
        <v>1860</v>
      </c>
      <c r="P1708" s="15" t="str">
        <f t="shared" ca="1" si="52"/>
        <v>15-29.9K</v>
      </c>
      <c r="Q1708" s="15">
        <v>5</v>
      </c>
      <c r="S1708">
        <v>4</v>
      </c>
      <c r="U1708">
        <v>7</v>
      </c>
      <c r="V1708" s="15">
        <f t="shared" ca="1" si="53"/>
        <v>2</v>
      </c>
    </row>
    <row r="1709" spans="1:22">
      <c r="A1709" t="s">
        <v>2649</v>
      </c>
      <c r="B1709" s="1">
        <v>41055.073587962965</v>
      </c>
      <c r="C1709" s="2">
        <v>25000</v>
      </c>
      <c r="D1709">
        <v>25000</v>
      </c>
      <c r="E1709" t="s">
        <v>1856</v>
      </c>
      <c r="F1709" s="5">
        <v>25000</v>
      </c>
      <c r="G1709" s="5">
        <v>25000</v>
      </c>
      <c r="H1709" s="5">
        <f ca="1">OFFSET(F1709,0,Brains!$D$1,1,1)</f>
        <v>25000</v>
      </c>
      <c r="I1709" t="s">
        <v>1882</v>
      </c>
      <c r="J1709" t="s">
        <v>1882</v>
      </c>
      <c r="K1709" t="s">
        <v>1859</v>
      </c>
      <c r="L1709" t="s">
        <v>1859</v>
      </c>
      <c r="M1709" s="11" t="s">
        <v>3918</v>
      </c>
      <c r="N1709" t="s">
        <v>1860</v>
      </c>
      <c r="P1709" s="15" t="str">
        <f t="shared" ca="1" si="52"/>
        <v>15-29.9K</v>
      </c>
      <c r="Q1709" s="15">
        <v>5</v>
      </c>
      <c r="S1709">
        <v>4</v>
      </c>
      <c r="U1709">
        <v>7</v>
      </c>
      <c r="V1709" s="15">
        <f t="shared" ca="1" si="53"/>
        <v>2</v>
      </c>
    </row>
    <row r="1710" spans="1:22">
      <c r="A1710" t="s">
        <v>2248</v>
      </c>
      <c r="B1710" s="1">
        <v>41055.033159722225</v>
      </c>
      <c r="C1710" s="2" t="s">
        <v>2249</v>
      </c>
      <c r="D1710">
        <v>1300000</v>
      </c>
      <c r="E1710" t="s">
        <v>1908</v>
      </c>
      <c r="F1710" s="5">
        <v>23150.291693675339</v>
      </c>
      <c r="G1710" s="5">
        <v>64734.588188427442</v>
      </c>
      <c r="H1710" s="5">
        <f ca="1">OFFSET(F1710,0,Brains!$D$1,1,1)</f>
        <v>64734.588188427442</v>
      </c>
      <c r="I1710" t="s">
        <v>1882</v>
      </c>
      <c r="J1710" t="s">
        <v>1882</v>
      </c>
      <c r="K1710" t="s">
        <v>1859</v>
      </c>
      <c r="L1710" t="s">
        <v>1859</v>
      </c>
      <c r="M1710" s="11" t="s">
        <v>3918</v>
      </c>
      <c r="N1710" t="s">
        <v>1860</v>
      </c>
      <c r="P1710" s="15" t="str">
        <f t="shared" ca="1" si="52"/>
        <v>50-74.9K</v>
      </c>
      <c r="Q1710" s="15">
        <v>5</v>
      </c>
      <c r="S1710">
        <v>4</v>
      </c>
      <c r="U1710">
        <v>7</v>
      </c>
      <c r="V1710" s="15">
        <f t="shared" ca="1" si="53"/>
        <v>4</v>
      </c>
    </row>
    <row r="1711" spans="1:22">
      <c r="A1711" t="s">
        <v>2945</v>
      </c>
      <c r="B1711" s="1">
        <v>41055.167881944442</v>
      </c>
      <c r="C1711" s="2" t="s">
        <v>2946</v>
      </c>
      <c r="D1711">
        <v>23000</v>
      </c>
      <c r="E1711" t="s">
        <v>1856</v>
      </c>
      <c r="F1711" s="5">
        <v>23000</v>
      </c>
      <c r="G1711" s="5">
        <v>23000</v>
      </c>
      <c r="H1711" s="5">
        <f ca="1">OFFSET(F1711,0,Brains!$D$1,1,1)</f>
        <v>23000</v>
      </c>
      <c r="I1711" t="s">
        <v>2947</v>
      </c>
      <c r="J1711" t="s">
        <v>1882</v>
      </c>
      <c r="K1711" t="s">
        <v>1905</v>
      </c>
      <c r="L1711" t="s">
        <v>1905</v>
      </c>
      <c r="M1711" s="11" t="s">
        <v>3918</v>
      </c>
      <c r="N1711" t="s">
        <v>1860</v>
      </c>
      <c r="P1711" s="15" t="str">
        <f t="shared" ca="1" si="52"/>
        <v>15-29.9K</v>
      </c>
      <c r="Q1711" s="15">
        <v>5</v>
      </c>
      <c r="S1711">
        <v>4</v>
      </c>
      <c r="U1711">
        <v>7</v>
      </c>
      <c r="V1711" s="15">
        <f t="shared" ca="1" si="53"/>
        <v>2</v>
      </c>
    </row>
    <row r="1712" spans="1:22">
      <c r="A1712" t="s">
        <v>2581</v>
      </c>
      <c r="B1712" s="1">
        <v>41055.063680555555</v>
      </c>
      <c r="C1712" s="2" t="s">
        <v>2582</v>
      </c>
      <c r="D1712">
        <v>22000</v>
      </c>
      <c r="E1712" t="s">
        <v>1856</v>
      </c>
      <c r="F1712" s="5">
        <v>22000</v>
      </c>
      <c r="G1712" s="5">
        <v>22000</v>
      </c>
      <c r="H1712" s="5">
        <f ca="1">OFFSET(F1712,0,Brains!$D$1,1,1)</f>
        <v>22000</v>
      </c>
      <c r="I1712" t="s">
        <v>2583</v>
      </c>
      <c r="J1712" t="s">
        <v>1882</v>
      </c>
      <c r="K1712" t="s">
        <v>2123</v>
      </c>
      <c r="L1712" t="s">
        <v>2123</v>
      </c>
      <c r="M1712" s="11" t="s">
        <v>3918</v>
      </c>
      <c r="N1712" t="s">
        <v>1860</v>
      </c>
      <c r="P1712" s="15" t="str">
        <f t="shared" ca="1" si="52"/>
        <v>15-29.9K</v>
      </c>
      <c r="Q1712" s="15">
        <v>5</v>
      </c>
      <c r="S1712">
        <v>4</v>
      </c>
      <c r="U1712">
        <v>7</v>
      </c>
      <c r="V1712" s="15">
        <f t="shared" ca="1" si="53"/>
        <v>2</v>
      </c>
    </row>
    <row r="1713" spans="1:22">
      <c r="A1713" t="s">
        <v>2415</v>
      </c>
      <c r="B1713" s="1">
        <v>41055.044641203705</v>
      </c>
      <c r="C1713" s="2">
        <v>20000</v>
      </c>
      <c r="D1713">
        <v>20000</v>
      </c>
      <c r="E1713" t="s">
        <v>1856</v>
      </c>
      <c r="F1713" s="5">
        <v>20000</v>
      </c>
      <c r="G1713" s="5">
        <v>20000</v>
      </c>
      <c r="H1713" s="5">
        <f ca="1">OFFSET(F1713,0,Brains!$D$1,1,1)</f>
        <v>20000</v>
      </c>
      <c r="I1713" t="s">
        <v>2416</v>
      </c>
      <c r="J1713" t="s">
        <v>1882</v>
      </c>
      <c r="K1713" t="s">
        <v>1859</v>
      </c>
      <c r="L1713" t="s">
        <v>1859</v>
      </c>
      <c r="M1713" s="11" t="s">
        <v>3918</v>
      </c>
      <c r="N1713" t="s">
        <v>1860</v>
      </c>
      <c r="P1713" s="15" t="str">
        <f t="shared" ca="1" si="52"/>
        <v>15-29.9K</v>
      </c>
      <c r="Q1713" s="15">
        <v>5</v>
      </c>
      <c r="S1713">
        <v>4</v>
      </c>
      <c r="U1713">
        <v>7</v>
      </c>
      <c r="V1713" s="15">
        <f t="shared" ca="1" si="53"/>
        <v>2</v>
      </c>
    </row>
    <row r="1714" spans="1:22">
      <c r="A1714" t="s">
        <v>2269</v>
      </c>
      <c r="B1714" s="1">
        <v>41055.033993055556</v>
      </c>
      <c r="C1714" s="2" t="s">
        <v>2270</v>
      </c>
      <c r="D1714">
        <v>1100000</v>
      </c>
      <c r="E1714" t="s">
        <v>1908</v>
      </c>
      <c r="F1714" s="5">
        <v>19588.708356186824</v>
      </c>
      <c r="G1714" s="5">
        <v>54775.420774823222</v>
      </c>
      <c r="H1714" s="5">
        <f ca="1">OFFSET(F1714,0,Brains!$D$1,1,1)</f>
        <v>54775.420774823222</v>
      </c>
      <c r="I1714" t="s">
        <v>2271</v>
      </c>
      <c r="J1714" t="s">
        <v>1882</v>
      </c>
      <c r="K1714" t="s">
        <v>1859</v>
      </c>
      <c r="L1714" t="s">
        <v>1859</v>
      </c>
      <c r="M1714" s="11" t="s">
        <v>3918</v>
      </c>
      <c r="N1714" t="s">
        <v>1860</v>
      </c>
      <c r="P1714" s="15" t="str">
        <f t="shared" ca="1" si="52"/>
        <v>50-74.9K</v>
      </c>
      <c r="Q1714" s="15">
        <v>5</v>
      </c>
      <c r="S1714">
        <v>4</v>
      </c>
      <c r="U1714">
        <v>7</v>
      </c>
      <c r="V1714" s="15">
        <f t="shared" ca="1" si="53"/>
        <v>4</v>
      </c>
    </row>
    <row r="1715" spans="1:22">
      <c r="A1715" t="s">
        <v>2822</v>
      </c>
      <c r="B1715" s="1">
        <v>41055.113437499997</v>
      </c>
      <c r="C1715" s="2">
        <v>1100000</v>
      </c>
      <c r="D1715">
        <v>1100000</v>
      </c>
      <c r="E1715" t="s">
        <v>1908</v>
      </c>
      <c r="F1715" s="5">
        <v>19588.708356186824</v>
      </c>
      <c r="G1715" s="5">
        <v>54775.420774823222</v>
      </c>
      <c r="H1715" s="5">
        <f ca="1">OFFSET(F1715,0,Brains!$D$1,1,1)</f>
        <v>54775.420774823222</v>
      </c>
      <c r="I1715" t="s">
        <v>2823</v>
      </c>
      <c r="J1715" t="s">
        <v>1882</v>
      </c>
      <c r="K1715" t="s">
        <v>1859</v>
      </c>
      <c r="L1715" t="s">
        <v>1859</v>
      </c>
      <c r="M1715" s="11" t="s">
        <v>3918</v>
      </c>
      <c r="N1715" t="s">
        <v>1860</v>
      </c>
      <c r="P1715" s="15" t="str">
        <f t="shared" ca="1" si="52"/>
        <v>50-74.9K</v>
      </c>
      <c r="Q1715" s="15">
        <v>5</v>
      </c>
      <c r="S1715">
        <v>4</v>
      </c>
      <c r="U1715">
        <v>7</v>
      </c>
      <c r="V1715" s="15">
        <f t="shared" ca="1" si="53"/>
        <v>4</v>
      </c>
    </row>
    <row r="1716" spans="1:22">
      <c r="A1716" t="s">
        <v>1930</v>
      </c>
      <c r="B1716" s="1">
        <v>41054.188668981478</v>
      </c>
      <c r="C1716" s="2">
        <v>1000000</v>
      </c>
      <c r="D1716">
        <v>1000000</v>
      </c>
      <c r="E1716" t="s">
        <v>1908</v>
      </c>
      <c r="F1716" s="5">
        <v>17807.916687442568</v>
      </c>
      <c r="G1716" s="5">
        <v>49795.837068021116</v>
      </c>
      <c r="H1716" s="5">
        <f ca="1">OFFSET(F1716,0,Brains!$D$1,1,1)</f>
        <v>49795.837068021116</v>
      </c>
      <c r="I1716" t="s">
        <v>1882</v>
      </c>
      <c r="J1716" t="s">
        <v>1882</v>
      </c>
      <c r="K1716" t="s">
        <v>1859</v>
      </c>
      <c r="L1716" t="s">
        <v>1859</v>
      </c>
      <c r="M1716" s="11" t="s">
        <v>3918</v>
      </c>
      <c r="N1716" t="s">
        <v>1860</v>
      </c>
      <c r="P1716" s="15" t="str">
        <f t="shared" ca="1" si="52"/>
        <v>30-49.9K</v>
      </c>
      <c r="Q1716" s="15">
        <v>5</v>
      </c>
      <c r="S1716">
        <v>4</v>
      </c>
      <c r="U1716">
        <v>7</v>
      </c>
      <c r="V1716" s="15">
        <f t="shared" ca="1" si="53"/>
        <v>3</v>
      </c>
    </row>
    <row r="1717" spans="1:22">
      <c r="A1717" t="s">
        <v>2561</v>
      </c>
      <c r="B1717" s="1">
        <v>41055.060925925929</v>
      </c>
      <c r="C1717" s="2" t="s">
        <v>2562</v>
      </c>
      <c r="D1717">
        <v>1000000</v>
      </c>
      <c r="E1717" t="s">
        <v>1908</v>
      </c>
      <c r="F1717" s="5">
        <v>17807.916687442568</v>
      </c>
      <c r="G1717" s="5">
        <v>49795.837068021116</v>
      </c>
      <c r="H1717" s="5">
        <f ca="1">OFFSET(F1717,0,Brains!$D$1,1,1)</f>
        <v>49795.837068021116</v>
      </c>
      <c r="I1717" t="s">
        <v>1882</v>
      </c>
      <c r="J1717" t="s">
        <v>1882</v>
      </c>
      <c r="K1717" t="s">
        <v>1859</v>
      </c>
      <c r="L1717" t="s">
        <v>1859</v>
      </c>
      <c r="M1717" s="11" t="s">
        <v>3918</v>
      </c>
      <c r="N1717" t="s">
        <v>1860</v>
      </c>
      <c r="P1717" s="15" t="str">
        <f t="shared" ca="1" si="52"/>
        <v>30-49.9K</v>
      </c>
      <c r="Q1717" s="15">
        <v>5</v>
      </c>
      <c r="S1717">
        <v>4</v>
      </c>
      <c r="U1717">
        <v>7</v>
      </c>
      <c r="V1717" s="15">
        <f t="shared" ca="1" si="53"/>
        <v>3</v>
      </c>
    </row>
    <row r="1718" spans="1:22">
      <c r="A1718" t="s">
        <v>2984</v>
      </c>
      <c r="B1718" s="1">
        <v>41055.192164351851</v>
      </c>
      <c r="C1718" s="2">
        <v>15000</v>
      </c>
      <c r="D1718">
        <v>15000</v>
      </c>
      <c r="E1718" t="s">
        <v>1856</v>
      </c>
      <c r="F1718" s="5">
        <v>15000</v>
      </c>
      <c r="G1718" s="5">
        <v>15000</v>
      </c>
      <c r="H1718" s="5">
        <f ca="1">OFFSET(F1718,0,Brains!$D$1,1,1)</f>
        <v>15000</v>
      </c>
      <c r="I1718" t="s">
        <v>2985</v>
      </c>
      <c r="J1718" t="s">
        <v>1882</v>
      </c>
      <c r="K1718" t="s">
        <v>1859</v>
      </c>
      <c r="L1718" t="s">
        <v>1859</v>
      </c>
      <c r="M1718" s="11" t="s">
        <v>3918</v>
      </c>
      <c r="N1718" t="s">
        <v>1860</v>
      </c>
      <c r="P1718" s="15" t="str">
        <f t="shared" ca="1" si="52"/>
        <v>15-29.9K</v>
      </c>
      <c r="Q1718" s="15">
        <v>5</v>
      </c>
      <c r="S1718">
        <v>4</v>
      </c>
      <c r="U1718">
        <v>7</v>
      </c>
      <c r="V1718" s="15">
        <f t="shared" ca="1" si="53"/>
        <v>2</v>
      </c>
    </row>
    <row r="1719" spans="1:22">
      <c r="A1719" t="s">
        <v>1927</v>
      </c>
      <c r="B1719" s="1">
        <v>41054.183344907404</v>
      </c>
      <c r="C1719" s="2">
        <v>13500</v>
      </c>
      <c r="D1719">
        <v>13500</v>
      </c>
      <c r="E1719" t="s">
        <v>1856</v>
      </c>
      <c r="F1719" s="5">
        <v>13500</v>
      </c>
      <c r="G1719" s="5">
        <v>13500</v>
      </c>
      <c r="H1719" s="5">
        <f ca="1">OFFSET(F1719,0,Brains!$D$1,1,1)</f>
        <v>13500</v>
      </c>
      <c r="I1719" t="s">
        <v>1928</v>
      </c>
      <c r="J1719" t="s">
        <v>1882</v>
      </c>
      <c r="K1719" t="s">
        <v>1859</v>
      </c>
      <c r="L1719" t="s">
        <v>1859</v>
      </c>
      <c r="M1719" s="11" t="s">
        <v>3918</v>
      </c>
      <c r="N1719" t="s">
        <v>1860</v>
      </c>
      <c r="P1719" s="15" t="str">
        <f t="shared" ca="1" si="52"/>
        <v>0-14.9K</v>
      </c>
      <c r="Q1719" s="15">
        <v>5</v>
      </c>
      <c r="S1719">
        <v>4</v>
      </c>
      <c r="U1719">
        <v>7</v>
      </c>
      <c r="V1719" s="15">
        <f t="shared" ca="1" si="53"/>
        <v>1</v>
      </c>
    </row>
    <row r="1720" spans="1:22">
      <c r="A1720" t="s">
        <v>1944</v>
      </c>
      <c r="B1720" s="1">
        <v>41054.205266203702</v>
      </c>
      <c r="C1720" s="2" t="s">
        <v>1945</v>
      </c>
      <c r="D1720">
        <v>600000</v>
      </c>
      <c r="E1720" t="s">
        <v>1908</v>
      </c>
      <c r="F1720" s="5">
        <v>10684.750012465542</v>
      </c>
      <c r="G1720" s="5">
        <v>29877.502240812668</v>
      </c>
      <c r="H1720" s="5">
        <f ca="1">OFFSET(F1720,0,Brains!$D$1,1,1)</f>
        <v>29877.502240812668</v>
      </c>
      <c r="I1720" t="s">
        <v>1946</v>
      </c>
      <c r="J1720" t="s">
        <v>1882</v>
      </c>
      <c r="K1720" t="s">
        <v>1859</v>
      </c>
      <c r="L1720" t="s">
        <v>1859</v>
      </c>
      <c r="M1720" s="11" t="s">
        <v>3918</v>
      </c>
      <c r="N1720" t="s">
        <v>1860</v>
      </c>
      <c r="P1720" s="15" t="str">
        <f t="shared" ca="1" si="52"/>
        <v>15-29.9K</v>
      </c>
      <c r="Q1720" s="15">
        <v>5</v>
      </c>
      <c r="S1720">
        <v>4</v>
      </c>
      <c r="U1720">
        <v>7</v>
      </c>
      <c r="V1720" s="15">
        <f t="shared" ca="1" si="53"/>
        <v>2</v>
      </c>
    </row>
    <row r="1721" spans="1:22">
      <c r="A1721" t="s">
        <v>2958</v>
      </c>
      <c r="B1721" s="1">
        <v>41055.176319444443</v>
      </c>
      <c r="C1721" s="2" t="s">
        <v>2959</v>
      </c>
      <c r="D1721">
        <v>600000</v>
      </c>
      <c r="E1721" t="s">
        <v>1908</v>
      </c>
      <c r="F1721" s="5">
        <v>10684.750012465542</v>
      </c>
      <c r="G1721" s="5">
        <v>29877.502240812668</v>
      </c>
      <c r="H1721" s="5">
        <f ca="1">OFFSET(F1721,0,Brains!$D$1,1,1)</f>
        <v>29877.502240812668</v>
      </c>
      <c r="I1721" t="s">
        <v>2960</v>
      </c>
      <c r="J1721" t="s">
        <v>1882</v>
      </c>
      <c r="K1721" t="s">
        <v>1859</v>
      </c>
      <c r="L1721" t="s">
        <v>1859</v>
      </c>
      <c r="M1721" s="11" t="s">
        <v>3918</v>
      </c>
      <c r="N1721" t="s">
        <v>1860</v>
      </c>
      <c r="P1721" s="15" t="str">
        <f t="shared" ca="1" si="52"/>
        <v>15-29.9K</v>
      </c>
      <c r="Q1721" s="15">
        <v>5</v>
      </c>
      <c r="S1721">
        <v>4</v>
      </c>
      <c r="U1721">
        <v>7</v>
      </c>
      <c r="V1721" s="15">
        <f t="shared" ca="1" si="53"/>
        <v>2</v>
      </c>
    </row>
    <row r="1722" spans="1:22">
      <c r="A1722" t="s">
        <v>2992</v>
      </c>
      <c r="B1722" s="1">
        <v>41055.20040509259</v>
      </c>
      <c r="C1722" s="2">
        <v>600000</v>
      </c>
      <c r="D1722">
        <v>600000</v>
      </c>
      <c r="E1722" t="s">
        <v>1908</v>
      </c>
      <c r="F1722" s="5">
        <v>10684.750012465542</v>
      </c>
      <c r="G1722" s="5">
        <v>29877.502240812668</v>
      </c>
      <c r="H1722" s="5">
        <f ca="1">OFFSET(F1722,0,Brains!$D$1,1,1)</f>
        <v>29877.502240812668</v>
      </c>
      <c r="I1722" t="s">
        <v>2184</v>
      </c>
      <c r="J1722" t="s">
        <v>1882</v>
      </c>
      <c r="K1722" t="s">
        <v>1859</v>
      </c>
      <c r="L1722" t="s">
        <v>1859</v>
      </c>
      <c r="M1722" s="11" t="s">
        <v>3918</v>
      </c>
      <c r="N1722" t="s">
        <v>1860</v>
      </c>
      <c r="P1722" s="15" t="str">
        <f t="shared" ca="1" si="52"/>
        <v>15-29.9K</v>
      </c>
      <c r="Q1722" s="15">
        <v>5</v>
      </c>
      <c r="S1722">
        <v>4</v>
      </c>
      <c r="U1722">
        <v>7</v>
      </c>
      <c r="V1722" s="15">
        <f t="shared" ca="1" si="53"/>
        <v>2</v>
      </c>
    </row>
    <row r="1723" spans="1:22">
      <c r="A1723" t="s">
        <v>2465</v>
      </c>
      <c r="B1723" s="1">
        <v>41055.049259259256</v>
      </c>
      <c r="C1723" s="2" t="s">
        <v>2466</v>
      </c>
      <c r="D1723">
        <v>420000</v>
      </c>
      <c r="E1723" t="s">
        <v>2467</v>
      </c>
      <c r="F1723" s="5">
        <v>9956.1219482708348</v>
      </c>
      <c r="G1723" s="5">
        <v>16476.403436507</v>
      </c>
      <c r="H1723" s="5">
        <f ca="1">OFFSET(F1723,0,Brains!$D$1,1,1)</f>
        <v>16476.403436507</v>
      </c>
      <c r="I1723" t="s">
        <v>2468</v>
      </c>
      <c r="J1723" t="s">
        <v>1882</v>
      </c>
      <c r="K1723" t="s">
        <v>2469</v>
      </c>
      <c r="L1723" t="s">
        <v>2469</v>
      </c>
      <c r="M1723" s="11" t="s">
        <v>3918</v>
      </c>
      <c r="N1723" t="s">
        <v>1860</v>
      </c>
      <c r="P1723" s="15" t="str">
        <f t="shared" ca="1" si="52"/>
        <v>15-29.9K</v>
      </c>
      <c r="Q1723" s="15">
        <v>5</v>
      </c>
      <c r="S1723">
        <v>4</v>
      </c>
      <c r="U1723">
        <v>7</v>
      </c>
      <c r="V1723" s="15">
        <f t="shared" ca="1" si="53"/>
        <v>2</v>
      </c>
    </row>
    <row r="1724" spans="1:22">
      <c r="A1724" t="s">
        <v>2359</v>
      </c>
      <c r="B1724" s="1">
        <v>41055.039826388886</v>
      </c>
      <c r="C1724" s="2" t="s">
        <v>2360</v>
      </c>
      <c r="D1724">
        <v>500000</v>
      </c>
      <c r="E1724" t="s">
        <v>1908</v>
      </c>
      <c r="F1724" s="5">
        <v>8903.9583437212841</v>
      </c>
      <c r="G1724" s="5">
        <v>24897.918534010558</v>
      </c>
      <c r="H1724" s="5">
        <f ca="1">OFFSET(F1724,0,Brains!$D$1,1,1)</f>
        <v>24897.918534010558</v>
      </c>
      <c r="I1724" t="s">
        <v>2184</v>
      </c>
      <c r="J1724" t="s">
        <v>1882</v>
      </c>
      <c r="K1724" t="s">
        <v>1859</v>
      </c>
      <c r="L1724" t="s">
        <v>1859</v>
      </c>
      <c r="M1724" s="11" t="s">
        <v>3918</v>
      </c>
      <c r="N1724" t="s">
        <v>1860</v>
      </c>
      <c r="P1724" s="15" t="str">
        <f t="shared" ca="1" si="52"/>
        <v>15-29.9K</v>
      </c>
      <c r="Q1724" s="15">
        <v>5</v>
      </c>
      <c r="S1724">
        <v>4</v>
      </c>
      <c r="U1724">
        <v>7</v>
      </c>
      <c r="V1724" s="15">
        <f t="shared" ca="1" si="53"/>
        <v>2</v>
      </c>
    </row>
    <row r="1725" spans="1:22">
      <c r="A1725" t="s">
        <v>2370</v>
      </c>
      <c r="B1725" s="1">
        <v>41055.040312500001</v>
      </c>
      <c r="C1725" s="2">
        <v>480000</v>
      </c>
      <c r="D1725">
        <v>480000</v>
      </c>
      <c r="E1725" t="s">
        <v>1908</v>
      </c>
      <c r="F1725" s="5">
        <v>8547.8000099724322</v>
      </c>
      <c r="G1725" s="5">
        <v>23902.001792650135</v>
      </c>
      <c r="H1725" s="5">
        <f ca="1">OFFSET(F1725,0,Brains!$D$1,1,1)</f>
        <v>23902.001792650135</v>
      </c>
      <c r="I1725" t="s">
        <v>2371</v>
      </c>
      <c r="J1725" t="s">
        <v>1882</v>
      </c>
      <c r="K1725" t="s">
        <v>1859</v>
      </c>
      <c r="L1725" t="s">
        <v>1859</v>
      </c>
      <c r="M1725" s="11" t="s">
        <v>3918</v>
      </c>
      <c r="N1725" t="s">
        <v>1860</v>
      </c>
      <c r="P1725" s="15" t="str">
        <f t="shared" ca="1" si="52"/>
        <v>15-29.9K</v>
      </c>
      <c r="Q1725" s="15">
        <v>5</v>
      </c>
      <c r="S1725">
        <v>4</v>
      </c>
      <c r="U1725">
        <v>7</v>
      </c>
      <c r="V1725" s="15">
        <f t="shared" ca="1" si="53"/>
        <v>2</v>
      </c>
    </row>
    <row r="1726" spans="1:22">
      <c r="A1726" t="s">
        <v>2961</v>
      </c>
      <c r="B1726" s="1">
        <v>41055.176701388889</v>
      </c>
      <c r="C1726" s="2">
        <v>8400</v>
      </c>
      <c r="D1726">
        <v>8400</v>
      </c>
      <c r="E1726" t="s">
        <v>1856</v>
      </c>
      <c r="F1726" s="5">
        <v>8400</v>
      </c>
      <c r="G1726" s="5">
        <v>8400</v>
      </c>
      <c r="H1726" s="5">
        <f ca="1">OFFSET(F1726,0,Brains!$D$1,1,1)</f>
        <v>8400</v>
      </c>
      <c r="I1726" t="s">
        <v>1882</v>
      </c>
      <c r="J1726" t="s">
        <v>1882</v>
      </c>
      <c r="K1726" t="s">
        <v>1859</v>
      </c>
      <c r="L1726" t="s">
        <v>1859</v>
      </c>
      <c r="M1726" s="11" t="s">
        <v>3918</v>
      </c>
      <c r="N1726" t="s">
        <v>1860</v>
      </c>
      <c r="P1726" s="15" t="str">
        <f t="shared" ca="1" si="52"/>
        <v>0-14.9K</v>
      </c>
      <c r="Q1726" s="15">
        <v>5</v>
      </c>
      <c r="S1726">
        <v>4</v>
      </c>
      <c r="U1726">
        <v>7</v>
      </c>
      <c r="V1726" s="15">
        <f t="shared" ca="1" si="53"/>
        <v>1</v>
      </c>
    </row>
    <row r="1727" spans="1:22">
      <c r="A1727" t="s">
        <v>1969</v>
      </c>
      <c r="B1727" s="1">
        <v>41054.217939814815</v>
      </c>
      <c r="C1727" s="2" t="s">
        <v>1970</v>
      </c>
      <c r="D1727">
        <v>400000</v>
      </c>
      <c r="E1727" t="s">
        <v>1908</v>
      </c>
      <c r="F1727" s="5">
        <v>7123.1666749770275</v>
      </c>
      <c r="G1727" s="5">
        <v>19918.334827208444</v>
      </c>
      <c r="H1727" s="5">
        <f ca="1">OFFSET(F1727,0,Brains!$D$1,1,1)</f>
        <v>19918.334827208444</v>
      </c>
      <c r="I1727" t="s">
        <v>1971</v>
      </c>
      <c r="J1727" t="s">
        <v>1882</v>
      </c>
      <c r="K1727" t="s">
        <v>1859</v>
      </c>
      <c r="L1727" t="s">
        <v>1859</v>
      </c>
      <c r="M1727" s="11" t="s">
        <v>3918</v>
      </c>
      <c r="N1727" t="s">
        <v>1860</v>
      </c>
      <c r="P1727" s="15" t="str">
        <f t="shared" ca="1" si="52"/>
        <v>15-29.9K</v>
      </c>
      <c r="Q1727" s="15">
        <v>5</v>
      </c>
      <c r="S1727">
        <v>4</v>
      </c>
      <c r="U1727">
        <v>7</v>
      </c>
      <c r="V1727" s="15">
        <f t="shared" ca="1" si="53"/>
        <v>2</v>
      </c>
    </row>
    <row r="1728" spans="1:22">
      <c r="A1728" t="s">
        <v>2819</v>
      </c>
      <c r="B1728" s="1">
        <v>41055.11273148148</v>
      </c>
      <c r="C1728" s="2" t="s">
        <v>2820</v>
      </c>
      <c r="D1728">
        <v>300000</v>
      </c>
      <c r="E1728" t="s">
        <v>1908</v>
      </c>
      <c r="F1728" s="5">
        <v>5342.3750062327708</v>
      </c>
      <c r="G1728" s="5">
        <v>14938.751120406334</v>
      </c>
      <c r="H1728" s="5">
        <f ca="1">OFFSET(F1728,0,Brains!$D$1,1,1)</f>
        <v>14938.751120406334</v>
      </c>
      <c r="I1728" t="s">
        <v>2821</v>
      </c>
      <c r="J1728" t="s">
        <v>1882</v>
      </c>
      <c r="K1728" t="s">
        <v>1859</v>
      </c>
      <c r="L1728" t="s">
        <v>1859</v>
      </c>
      <c r="M1728" s="11" t="s">
        <v>3918</v>
      </c>
      <c r="N1728" t="s">
        <v>1860</v>
      </c>
      <c r="P1728" s="15" t="str">
        <f t="shared" ca="1" si="52"/>
        <v>0-14.9K</v>
      </c>
      <c r="Q1728" s="15">
        <v>5</v>
      </c>
      <c r="S1728">
        <v>4</v>
      </c>
      <c r="U1728">
        <v>7</v>
      </c>
      <c r="V1728" s="15">
        <f t="shared" ca="1" si="53"/>
        <v>1</v>
      </c>
    </row>
    <row r="1729" spans="1:22">
      <c r="A1729" t="s">
        <v>2510</v>
      </c>
      <c r="B1729" s="1">
        <v>41055.055289351854</v>
      </c>
      <c r="C1729" s="2" t="s">
        <v>2511</v>
      </c>
      <c r="D1729">
        <v>180000</v>
      </c>
      <c r="E1729" t="s">
        <v>1908</v>
      </c>
      <c r="F1729" s="5">
        <v>3205.4250037396623</v>
      </c>
      <c r="G1729" s="5">
        <v>8963.2506722437993</v>
      </c>
      <c r="H1729" s="5">
        <f ca="1">OFFSET(F1729,0,Brains!$D$1,1,1)</f>
        <v>8963.2506722437993</v>
      </c>
      <c r="I1729" t="s">
        <v>2512</v>
      </c>
      <c r="J1729" t="s">
        <v>1882</v>
      </c>
      <c r="K1729" t="s">
        <v>1859</v>
      </c>
      <c r="L1729" t="s">
        <v>1859</v>
      </c>
      <c r="M1729" s="11" t="s">
        <v>3918</v>
      </c>
      <c r="N1729" t="s">
        <v>1860</v>
      </c>
      <c r="P1729" s="15" t="str">
        <f t="shared" ca="1" si="52"/>
        <v>0-14.9K</v>
      </c>
      <c r="Q1729" s="15">
        <v>5</v>
      </c>
      <c r="S1729">
        <v>4</v>
      </c>
      <c r="U1729">
        <v>7</v>
      </c>
      <c r="V1729" s="15">
        <f t="shared" ca="1" si="53"/>
        <v>1</v>
      </c>
    </row>
    <row r="1730" spans="1:22">
      <c r="A1730" t="s">
        <v>2602</v>
      </c>
      <c r="B1730" s="1">
        <v>41055.065995370373</v>
      </c>
      <c r="C1730" s="2">
        <v>135000</v>
      </c>
      <c r="D1730">
        <v>135000</v>
      </c>
      <c r="E1730" t="s">
        <v>1856</v>
      </c>
      <c r="F1730" s="5">
        <v>135000</v>
      </c>
      <c r="G1730" s="5">
        <v>135000</v>
      </c>
      <c r="H1730" s="5">
        <f ca="1">OFFSET(F1730,0,Brains!$D$1,1,1)</f>
        <v>135000</v>
      </c>
      <c r="I1730" t="s">
        <v>2603</v>
      </c>
      <c r="J1730" t="s">
        <v>1882</v>
      </c>
      <c r="K1730" t="s">
        <v>1869</v>
      </c>
      <c r="L1730" t="s">
        <v>1869</v>
      </c>
      <c r="M1730" t="s">
        <v>3941</v>
      </c>
      <c r="N1730" t="s">
        <v>1866</v>
      </c>
      <c r="P1730" s="15" t="str">
        <f t="shared" ref="P1730:P1793" ca="1" si="54">IF(H1730&lt;15000,"0-14.9K",IF(H1730&lt;30000,"15-29.9K",IF(H1730&lt;50000,"30-49.9K",IF(H1730&lt;75000,"50-74.9K",IF(H1730&lt;100000,"75-99.9K",IF(H1730&lt;150000,"100-149.9K",IF(H1730&lt;250000,"150-249.9K","250K+")))))))</f>
        <v>100-149.9K</v>
      </c>
      <c r="Q1730" s="15">
        <v>8</v>
      </c>
      <c r="S1730">
        <v>5</v>
      </c>
      <c r="U1730">
        <v>7</v>
      </c>
      <c r="V1730" s="15">
        <f t="shared" ref="V1730:V1793" ca="1" si="55">IF(H1730&lt;15000,1,IF(H1730&lt;30000,2,IF(H1730&lt;50000,3,IF(H1730&lt;75000,4,IF(H1730&lt;100000,5,IF(H1730&lt;150000,6,IF(H1730&lt;250000,7,8)))))))</f>
        <v>6</v>
      </c>
    </row>
    <row r="1731" spans="1:22">
      <c r="A1731" t="s">
        <v>2165</v>
      </c>
      <c r="B1731" s="1">
        <v>41055.02925925926</v>
      </c>
      <c r="C1731" s="2">
        <v>128000</v>
      </c>
      <c r="D1731">
        <v>128000</v>
      </c>
      <c r="E1731" t="s">
        <v>1856</v>
      </c>
      <c r="F1731" s="5">
        <v>128000</v>
      </c>
      <c r="G1731" s="5">
        <v>128000</v>
      </c>
      <c r="H1731" s="5">
        <f ca="1">OFFSET(F1731,0,Brains!$D$1,1,1)</f>
        <v>128000</v>
      </c>
      <c r="I1731" t="s">
        <v>2166</v>
      </c>
      <c r="J1731" t="s">
        <v>1882</v>
      </c>
      <c r="K1731" t="s">
        <v>1869</v>
      </c>
      <c r="L1731" t="s">
        <v>1869</v>
      </c>
      <c r="M1731" t="s">
        <v>3941</v>
      </c>
      <c r="N1731" t="s">
        <v>1866</v>
      </c>
      <c r="P1731" s="15" t="str">
        <f t="shared" ca="1" si="54"/>
        <v>100-149.9K</v>
      </c>
      <c r="Q1731" s="15">
        <v>8</v>
      </c>
      <c r="S1731">
        <v>5</v>
      </c>
      <c r="U1731">
        <v>7</v>
      </c>
      <c r="V1731" s="15">
        <f t="shared" ca="1" si="55"/>
        <v>6</v>
      </c>
    </row>
    <row r="1732" spans="1:22">
      <c r="A1732" t="s">
        <v>2325</v>
      </c>
      <c r="B1732" s="1">
        <v>41055.037291666667</v>
      </c>
      <c r="C1732" s="2">
        <v>100000</v>
      </c>
      <c r="D1732">
        <v>100000</v>
      </c>
      <c r="E1732" t="s">
        <v>1856</v>
      </c>
      <c r="F1732" s="5">
        <v>100000</v>
      </c>
      <c r="G1732" s="5">
        <v>100000</v>
      </c>
      <c r="H1732" s="5">
        <f ca="1">OFFSET(F1732,0,Brains!$D$1,1,1)</f>
        <v>100000</v>
      </c>
      <c r="I1732" t="s">
        <v>2326</v>
      </c>
      <c r="J1732" t="s">
        <v>1882</v>
      </c>
      <c r="K1732" t="s">
        <v>1869</v>
      </c>
      <c r="L1732" t="s">
        <v>1869</v>
      </c>
      <c r="M1732" t="s">
        <v>3941</v>
      </c>
      <c r="N1732" t="s">
        <v>1866</v>
      </c>
      <c r="P1732" s="15" t="str">
        <f t="shared" ca="1" si="54"/>
        <v>100-149.9K</v>
      </c>
      <c r="Q1732" s="15">
        <v>8</v>
      </c>
      <c r="S1732">
        <v>5</v>
      </c>
      <c r="U1732">
        <v>7</v>
      </c>
      <c r="V1732" s="15">
        <f t="shared" ca="1" si="55"/>
        <v>6</v>
      </c>
    </row>
    <row r="1733" spans="1:22">
      <c r="A1733" t="s">
        <v>2453</v>
      </c>
      <c r="B1733" s="1">
        <v>41055.04792824074</v>
      </c>
      <c r="C1733" s="2">
        <v>76000</v>
      </c>
      <c r="D1733">
        <v>76000</v>
      </c>
      <c r="E1733" t="s">
        <v>1856</v>
      </c>
      <c r="F1733" s="5">
        <v>76000</v>
      </c>
      <c r="G1733" s="5">
        <v>76000</v>
      </c>
      <c r="H1733" s="5">
        <f ca="1">OFFSET(F1733,0,Brains!$D$1,1,1)</f>
        <v>76000</v>
      </c>
      <c r="I1733" t="s">
        <v>2454</v>
      </c>
      <c r="J1733" t="s">
        <v>1882</v>
      </c>
      <c r="K1733" t="s">
        <v>1869</v>
      </c>
      <c r="L1733" t="s">
        <v>1869</v>
      </c>
      <c r="M1733" t="s">
        <v>3941</v>
      </c>
      <c r="N1733" t="s">
        <v>1866</v>
      </c>
      <c r="P1733" s="15" t="str">
        <f t="shared" ca="1" si="54"/>
        <v>75-99.9K</v>
      </c>
      <c r="Q1733" s="15">
        <v>8</v>
      </c>
      <c r="S1733">
        <v>5</v>
      </c>
      <c r="U1733">
        <v>7</v>
      </c>
      <c r="V1733" s="15">
        <f t="shared" ca="1" si="55"/>
        <v>5</v>
      </c>
    </row>
    <row r="1734" spans="1:22">
      <c r="A1734" t="s">
        <v>2045</v>
      </c>
      <c r="B1734" s="1">
        <v>41054.953101851854</v>
      </c>
      <c r="C1734" s="2">
        <v>75000</v>
      </c>
      <c r="D1734">
        <v>75000</v>
      </c>
      <c r="E1734" t="s">
        <v>1856</v>
      </c>
      <c r="F1734" s="5">
        <v>75000</v>
      </c>
      <c r="G1734" s="5">
        <v>75000</v>
      </c>
      <c r="H1734" s="5">
        <f ca="1">OFFSET(F1734,0,Brains!$D$1,1,1)</f>
        <v>75000</v>
      </c>
      <c r="I1734" t="s">
        <v>2046</v>
      </c>
      <c r="J1734" t="s">
        <v>1882</v>
      </c>
      <c r="K1734" t="s">
        <v>1869</v>
      </c>
      <c r="L1734" t="s">
        <v>1869</v>
      </c>
      <c r="M1734" t="s">
        <v>3941</v>
      </c>
      <c r="N1734" t="s">
        <v>1866</v>
      </c>
      <c r="P1734" s="15" t="str">
        <f t="shared" ca="1" si="54"/>
        <v>75-99.9K</v>
      </c>
      <c r="Q1734" s="15">
        <v>8</v>
      </c>
      <c r="S1734">
        <v>5</v>
      </c>
      <c r="U1734">
        <v>7</v>
      </c>
      <c r="V1734" s="15">
        <f t="shared" ca="1" si="55"/>
        <v>5</v>
      </c>
    </row>
    <row r="1735" spans="1:22">
      <c r="A1735" t="s">
        <v>2494</v>
      </c>
      <c r="B1735" s="1">
        <v>41055.054120370369</v>
      </c>
      <c r="C1735" s="2">
        <v>68000</v>
      </c>
      <c r="D1735">
        <v>68000</v>
      </c>
      <c r="E1735" t="s">
        <v>1856</v>
      </c>
      <c r="F1735" s="5">
        <v>68000</v>
      </c>
      <c r="G1735" s="5">
        <v>68000</v>
      </c>
      <c r="H1735" s="5">
        <f ca="1">OFFSET(F1735,0,Brains!$D$1,1,1)</f>
        <v>68000</v>
      </c>
      <c r="I1735" t="s">
        <v>2495</v>
      </c>
      <c r="J1735" t="s">
        <v>1882</v>
      </c>
      <c r="K1735" t="s">
        <v>1869</v>
      </c>
      <c r="L1735" t="s">
        <v>1869</v>
      </c>
      <c r="M1735" t="s">
        <v>3941</v>
      </c>
      <c r="N1735" t="s">
        <v>1866</v>
      </c>
      <c r="P1735" s="15" t="str">
        <f t="shared" ca="1" si="54"/>
        <v>50-74.9K</v>
      </c>
      <c r="Q1735" s="15">
        <v>8</v>
      </c>
      <c r="S1735">
        <v>5</v>
      </c>
      <c r="U1735">
        <v>7</v>
      </c>
      <c r="V1735" s="15">
        <f t="shared" ca="1" si="55"/>
        <v>4</v>
      </c>
    </row>
    <row r="1736" spans="1:22">
      <c r="A1736" t="s">
        <v>2966</v>
      </c>
      <c r="B1736" s="1">
        <v>41055.179340277777</v>
      </c>
      <c r="C1736" s="2">
        <v>65000</v>
      </c>
      <c r="D1736">
        <v>65000</v>
      </c>
      <c r="E1736" t="s">
        <v>1856</v>
      </c>
      <c r="F1736" s="5">
        <v>65000</v>
      </c>
      <c r="G1736" s="5">
        <v>65000</v>
      </c>
      <c r="H1736" s="5">
        <f ca="1">OFFSET(F1736,0,Brains!$D$1,1,1)</f>
        <v>65000</v>
      </c>
      <c r="I1736" t="s">
        <v>2967</v>
      </c>
      <c r="J1736" t="s">
        <v>1882</v>
      </c>
      <c r="K1736" t="s">
        <v>1869</v>
      </c>
      <c r="L1736" t="s">
        <v>1869</v>
      </c>
      <c r="M1736" t="s">
        <v>3941</v>
      </c>
      <c r="N1736" t="s">
        <v>1866</v>
      </c>
      <c r="P1736" s="15" t="str">
        <f t="shared" ca="1" si="54"/>
        <v>50-74.9K</v>
      </c>
      <c r="Q1736" s="15">
        <v>8</v>
      </c>
      <c r="S1736">
        <v>5</v>
      </c>
      <c r="U1736">
        <v>7</v>
      </c>
      <c r="V1736" s="15">
        <f t="shared" ca="1" si="55"/>
        <v>4</v>
      </c>
    </row>
    <row r="1737" spans="1:22">
      <c r="A1737" t="s">
        <v>2513</v>
      </c>
      <c r="B1737" s="1">
        <v>41055.055567129632</v>
      </c>
      <c r="C1737" s="2">
        <v>60000</v>
      </c>
      <c r="D1737">
        <v>60000</v>
      </c>
      <c r="E1737" t="s">
        <v>1856</v>
      </c>
      <c r="F1737" s="5">
        <v>60000</v>
      </c>
      <c r="G1737" s="5">
        <v>60000</v>
      </c>
      <c r="H1737" s="5">
        <f ca="1">OFFSET(F1737,0,Brains!$D$1,1,1)</f>
        <v>60000</v>
      </c>
      <c r="I1737" t="s">
        <v>2514</v>
      </c>
      <c r="J1737" t="s">
        <v>1882</v>
      </c>
      <c r="K1737" t="s">
        <v>1869</v>
      </c>
      <c r="L1737" t="s">
        <v>1869</v>
      </c>
      <c r="M1737" t="s">
        <v>3941</v>
      </c>
      <c r="N1737" t="s">
        <v>1866</v>
      </c>
      <c r="P1737" s="15" t="str">
        <f t="shared" ca="1" si="54"/>
        <v>50-74.9K</v>
      </c>
      <c r="Q1737" s="15">
        <v>8</v>
      </c>
      <c r="S1737">
        <v>5</v>
      </c>
      <c r="U1737">
        <v>7</v>
      </c>
      <c r="V1737" s="15">
        <f t="shared" ca="1" si="55"/>
        <v>4</v>
      </c>
    </row>
    <row r="1738" spans="1:22">
      <c r="A1738" t="s">
        <v>2870</v>
      </c>
      <c r="B1738" s="1">
        <v>41055.131747685184</v>
      </c>
      <c r="C1738" s="2">
        <v>60000</v>
      </c>
      <c r="D1738">
        <v>60000</v>
      </c>
      <c r="E1738" t="s">
        <v>1856</v>
      </c>
      <c r="F1738" s="5">
        <v>60000</v>
      </c>
      <c r="G1738" s="5">
        <v>60000</v>
      </c>
      <c r="H1738" s="5">
        <f ca="1">OFFSET(F1738,0,Brains!$D$1,1,1)</f>
        <v>60000</v>
      </c>
      <c r="I1738" t="s">
        <v>2871</v>
      </c>
      <c r="J1738" t="s">
        <v>1882</v>
      </c>
      <c r="K1738" t="s">
        <v>1869</v>
      </c>
      <c r="L1738" t="s">
        <v>1869</v>
      </c>
      <c r="M1738" t="s">
        <v>3941</v>
      </c>
      <c r="N1738" t="s">
        <v>1866</v>
      </c>
      <c r="P1738" s="15" t="str">
        <f t="shared" ca="1" si="54"/>
        <v>50-74.9K</v>
      </c>
      <c r="Q1738" s="15">
        <v>8</v>
      </c>
      <c r="S1738">
        <v>5</v>
      </c>
      <c r="U1738">
        <v>7</v>
      </c>
      <c r="V1738" s="15">
        <f t="shared" ca="1" si="55"/>
        <v>4</v>
      </c>
    </row>
    <row r="1739" spans="1:22">
      <c r="A1739" t="s">
        <v>2764</v>
      </c>
      <c r="B1739" s="1">
        <v>41055.095347222225</v>
      </c>
      <c r="C1739" s="2">
        <v>56000</v>
      </c>
      <c r="D1739">
        <v>56000</v>
      </c>
      <c r="E1739" t="s">
        <v>1856</v>
      </c>
      <c r="F1739" s="5">
        <v>56000</v>
      </c>
      <c r="G1739" s="5">
        <v>56000</v>
      </c>
      <c r="H1739" s="5">
        <f ca="1">OFFSET(F1739,0,Brains!$D$1,1,1)</f>
        <v>56000</v>
      </c>
      <c r="I1739" t="s">
        <v>2765</v>
      </c>
      <c r="J1739" t="s">
        <v>1882</v>
      </c>
      <c r="K1739" t="s">
        <v>1869</v>
      </c>
      <c r="L1739" t="s">
        <v>1869</v>
      </c>
      <c r="M1739" t="s">
        <v>3941</v>
      </c>
      <c r="N1739" t="s">
        <v>1866</v>
      </c>
      <c r="P1739" s="15" t="str">
        <f t="shared" ca="1" si="54"/>
        <v>50-74.9K</v>
      </c>
      <c r="Q1739" s="15">
        <v>8</v>
      </c>
      <c r="S1739">
        <v>5</v>
      </c>
      <c r="U1739">
        <v>7</v>
      </c>
      <c r="V1739" s="15">
        <f t="shared" ca="1" si="55"/>
        <v>4</v>
      </c>
    </row>
    <row r="1740" spans="1:22">
      <c r="A1740" t="s">
        <v>2446</v>
      </c>
      <c r="B1740" s="1">
        <v>41055.047627314816</v>
      </c>
      <c r="C1740" s="2">
        <v>54000</v>
      </c>
      <c r="D1740">
        <v>54000</v>
      </c>
      <c r="E1740" t="s">
        <v>1856</v>
      </c>
      <c r="F1740" s="5">
        <v>54000</v>
      </c>
      <c r="G1740" s="5">
        <v>54000</v>
      </c>
      <c r="H1740" s="5">
        <f ca="1">OFFSET(F1740,0,Brains!$D$1,1,1)</f>
        <v>54000</v>
      </c>
      <c r="I1740" t="s">
        <v>2447</v>
      </c>
      <c r="J1740" t="s">
        <v>1882</v>
      </c>
      <c r="K1740" t="s">
        <v>1869</v>
      </c>
      <c r="L1740" t="s">
        <v>1869</v>
      </c>
      <c r="M1740" t="s">
        <v>3941</v>
      </c>
      <c r="N1740" t="s">
        <v>1866</v>
      </c>
      <c r="P1740" s="15" t="str">
        <f t="shared" ca="1" si="54"/>
        <v>50-74.9K</v>
      </c>
      <c r="Q1740" s="15">
        <v>8</v>
      </c>
      <c r="S1740">
        <v>5</v>
      </c>
      <c r="U1740">
        <v>7</v>
      </c>
      <c r="V1740" s="15">
        <f t="shared" ca="1" si="55"/>
        <v>4</v>
      </c>
    </row>
    <row r="1741" spans="1:22">
      <c r="A1741" t="s">
        <v>2662</v>
      </c>
      <c r="B1741" s="1">
        <v>41055.07671296296</v>
      </c>
      <c r="C1741" s="2">
        <v>47500</v>
      </c>
      <c r="D1741">
        <v>47500</v>
      </c>
      <c r="E1741" t="s">
        <v>1856</v>
      </c>
      <c r="F1741" s="5">
        <v>47500</v>
      </c>
      <c r="G1741" s="5">
        <v>47500</v>
      </c>
      <c r="H1741" s="5">
        <f ca="1">OFFSET(F1741,0,Brains!$D$1,1,1)</f>
        <v>47500</v>
      </c>
      <c r="I1741" t="s">
        <v>2663</v>
      </c>
      <c r="J1741" t="s">
        <v>1882</v>
      </c>
      <c r="K1741" t="s">
        <v>1869</v>
      </c>
      <c r="L1741" t="s">
        <v>1869</v>
      </c>
      <c r="M1741" t="s">
        <v>3941</v>
      </c>
      <c r="N1741" t="s">
        <v>1866</v>
      </c>
      <c r="P1741" s="15" t="str">
        <f t="shared" ca="1" si="54"/>
        <v>30-49.9K</v>
      </c>
      <c r="Q1741" s="15">
        <v>8</v>
      </c>
      <c r="S1741">
        <v>5</v>
      </c>
      <c r="U1741">
        <v>7</v>
      </c>
      <c r="V1741" s="15">
        <f t="shared" ca="1" si="55"/>
        <v>3</v>
      </c>
    </row>
    <row r="1742" spans="1:22">
      <c r="A1742" t="s">
        <v>2716</v>
      </c>
      <c r="B1742" s="1">
        <v>41055.085821759261</v>
      </c>
      <c r="C1742" s="2">
        <v>45880</v>
      </c>
      <c r="D1742">
        <v>45880</v>
      </c>
      <c r="E1742" t="s">
        <v>1856</v>
      </c>
      <c r="F1742" s="5">
        <v>45880</v>
      </c>
      <c r="G1742" s="5">
        <v>45880</v>
      </c>
      <c r="H1742" s="5">
        <f ca="1">OFFSET(F1742,0,Brains!$D$1,1,1)</f>
        <v>45880</v>
      </c>
      <c r="I1742" t="s">
        <v>2717</v>
      </c>
      <c r="J1742" t="s">
        <v>1882</v>
      </c>
      <c r="K1742" t="s">
        <v>1869</v>
      </c>
      <c r="L1742" t="s">
        <v>1869</v>
      </c>
      <c r="M1742" t="s">
        <v>3941</v>
      </c>
      <c r="N1742" t="s">
        <v>1866</v>
      </c>
      <c r="P1742" s="15" t="str">
        <f t="shared" ca="1" si="54"/>
        <v>30-49.9K</v>
      </c>
      <c r="Q1742" s="15">
        <v>8</v>
      </c>
      <c r="S1742">
        <v>5</v>
      </c>
      <c r="U1742">
        <v>7</v>
      </c>
      <c r="V1742" s="15">
        <f t="shared" ca="1" si="55"/>
        <v>3</v>
      </c>
    </row>
    <row r="1743" spans="1:22">
      <c r="A1743" t="s">
        <v>2345</v>
      </c>
      <c r="B1743" s="1">
        <v>41055.038148148145</v>
      </c>
      <c r="C1743" s="2">
        <v>41000</v>
      </c>
      <c r="D1743">
        <v>41000</v>
      </c>
      <c r="E1743" t="s">
        <v>1856</v>
      </c>
      <c r="F1743" s="5">
        <v>41000</v>
      </c>
      <c r="G1743" s="5">
        <v>41000</v>
      </c>
      <c r="H1743" s="5">
        <f ca="1">OFFSET(F1743,0,Brains!$D$1,1,1)</f>
        <v>41000</v>
      </c>
      <c r="I1743" t="s">
        <v>2346</v>
      </c>
      <c r="J1743" t="s">
        <v>1882</v>
      </c>
      <c r="K1743" t="s">
        <v>1869</v>
      </c>
      <c r="L1743" t="s">
        <v>1869</v>
      </c>
      <c r="M1743" t="s">
        <v>3941</v>
      </c>
      <c r="N1743" t="s">
        <v>1866</v>
      </c>
      <c r="P1743" s="15" t="str">
        <f t="shared" ca="1" si="54"/>
        <v>30-49.9K</v>
      </c>
      <c r="Q1743" s="15">
        <v>8</v>
      </c>
      <c r="S1743">
        <v>5</v>
      </c>
      <c r="U1743">
        <v>7</v>
      </c>
      <c r="V1743" s="15">
        <f t="shared" ca="1" si="55"/>
        <v>3</v>
      </c>
    </row>
    <row r="1744" spans="1:22">
      <c r="A1744" t="s">
        <v>1836</v>
      </c>
      <c r="B1744" s="1">
        <v>41081.157210648147</v>
      </c>
      <c r="C1744" s="2">
        <v>21000</v>
      </c>
      <c r="D1744">
        <v>21000</v>
      </c>
      <c r="E1744" t="s">
        <v>1856</v>
      </c>
      <c r="F1744" s="5">
        <v>21000</v>
      </c>
      <c r="G1744" s="5">
        <v>21000</v>
      </c>
      <c r="H1744" s="5">
        <f ca="1">OFFSET(F1744,0,Brains!$D$1,1,1)</f>
        <v>21000</v>
      </c>
      <c r="I1744" t="s">
        <v>1837</v>
      </c>
      <c r="J1744" t="s">
        <v>1986</v>
      </c>
      <c r="K1744" t="s">
        <v>1859</v>
      </c>
      <c r="L1744" t="s">
        <v>1859</v>
      </c>
      <c r="M1744" s="7" t="s">
        <v>3941</v>
      </c>
      <c r="N1744" t="s">
        <v>1866</v>
      </c>
      <c r="O1744" s="7" t="s">
        <v>3920</v>
      </c>
      <c r="P1744" s="17" t="str">
        <f t="shared" ca="1" si="54"/>
        <v>15-29.9K</v>
      </c>
      <c r="Q1744" s="17">
        <v>8</v>
      </c>
      <c r="R1744">
        <v>5</v>
      </c>
      <c r="S1744">
        <v>5</v>
      </c>
      <c r="T1744">
        <v>1</v>
      </c>
      <c r="U1744">
        <v>8</v>
      </c>
      <c r="V1744" s="15">
        <f t="shared" ca="1" si="55"/>
        <v>2</v>
      </c>
    </row>
    <row r="1745" spans="1:22">
      <c r="A1745" t="s">
        <v>1625</v>
      </c>
      <c r="B1745" s="1">
        <v>41072.358506944445</v>
      </c>
      <c r="C1745" s="2">
        <v>87000</v>
      </c>
      <c r="D1745">
        <v>87000</v>
      </c>
      <c r="E1745" t="s">
        <v>1856</v>
      </c>
      <c r="F1745" s="5">
        <v>87000</v>
      </c>
      <c r="G1745" s="5">
        <v>87000</v>
      </c>
      <c r="H1745" s="5">
        <f ca="1">OFFSET(F1745,0,Brains!$D$1,1,1)</f>
        <v>87000</v>
      </c>
      <c r="I1745" t="s">
        <v>1626</v>
      </c>
      <c r="J1745" t="s">
        <v>1986</v>
      </c>
      <c r="K1745" t="s">
        <v>1869</v>
      </c>
      <c r="L1745" t="s">
        <v>1869</v>
      </c>
      <c r="M1745" s="11" t="s">
        <v>3918</v>
      </c>
      <c r="N1745" t="s">
        <v>1860</v>
      </c>
      <c r="O1745" s="7" t="s">
        <v>3920</v>
      </c>
      <c r="P1745" s="17" t="str">
        <f t="shared" ca="1" si="54"/>
        <v>75-99.9K</v>
      </c>
      <c r="Q1745" s="17">
        <v>5</v>
      </c>
      <c r="R1745">
        <v>3</v>
      </c>
      <c r="S1745">
        <v>4</v>
      </c>
      <c r="T1745">
        <v>1</v>
      </c>
      <c r="U1745">
        <v>8</v>
      </c>
      <c r="V1745" s="15">
        <f t="shared" ca="1" si="55"/>
        <v>5</v>
      </c>
    </row>
    <row r="1746" spans="1:22">
      <c r="A1746" t="s">
        <v>1810</v>
      </c>
      <c r="B1746" s="1">
        <v>41079.946469907409</v>
      </c>
      <c r="C1746" s="2">
        <v>5000</v>
      </c>
      <c r="D1746">
        <v>5000</v>
      </c>
      <c r="E1746" t="s">
        <v>1856</v>
      </c>
      <c r="F1746" s="5">
        <v>5000</v>
      </c>
      <c r="G1746" s="5">
        <v>5000</v>
      </c>
      <c r="H1746" s="5">
        <f ca="1">OFFSET(F1746,0,Brains!$D$1,1,1)</f>
        <v>5000</v>
      </c>
      <c r="I1746" t="s">
        <v>1811</v>
      </c>
      <c r="J1746" t="s">
        <v>1986</v>
      </c>
      <c r="K1746" t="s">
        <v>1859</v>
      </c>
      <c r="L1746" t="s">
        <v>1859</v>
      </c>
      <c r="M1746" s="11" t="s">
        <v>3918</v>
      </c>
      <c r="N1746" t="s">
        <v>1860</v>
      </c>
      <c r="O1746" s="7" t="s">
        <v>3920</v>
      </c>
      <c r="P1746" s="17" t="str">
        <f t="shared" ca="1" si="54"/>
        <v>0-14.9K</v>
      </c>
      <c r="Q1746" s="17">
        <v>5</v>
      </c>
      <c r="R1746">
        <v>3</v>
      </c>
      <c r="S1746">
        <v>4</v>
      </c>
      <c r="T1746">
        <v>1</v>
      </c>
      <c r="U1746">
        <v>8</v>
      </c>
      <c r="V1746" s="15">
        <f t="shared" ca="1" si="55"/>
        <v>1</v>
      </c>
    </row>
    <row r="1747" spans="1:22">
      <c r="A1747" t="s">
        <v>1567</v>
      </c>
      <c r="B1747" s="1">
        <v>41070.03502314815</v>
      </c>
      <c r="C1747" s="2" t="s">
        <v>1568</v>
      </c>
      <c r="D1747">
        <v>140000</v>
      </c>
      <c r="E1747" t="s">
        <v>1908</v>
      </c>
      <c r="F1747" s="5">
        <v>2493.1083362419595</v>
      </c>
      <c r="G1747" s="5">
        <v>6971.4171895229556</v>
      </c>
      <c r="H1747" s="5">
        <f ca="1">OFFSET(F1747,0,Brains!$D$1,1,1)</f>
        <v>6971.4171895229556</v>
      </c>
      <c r="I1747" t="s">
        <v>1569</v>
      </c>
      <c r="J1747" t="s">
        <v>1986</v>
      </c>
      <c r="K1747" t="s">
        <v>1859</v>
      </c>
      <c r="L1747" t="s">
        <v>1859</v>
      </c>
      <c r="M1747" s="11" t="s">
        <v>3918</v>
      </c>
      <c r="N1747" t="s">
        <v>1860</v>
      </c>
      <c r="O1747" s="7" t="s">
        <v>3920</v>
      </c>
      <c r="P1747" s="17" t="str">
        <f t="shared" ca="1" si="54"/>
        <v>0-14.9K</v>
      </c>
      <c r="Q1747" s="17">
        <v>5</v>
      </c>
      <c r="R1747">
        <v>5</v>
      </c>
      <c r="S1747">
        <v>4</v>
      </c>
      <c r="T1747">
        <v>1</v>
      </c>
      <c r="U1747">
        <v>8</v>
      </c>
      <c r="V1747" s="15">
        <f t="shared" ca="1" si="55"/>
        <v>1</v>
      </c>
    </row>
    <row r="1748" spans="1:22">
      <c r="A1748" t="s">
        <v>1755</v>
      </c>
      <c r="B1748" s="1">
        <v>41076.772210648145</v>
      </c>
      <c r="C1748" s="2">
        <v>2342342</v>
      </c>
      <c r="D1748">
        <v>2342342</v>
      </c>
      <c r="E1748" t="s">
        <v>1908</v>
      </c>
      <c r="F1748" s="5">
        <v>41712.231189497601</v>
      </c>
      <c r="G1748" s="5">
        <v>116638.88058958271</v>
      </c>
      <c r="H1748" s="5">
        <f ca="1">OFFSET(F1748,0,Brains!$D$1,1,1)</f>
        <v>116638.88058958271</v>
      </c>
      <c r="I1748" t="s">
        <v>1756</v>
      </c>
      <c r="J1748" t="s">
        <v>1986</v>
      </c>
      <c r="K1748" t="s">
        <v>1859</v>
      </c>
      <c r="L1748" t="s">
        <v>1859</v>
      </c>
      <c r="M1748" s="11" t="s">
        <v>3917</v>
      </c>
      <c r="N1748" t="s">
        <v>1873</v>
      </c>
      <c r="O1748" s="7" t="s">
        <v>3922</v>
      </c>
      <c r="P1748" s="17" t="str">
        <f t="shared" ca="1" si="54"/>
        <v>100-149.9K</v>
      </c>
      <c r="Q1748" s="17">
        <v>2.5</v>
      </c>
      <c r="R1748">
        <v>12</v>
      </c>
      <c r="S1748">
        <v>3</v>
      </c>
      <c r="T1748">
        <v>3</v>
      </c>
      <c r="U1748">
        <v>8</v>
      </c>
      <c r="V1748" s="15">
        <f t="shared" ca="1" si="55"/>
        <v>6</v>
      </c>
    </row>
    <row r="1749" spans="1:22">
      <c r="A1749" t="s">
        <v>1596</v>
      </c>
      <c r="B1749" s="1">
        <v>41071.419942129629</v>
      </c>
      <c r="C1749" s="2">
        <v>74461</v>
      </c>
      <c r="D1749">
        <v>74461</v>
      </c>
      <c r="E1749" t="s">
        <v>1856</v>
      </c>
      <c r="F1749" s="5">
        <v>74461</v>
      </c>
      <c r="G1749" s="5">
        <v>74461</v>
      </c>
      <c r="H1749" s="5">
        <f ca="1">OFFSET(F1749,0,Brains!$D$1,1,1)</f>
        <v>74461</v>
      </c>
      <c r="I1749" t="s">
        <v>1597</v>
      </c>
      <c r="J1749" t="s">
        <v>1986</v>
      </c>
      <c r="K1749" t="s">
        <v>1869</v>
      </c>
      <c r="L1749" t="s">
        <v>1869</v>
      </c>
      <c r="M1749" s="11" t="s">
        <v>3916</v>
      </c>
      <c r="N1749" t="s">
        <v>1884</v>
      </c>
      <c r="O1749" s="7" t="s">
        <v>3921</v>
      </c>
      <c r="P1749" s="17" t="str">
        <f t="shared" ca="1" si="54"/>
        <v>50-74.9K</v>
      </c>
      <c r="Q1749" s="17">
        <v>1.5</v>
      </c>
      <c r="R1749">
        <v>9</v>
      </c>
      <c r="S1749">
        <v>2</v>
      </c>
      <c r="T1749">
        <v>2</v>
      </c>
      <c r="U1749">
        <v>8</v>
      </c>
      <c r="V1749" s="15">
        <f t="shared" ca="1" si="55"/>
        <v>4</v>
      </c>
    </row>
    <row r="1750" spans="1:22">
      <c r="A1750" t="s">
        <v>1984</v>
      </c>
      <c r="B1750" s="1">
        <v>41054.239594907405</v>
      </c>
      <c r="C1750" s="2">
        <v>90000</v>
      </c>
      <c r="D1750">
        <v>90000</v>
      </c>
      <c r="E1750" t="s">
        <v>1856</v>
      </c>
      <c r="F1750" s="5">
        <v>90000</v>
      </c>
      <c r="G1750" s="5">
        <v>90000</v>
      </c>
      <c r="H1750" s="5">
        <f ca="1">OFFSET(F1750,0,Brains!$D$1,1,1)</f>
        <v>90000</v>
      </c>
      <c r="I1750" t="s">
        <v>1985</v>
      </c>
      <c r="J1750" t="s">
        <v>1986</v>
      </c>
      <c r="K1750" t="s">
        <v>1869</v>
      </c>
      <c r="L1750" t="s">
        <v>1869</v>
      </c>
      <c r="M1750" s="11" t="s">
        <v>3916</v>
      </c>
      <c r="N1750" t="s">
        <v>1884</v>
      </c>
      <c r="P1750" s="15" t="str">
        <f t="shared" ca="1" si="54"/>
        <v>75-99.9K</v>
      </c>
      <c r="Q1750" s="15">
        <v>1.5</v>
      </c>
      <c r="S1750">
        <v>2</v>
      </c>
      <c r="U1750">
        <v>8</v>
      </c>
      <c r="V1750" s="15">
        <f t="shared" ca="1" si="55"/>
        <v>5</v>
      </c>
    </row>
    <row r="1751" spans="1:22">
      <c r="A1751" t="s">
        <v>3528</v>
      </c>
      <c r="B1751" s="1">
        <v>41055.812199074076</v>
      </c>
      <c r="C1751" s="2">
        <v>16000</v>
      </c>
      <c r="D1751">
        <v>16000</v>
      </c>
      <c r="E1751" t="s">
        <v>1856</v>
      </c>
      <c r="F1751" s="5">
        <v>16000</v>
      </c>
      <c r="G1751" s="5">
        <v>16000</v>
      </c>
      <c r="H1751" s="5">
        <f ca="1">OFFSET(F1751,0,Brains!$D$1,1,1)</f>
        <v>16000</v>
      </c>
      <c r="I1751" t="s">
        <v>3529</v>
      </c>
      <c r="J1751" t="s">
        <v>1921</v>
      </c>
      <c r="K1751" t="s">
        <v>1859</v>
      </c>
      <c r="L1751" t="s">
        <v>1859</v>
      </c>
      <c r="M1751" s="7" t="s">
        <v>3941</v>
      </c>
      <c r="N1751" t="s">
        <v>1866</v>
      </c>
      <c r="O1751" s="7" t="s">
        <v>3920</v>
      </c>
      <c r="P1751" s="17" t="str">
        <f t="shared" ca="1" si="54"/>
        <v>15-29.9K</v>
      </c>
      <c r="Q1751" s="17">
        <v>8</v>
      </c>
      <c r="R1751">
        <v>1</v>
      </c>
      <c r="S1751">
        <v>5</v>
      </c>
      <c r="T1751">
        <v>1</v>
      </c>
      <c r="U1751">
        <v>9</v>
      </c>
      <c r="V1751" s="15">
        <f t="shared" ca="1" si="55"/>
        <v>2</v>
      </c>
    </row>
    <row r="1752" spans="1:22">
      <c r="A1752" t="s">
        <v>318</v>
      </c>
      <c r="B1752" s="1">
        <v>41057.753657407404</v>
      </c>
      <c r="C1752" s="2" t="s">
        <v>319</v>
      </c>
      <c r="D1752">
        <v>15000</v>
      </c>
      <c r="E1752" t="s">
        <v>1954</v>
      </c>
      <c r="F1752" s="5">
        <v>23642.674081009263</v>
      </c>
      <c r="G1752" s="5">
        <v>22255.192878338279</v>
      </c>
      <c r="H1752" s="5">
        <f ca="1">OFFSET(F1752,0,Brains!$D$1,1,1)</f>
        <v>22255.192878338279</v>
      </c>
      <c r="I1752" t="s">
        <v>308</v>
      </c>
      <c r="J1752" t="s">
        <v>1921</v>
      </c>
      <c r="K1752" t="s">
        <v>1956</v>
      </c>
      <c r="L1752" t="s">
        <v>1956</v>
      </c>
      <c r="M1752" s="7" t="s">
        <v>3941</v>
      </c>
      <c r="N1752" t="s">
        <v>1866</v>
      </c>
      <c r="O1752" s="7" t="s">
        <v>3920</v>
      </c>
      <c r="P1752" s="17" t="str">
        <f t="shared" ca="1" si="54"/>
        <v>15-29.9K</v>
      </c>
      <c r="Q1752" s="17">
        <v>8</v>
      </c>
      <c r="R1752">
        <v>2</v>
      </c>
      <c r="S1752">
        <v>5</v>
      </c>
      <c r="T1752">
        <v>1</v>
      </c>
      <c r="U1752">
        <v>9</v>
      </c>
      <c r="V1752" s="15">
        <f t="shared" ca="1" si="55"/>
        <v>2</v>
      </c>
    </row>
    <row r="1753" spans="1:22">
      <c r="A1753" t="s">
        <v>3251</v>
      </c>
      <c r="B1753" s="1">
        <v>41055.518437500003</v>
      </c>
      <c r="C1753" s="2">
        <v>15000</v>
      </c>
      <c r="D1753">
        <v>15000</v>
      </c>
      <c r="E1753" t="s">
        <v>1856</v>
      </c>
      <c r="F1753" s="5">
        <v>15000</v>
      </c>
      <c r="G1753" s="5">
        <v>15000</v>
      </c>
      <c r="H1753" s="5">
        <f ca="1">OFFSET(F1753,0,Brains!$D$1,1,1)</f>
        <v>15000</v>
      </c>
      <c r="I1753" t="s">
        <v>3180</v>
      </c>
      <c r="J1753" t="s">
        <v>1921</v>
      </c>
      <c r="K1753" t="s">
        <v>1859</v>
      </c>
      <c r="L1753" t="s">
        <v>1859</v>
      </c>
      <c r="M1753" s="7" t="s">
        <v>3941</v>
      </c>
      <c r="N1753" t="s">
        <v>1866</v>
      </c>
      <c r="O1753" s="7" t="s">
        <v>3920</v>
      </c>
      <c r="P1753" s="17" t="str">
        <f t="shared" ca="1" si="54"/>
        <v>15-29.9K</v>
      </c>
      <c r="Q1753" s="17">
        <v>8</v>
      </c>
      <c r="R1753">
        <v>2</v>
      </c>
      <c r="S1753">
        <v>5</v>
      </c>
      <c r="T1753">
        <v>1</v>
      </c>
      <c r="U1753">
        <v>9</v>
      </c>
      <c r="V1753" s="15">
        <f t="shared" ca="1" si="55"/>
        <v>2</v>
      </c>
    </row>
    <row r="1754" spans="1:22">
      <c r="A1754" t="s">
        <v>1361</v>
      </c>
      <c r="B1754" s="1">
        <v>41064.515335648146</v>
      </c>
      <c r="C1754" s="2">
        <v>10000</v>
      </c>
      <c r="D1754">
        <v>10000</v>
      </c>
      <c r="E1754" t="s">
        <v>1856</v>
      </c>
      <c r="F1754" s="5">
        <v>10000</v>
      </c>
      <c r="G1754" s="5">
        <v>10000</v>
      </c>
      <c r="H1754" s="5">
        <f ca="1">OFFSET(F1754,0,Brains!$D$1,1,1)</f>
        <v>10000</v>
      </c>
      <c r="I1754" t="s">
        <v>3180</v>
      </c>
      <c r="J1754" t="s">
        <v>1921</v>
      </c>
      <c r="K1754" t="s">
        <v>1859</v>
      </c>
      <c r="L1754" t="s">
        <v>1859</v>
      </c>
      <c r="M1754" s="7" t="s">
        <v>3941</v>
      </c>
      <c r="N1754" t="s">
        <v>1866</v>
      </c>
      <c r="O1754" s="7" t="s">
        <v>3920</v>
      </c>
      <c r="P1754" s="17" t="str">
        <f t="shared" ca="1" si="54"/>
        <v>0-14.9K</v>
      </c>
      <c r="Q1754" s="17">
        <v>8</v>
      </c>
      <c r="R1754">
        <v>2</v>
      </c>
      <c r="S1754">
        <v>5</v>
      </c>
      <c r="T1754">
        <v>1</v>
      </c>
      <c r="U1754">
        <v>9</v>
      </c>
      <c r="V1754" s="15">
        <f t="shared" ca="1" si="55"/>
        <v>1</v>
      </c>
    </row>
    <row r="1755" spans="1:22">
      <c r="A1755" t="s">
        <v>732</v>
      </c>
      <c r="B1755" s="1">
        <v>41058.684895833336</v>
      </c>
      <c r="C1755" s="2" t="s">
        <v>733</v>
      </c>
      <c r="D1755">
        <v>204000</v>
      </c>
      <c r="E1755" t="s">
        <v>1908</v>
      </c>
      <c r="F1755" s="5">
        <v>3632.815004238284</v>
      </c>
      <c r="G1755" s="5">
        <v>10158.350761876307</v>
      </c>
      <c r="H1755" s="5">
        <f ca="1">OFFSET(F1755,0,Brains!$D$1,1,1)</f>
        <v>10158.350761876307</v>
      </c>
      <c r="I1755" t="s">
        <v>734</v>
      </c>
      <c r="J1755" t="s">
        <v>1921</v>
      </c>
      <c r="K1755" t="s">
        <v>1859</v>
      </c>
      <c r="L1755" t="s">
        <v>1859</v>
      </c>
      <c r="M1755" s="7" t="s">
        <v>3941</v>
      </c>
      <c r="N1755" t="s">
        <v>1866</v>
      </c>
      <c r="O1755" s="7" t="s">
        <v>3920</v>
      </c>
      <c r="P1755" s="17" t="str">
        <f t="shared" ca="1" si="54"/>
        <v>0-14.9K</v>
      </c>
      <c r="Q1755" s="17">
        <v>8</v>
      </c>
      <c r="R1755">
        <v>2</v>
      </c>
      <c r="S1755">
        <v>5</v>
      </c>
      <c r="T1755">
        <v>1</v>
      </c>
      <c r="U1755">
        <v>9</v>
      </c>
      <c r="V1755" s="15">
        <f t="shared" ca="1" si="55"/>
        <v>1</v>
      </c>
    </row>
    <row r="1756" spans="1:22">
      <c r="A1756" t="s">
        <v>3507</v>
      </c>
      <c r="B1756" s="1">
        <v>41055.770208333335</v>
      </c>
      <c r="C1756" s="2">
        <v>13500</v>
      </c>
      <c r="D1756">
        <v>13500</v>
      </c>
      <c r="E1756" t="s">
        <v>1856</v>
      </c>
      <c r="F1756" s="5">
        <v>13500</v>
      </c>
      <c r="G1756" s="5">
        <v>13500</v>
      </c>
      <c r="H1756" s="5">
        <f ca="1">OFFSET(F1756,0,Brains!$D$1,1,1)</f>
        <v>13500</v>
      </c>
      <c r="I1756" t="s">
        <v>2493</v>
      </c>
      <c r="J1756" t="s">
        <v>1921</v>
      </c>
      <c r="K1756" t="s">
        <v>1859</v>
      </c>
      <c r="L1756" t="s">
        <v>1859</v>
      </c>
      <c r="M1756" s="7" t="s">
        <v>3941</v>
      </c>
      <c r="N1756" t="s">
        <v>1866</v>
      </c>
      <c r="O1756" s="7" t="s">
        <v>3920</v>
      </c>
      <c r="P1756" s="17" t="str">
        <f t="shared" ca="1" si="54"/>
        <v>0-14.9K</v>
      </c>
      <c r="Q1756" s="17">
        <v>8</v>
      </c>
      <c r="R1756">
        <v>2.5</v>
      </c>
      <c r="S1756">
        <v>5</v>
      </c>
      <c r="T1756">
        <v>1</v>
      </c>
      <c r="U1756">
        <v>9</v>
      </c>
      <c r="V1756" s="15">
        <f t="shared" ca="1" si="55"/>
        <v>1</v>
      </c>
    </row>
    <row r="1757" spans="1:22">
      <c r="A1757" t="s">
        <v>1344</v>
      </c>
      <c r="B1757" s="1">
        <v>41063.700624999998</v>
      </c>
      <c r="C1757" s="2">
        <v>12000</v>
      </c>
      <c r="D1757">
        <v>12000</v>
      </c>
      <c r="E1757" t="s">
        <v>1856</v>
      </c>
      <c r="F1757" s="5">
        <v>12000</v>
      </c>
      <c r="G1757" s="5">
        <v>12000</v>
      </c>
      <c r="H1757" s="5">
        <f ca="1">OFFSET(F1757,0,Brains!$D$1,1,1)</f>
        <v>12000</v>
      </c>
      <c r="I1757" t="s">
        <v>1345</v>
      </c>
      <c r="J1757" t="s">
        <v>1921</v>
      </c>
      <c r="K1757" t="s">
        <v>1859</v>
      </c>
      <c r="L1757" t="s">
        <v>1859</v>
      </c>
      <c r="M1757" s="7" t="s">
        <v>3941</v>
      </c>
      <c r="N1757" t="s">
        <v>1866</v>
      </c>
      <c r="O1757" s="7" t="s">
        <v>3920</v>
      </c>
      <c r="P1757" s="17" t="str">
        <f t="shared" ca="1" si="54"/>
        <v>0-14.9K</v>
      </c>
      <c r="Q1757" s="17">
        <v>8</v>
      </c>
      <c r="R1757">
        <v>3</v>
      </c>
      <c r="S1757">
        <v>5</v>
      </c>
      <c r="T1757">
        <v>1</v>
      </c>
      <c r="U1757">
        <v>9</v>
      </c>
      <c r="V1757" s="15">
        <f t="shared" ca="1" si="55"/>
        <v>1</v>
      </c>
    </row>
    <row r="1758" spans="1:22">
      <c r="A1758" t="s">
        <v>3273</v>
      </c>
      <c r="B1758" s="1">
        <v>41055.533553240741</v>
      </c>
      <c r="C1758" s="2" t="s">
        <v>3274</v>
      </c>
      <c r="D1758">
        <v>230000</v>
      </c>
      <c r="E1758" t="s">
        <v>1908</v>
      </c>
      <c r="F1758" s="5">
        <v>4095.8208381117906</v>
      </c>
      <c r="G1758" s="5">
        <v>11453.042525644856</v>
      </c>
      <c r="H1758" s="5">
        <f ca="1">OFFSET(F1758,0,Brains!$D$1,1,1)</f>
        <v>11453.042525644856</v>
      </c>
      <c r="I1758" t="s">
        <v>3180</v>
      </c>
      <c r="J1758" t="s">
        <v>1921</v>
      </c>
      <c r="K1758" t="s">
        <v>1859</v>
      </c>
      <c r="L1758" t="s">
        <v>1859</v>
      </c>
      <c r="M1758" s="7" t="s">
        <v>3941</v>
      </c>
      <c r="N1758" t="s">
        <v>1866</v>
      </c>
      <c r="O1758" s="7" t="s">
        <v>3920</v>
      </c>
      <c r="P1758" s="17" t="str">
        <f t="shared" ca="1" si="54"/>
        <v>0-14.9K</v>
      </c>
      <c r="Q1758" s="17">
        <v>8</v>
      </c>
      <c r="R1758">
        <v>3</v>
      </c>
      <c r="S1758">
        <v>5</v>
      </c>
      <c r="T1758">
        <v>1</v>
      </c>
      <c r="U1758">
        <v>9</v>
      </c>
      <c r="V1758" s="15">
        <f t="shared" ca="1" si="55"/>
        <v>1</v>
      </c>
    </row>
    <row r="1759" spans="1:22">
      <c r="A1759" t="s">
        <v>3265</v>
      </c>
      <c r="B1759" s="1">
        <v>41055.524791666663</v>
      </c>
      <c r="C1759" s="2" t="s">
        <v>3266</v>
      </c>
      <c r="D1759">
        <v>200000</v>
      </c>
      <c r="E1759" t="s">
        <v>1908</v>
      </c>
      <c r="F1759" s="5">
        <v>3561.5833374885137</v>
      </c>
      <c r="G1759" s="5">
        <v>9959.167413604222</v>
      </c>
      <c r="H1759" s="5">
        <f ca="1">OFFSET(F1759,0,Brains!$D$1,1,1)</f>
        <v>9959.167413604222</v>
      </c>
      <c r="I1759" t="s">
        <v>3267</v>
      </c>
      <c r="J1759" t="s">
        <v>1921</v>
      </c>
      <c r="K1759" t="s">
        <v>1859</v>
      </c>
      <c r="L1759" t="s">
        <v>1859</v>
      </c>
      <c r="M1759" s="7" t="s">
        <v>3941</v>
      </c>
      <c r="N1759" t="s">
        <v>1866</v>
      </c>
      <c r="O1759" s="7" t="s">
        <v>3920</v>
      </c>
      <c r="P1759" s="17" t="str">
        <f t="shared" ca="1" si="54"/>
        <v>0-14.9K</v>
      </c>
      <c r="Q1759" s="17">
        <v>8</v>
      </c>
      <c r="R1759">
        <v>3</v>
      </c>
      <c r="S1759">
        <v>5</v>
      </c>
      <c r="T1759">
        <v>1</v>
      </c>
      <c r="U1759">
        <v>9</v>
      </c>
      <c r="V1759" s="15">
        <f t="shared" ca="1" si="55"/>
        <v>1</v>
      </c>
    </row>
    <row r="1760" spans="1:22">
      <c r="A1760" t="s">
        <v>3178</v>
      </c>
      <c r="B1760" s="1">
        <v>41055.458090277774</v>
      </c>
      <c r="C1760" s="2" t="s">
        <v>3179</v>
      </c>
      <c r="D1760">
        <v>160000</v>
      </c>
      <c r="E1760" t="s">
        <v>1908</v>
      </c>
      <c r="F1760" s="5">
        <v>2849.2666699908109</v>
      </c>
      <c r="G1760" s="5">
        <v>7967.3339308833783</v>
      </c>
      <c r="H1760" s="5">
        <f ca="1">OFFSET(F1760,0,Brains!$D$1,1,1)</f>
        <v>7967.3339308833783</v>
      </c>
      <c r="I1760" t="s">
        <v>3180</v>
      </c>
      <c r="J1760" t="s">
        <v>1921</v>
      </c>
      <c r="K1760" t="s">
        <v>1859</v>
      </c>
      <c r="L1760" t="s">
        <v>1859</v>
      </c>
      <c r="M1760" s="7" t="s">
        <v>3941</v>
      </c>
      <c r="N1760" t="s">
        <v>1866</v>
      </c>
      <c r="O1760" s="7" t="s">
        <v>3920</v>
      </c>
      <c r="P1760" s="17" t="str">
        <f t="shared" ca="1" si="54"/>
        <v>0-14.9K</v>
      </c>
      <c r="Q1760" s="17">
        <v>8</v>
      </c>
      <c r="R1760">
        <v>3</v>
      </c>
      <c r="S1760">
        <v>5</v>
      </c>
      <c r="T1760">
        <v>1</v>
      </c>
      <c r="U1760">
        <v>9</v>
      </c>
      <c r="V1760" s="15">
        <f t="shared" ca="1" si="55"/>
        <v>1</v>
      </c>
    </row>
    <row r="1761" spans="1:22">
      <c r="A1761" t="s">
        <v>1477</v>
      </c>
      <c r="B1761" s="1">
        <v>41066.838692129626</v>
      </c>
      <c r="C1761" s="2" t="s">
        <v>1478</v>
      </c>
      <c r="D1761">
        <v>150000</v>
      </c>
      <c r="E1761" t="s">
        <v>1908</v>
      </c>
      <c r="F1761" s="5">
        <v>2671.1875031163854</v>
      </c>
      <c r="G1761" s="5">
        <v>7469.375560203167</v>
      </c>
      <c r="H1761" s="5">
        <f ca="1">OFFSET(F1761,0,Brains!$D$1,1,1)</f>
        <v>7469.375560203167</v>
      </c>
      <c r="I1761" t="s">
        <v>3180</v>
      </c>
      <c r="J1761" t="s">
        <v>1921</v>
      </c>
      <c r="K1761" t="s">
        <v>1859</v>
      </c>
      <c r="L1761" t="s">
        <v>1859</v>
      </c>
      <c r="M1761" s="7" t="s">
        <v>3941</v>
      </c>
      <c r="N1761" t="s">
        <v>1866</v>
      </c>
      <c r="O1761" s="7" t="s">
        <v>3920</v>
      </c>
      <c r="P1761" s="17" t="str">
        <f t="shared" ca="1" si="54"/>
        <v>0-14.9K</v>
      </c>
      <c r="Q1761" s="17">
        <v>8</v>
      </c>
      <c r="R1761">
        <v>3</v>
      </c>
      <c r="S1761">
        <v>5</v>
      </c>
      <c r="T1761">
        <v>1</v>
      </c>
      <c r="U1761">
        <v>9</v>
      </c>
      <c r="V1761" s="15">
        <f t="shared" ca="1" si="55"/>
        <v>1</v>
      </c>
    </row>
    <row r="1762" spans="1:22">
      <c r="A1762" t="s">
        <v>210</v>
      </c>
      <c r="B1762" s="1">
        <v>41057.645416666666</v>
      </c>
      <c r="C1762" s="2" t="s">
        <v>211</v>
      </c>
      <c r="D1762">
        <v>250000</v>
      </c>
      <c r="E1762" t="s">
        <v>1908</v>
      </c>
      <c r="F1762" s="5">
        <v>4451.9791718606421</v>
      </c>
      <c r="G1762" s="5">
        <v>12448.959267005279</v>
      </c>
      <c r="H1762" s="5">
        <f ca="1">OFFSET(F1762,0,Brains!$D$1,1,1)</f>
        <v>12448.959267005279</v>
      </c>
      <c r="I1762" t="s">
        <v>212</v>
      </c>
      <c r="J1762" t="s">
        <v>1921</v>
      </c>
      <c r="K1762" t="s">
        <v>1859</v>
      </c>
      <c r="L1762" t="s">
        <v>1859</v>
      </c>
      <c r="M1762" s="7" t="s">
        <v>3941</v>
      </c>
      <c r="N1762" t="s">
        <v>1866</v>
      </c>
      <c r="O1762" s="7" t="s">
        <v>3920</v>
      </c>
      <c r="P1762" s="17" t="str">
        <f t="shared" ca="1" si="54"/>
        <v>0-14.9K</v>
      </c>
      <c r="Q1762" s="17">
        <v>8</v>
      </c>
      <c r="R1762">
        <v>3.5</v>
      </c>
      <c r="S1762">
        <v>5</v>
      </c>
      <c r="T1762">
        <v>1</v>
      </c>
      <c r="U1762">
        <v>9</v>
      </c>
      <c r="V1762" s="15">
        <f t="shared" ca="1" si="55"/>
        <v>1</v>
      </c>
    </row>
    <row r="1763" spans="1:22">
      <c r="A1763" t="s">
        <v>130</v>
      </c>
      <c r="B1763" s="1">
        <v>41057.545590277776</v>
      </c>
      <c r="C1763" s="2">
        <v>210000</v>
      </c>
      <c r="D1763">
        <v>210000</v>
      </c>
      <c r="E1763" t="s">
        <v>1908</v>
      </c>
      <c r="F1763" s="5">
        <v>3739.6625043629392</v>
      </c>
      <c r="G1763" s="5">
        <v>10457.125784284433</v>
      </c>
      <c r="H1763" s="5">
        <f ca="1">OFFSET(F1763,0,Brains!$D$1,1,1)</f>
        <v>10457.125784284433</v>
      </c>
      <c r="I1763" t="s">
        <v>3334</v>
      </c>
      <c r="J1763" t="s">
        <v>1921</v>
      </c>
      <c r="K1763" t="s">
        <v>1859</v>
      </c>
      <c r="L1763" t="s">
        <v>1859</v>
      </c>
      <c r="M1763" s="7" t="s">
        <v>3941</v>
      </c>
      <c r="N1763" t="s">
        <v>1866</v>
      </c>
      <c r="O1763" s="7" t="s">
        <v>3920</v>
      </c>
      <c r="P1763" s="17" t="str">
        <f t="shared" ca="1" si="54"/>
        <v>0-14.9K</v>
      </c>
      <c r="Q1763" s="17">
        <v>8</v>
      </c>
      <c r="R1763">
        <v>3.5</v>
      </c>
      <c r="S1763">
        <v>5</v>
      </c>
      <c r="T1763">
        <v>1</v>
      </c>
      <c r="U1763">
        <v>9</v>
      </c>
      <c r="V1763" s="15">
        <f t="shared" ca="1" si="55"/>
        <v>1</v>
      </c>
    </row>
    <row r="1764" spans="1:22">
      <c r="A1764" t="s">
        <v>1419</v>
      </c>
      <c r="B1764" s="1">
        <v>41065.749756944446</v>
      </c>
      <c r="C1764" s="2" t="s">
        <v>514</v>
      </c>
      <c r="D1764">
        <v>450000</v>
      </c>
      <c r="E1764" t="s">
        <v>1908</v>
      </c>
      <c r="F1764" s="5">
        <v>8013.5625093491553</v>
      </c>
      <c r="G1764" s="5">
        <v>22408.126680609501</v>
      </c>
      <c r="H1764" s="5">
        <f ca="1">OFFSET(F1764,0,Brains!$D$1,1,1)</f>
        <v>22408.126680609501</v>
      </c>
      <c r="I1764" t="s">
        <v>1420</v>
      </c>
      <c r="J1764" t="s">
        <v>1921</v>
      </c>
      <c r="K1764" t="s">
        <v>1859</v>
      </c>
      <c r="L1764" t="s">
        <v>1859</v>
      </c>
      <c r="M1764" s="7" t="s">
        <v>3941</v>
      </c>
      <c r="N1764" t="s">
        <v>1866</v>
      </c>
      <c r="O1764" s="7" t="s">
        <v>3920</v>
      </c>
      <c r="P1764" s="17" t="str">
        <f t="shared" ca="1" si="54"/>
        <v>15-29.9K</v>
      </c>
      <c r="Q1764" s="17">
        <v>8</v>
      </c>
      <c r="R1764">
        <v>4</v>
      </c>
      <c r="S1764">
        <v>5</v>
      </c>
      <c r="T1764">
        <v>1</v>
      </c>
      <c r="U1764">
        <v>9</v>
      </c>
      <c r="V1764" s="15">
        <f t="shared" ca="1" si="55"/>
        <v>2</v>
      </c>
    </row>
    <row r="1765" spans="1:22">
      <c r="A1765" t="s">
        <v>3390</v>
      </c>
      <c r="B1765" s="1">
        <v>41055.623888888891</v>
      </c>
      <c r="C1765" s="2" t="s">
        <v>3391</v>
      </c>
      <c r="D1765">
        <v>400000</v>
      </c>
      <c r="E1765" t="s">
        <v>1908</v>
      </c>
      <c r="F1765" s="5">
        <v>7123.1666749770275</v>
      </c>
      <c r="G1765" s="5">
        <v>19918.334827208444</v>
      </c>
      <c r="H1765" s="5">
        <f ca="1">OFFSET(F1765,0,Brains!$D$1,1,1)</f>
        <v>19918.334827208444</v>
      </c>
      <c r="I1765" t="s">
        <v>3392</v>
      </c>
      <c r="J1765" t="s">
        <v>1921</v>
      </c>
      <c r="K1765" t="s">
        <v>1859</v>
      </c>
      <c r="L1765" t="s">
        <v>1859</v>
      </c>
      <c r="M1765" s="7" t="s">
        <v>3941</v>
      </c>
      <c r="N1765" t="s">
        <v>1866</v>
      </c>
      <c r="O1765" s="7" t="s">
        <v>3920</v>
      </c>
      <c r="P1765" s="17" t="str">
        <f t="shared" ca="1" si="54"/>
        <v>15-29.9K</v>
      </c>
      <c r="Q1765" s="17">
        <v>8</v>
      </c>
      <c r="R1765">
        <v>4</v>
      </c>
      <c r="S1765">
        <v>5</v>
      </c>
      <c r="T1765">
        <v>1</v>
      </c>
      <c r="U1765">
        <v>9</v>
      </c>
      <c r="V1765" s="15">
        <f t="shared" ca="1" si="55"/>
        <v>2</v>
      </c>
    </row>
    <row r="1766" spans="1:22">
      <c r="A1766" t="s">
        <v>3332</v>
      </c>
      <c r="B1766" s="1">
        <v>41055.562210648146</v>
      </c>
      <c r="C1766" s="2" t="s">
        <v>3333</v>
      </c>
      <c r="D1766">
        <v>250000</v>
      </c>
      <c r="E1766" t="s">
        <v>1908</v>
      </c>
      <c r="F1766" s="5">
        <v>4451.9791718606421</v>
      </c>
      <c r="G1766" s="5">
        <v>12448.959267005279</v>
      </c>
      <c r="H1766" s="5">
        <f ca="1">OFFSET(F1766,0,Brains!$D$1,1,1)</f>
        <v>12448.959267005279</v>
      </c>
      <c r="I1766" t="s">
        <v>3334</v>
      </c>
      <c r="J1766" t="s">
        <v>1921</v>
      </c>
      <c r="K1766" t="s">
        <v>1859</v>
      </c>
      <c r="L1766" t="s">
        <v>1859</v>
      </c>
      <c r="M1766" s="7" t="s">
        <v>3941</v>
      </c>
      <c r="N1766" t="s">
        <v>1866</v>
      </c>
      <c r="O1766" s="7" t="s">
        <v>3920</v>
      </c>
      <c r="P1766" s="17" t="str">
        <f t="shared" ca="1" si="54"/>
        <v>0-14.9K</v>
      </c>
      <c r="Q1766" s="17">
        <v>8</v>
      </c>
      <c r="R1766">
        <v>4</v>
      </c>
      <c r="S1766">
        <v>5</v>
      </c>
      <c r="T1766">
        <v>1</v>
      </c>
      <c r="U1766">
        <v>9</v>
      </c>
      <c r="V1766" s="15">
        <f t="shared" ca="1" si="55"/>
        <v>1</v>
      </c>
    </row>
    <row r="1767" spans="1:22">
      <c r="A1767" t="s">
        <v>3193</v>
      </c>
      <c r="B1767" s="1">
        <v>41055.464895833335</v>
      </c>
      <c r="C1767" s="2">
        <v>4200</v>
      </c>
      <c r="D1767">
        <v>4200</v>
      </c>
      <c r="E1767" t="s">
        <v>1856</v>
      </c>
      <c r="F1767" s="5">
        <v>4200</v>
      </c>
      <c r="G1767" s="5">
        <v>4200</v>
      </c>
      <c r="H1767" s="5">
        <f ca="1">OFFSET(F1767,0,Brains!$D$1,1,1)</f>
        <v>4200</v>
      </c>
      <c r="I1767" t="s">
        <v>3180</v>
      </c>
      <c r="J1767" t="s">
        <v>1921</v>
      </c>
      <c r="K1767" t="s">
        <v>1859</v>
      </c>
      <c r="L1767" t="s">
        <v>1859</v>
      </c>
      <c r="M1767" s="7" t="s">
        <v>3941</v>
      </c>
      <c r="N1767" t="s">
        <v>1866</v>
      </c>
      <c r="O1767" s="7" t="s">
        <v>3920</v>
      </c>
      <c r="P1767" s="17" t="str">
        <f t="shared" ca="1" si="54"/>
        <v>0-14.9K</v>
      </c>
      <c r="Q1767" s="17">
        <v>8</v>
      </c>
      <c r="R1767">
        <v>4</v>
      </c>
      <c r="S1767">
        <v>5</v>
      </c>
      <c r="T1767">
        <v>1</v>
      </c>
      <c r="U1767">
        <v>9</v>
      </c>
      <c r="V1767" s="15">
        <f t="shared" ca="1" si="55"/>
        <v>1</v>
      </c>
    </row>
    <row r="1768" spans="1:22">
      <c r="A1768" t="s">
        <v>3231</v>
      </c>
      <c r="B1768" s="1">
        <v>41055.496724537035</v>
      </c>
      <c r="C1768" s="2">
        <v>4000</v>
      </c>
      <c r="D1768">
        <v>4000</v>
      </c>
      <c r="E1768" t="s">
        <v>1856</v>
      </c>
      <c r="F1768" s="5">
        <v>4000</v>
      </c>
      <c r="G1768" s="5">
        <v>4000</v>
      </c>
      <c r="H1768" s="5">
        <f ca="1">OFFSET(F1768,0,Brains!$D$1,1,1)</f>
        <v>4000</v>
      </c>
      <c r="I1768" t="s">
        <v>3180</v>
      </c>
      <c r="J1768" t="s">
        <v>1921</v>
      </c>
      <c r="K1768" t="s">
        <v>1859</v>
      </c>
      <c r="L1768" t="s">
        <v>1859</v>
      </c>
      <c r="M1768" s="7" t="s">
        <v>3941</v>
      </c>
      <c r="N1768" t="s">
        <v>1866</v>
      </c>
      <c r="O1768" s="7" t="s">
        <v>3920</v>
      </c>
      <c r="P1768" s="17" t="str">
        <f t="shared" ca="1" si="54"/>
        <v>0-14.9K</v>
      </c>
      <c r="Q1768" s="17">
        <v>8</v>
      </c>
      <c r="R1768">
        <v>4</v>
      </c>
      <c r="S1768">
        <v>5</v>
      </c>
      <c r="T1768">
        <v>1</v>
      </c>
      <c r="U1768">
        <v>9</v>
      </c>
      <c r="V1768" s="15">
        <f t="shared" ca="1" si="55"/>
        <v>1</v>
      </c>
    </row>
    <row r="1769" spans="1:22">
      <c r="A1769" t="s">
        <v>152</v>
      </c>
      <c r="B1769" s="1">
        <v>41057.571539351855</v>
      </c>
      <c r="C1769" s="2">
        <v>1.8</v>
      </c>
      <c r="D1769">
        <v>180000</v>
      </c>
      <c r="E1769" t="s">
        <v>1908</v>
      </c>
      <c r="F1769" s="5">
        <v>3205.4250037396623</v>
      </c>
      <c r="G1769" s="5">
        <v>8963.2506722437993</v>
      </c>
      <c r="H1769" s="5">
        <f ca="1">OFFSET(F1769,0,Brains!$D$1,1,1)</f>
        <v>8963.2506722437993</v>
      </c>
      <c r="I1769" t="s">
        <v>2620</v>
      </c>
      <c r="J1769" t="s">
        <v>1921</v>
      </c>
      <c r="K1769" t="s">
        <v>1859</v>
      </c>
      <c r="L1769" t="s">
        <v>1859</v>
      </c>
      <c r="M1769" s="7" t="s">
        <v>3941</v>
      </c>
      <c r="N1769" t="s">
        <v>1866</v>
      </c>
      <c r="O1769" s="7" t="s">
        <v>3920</v>
      </c>
      <c r="P1769" s="17" t="str">
        <f t="shared" ca="1" si="54"/>
        <v>0-14.9K</v>
      </c>
      <c r="Q1769" s="17">
        <v>8</v>
      </c>
      <c r="R1769">
        <v>4</v>
      </c>
      <c r="S1769">
        <v>5</v>
      </c>
      <c r="T1769">
        <v>1</v>
      </c>
      <c r="U1769">
        <v>9</v>
      </c>
      <c r="V1769" s="15">
        <f t="shared" ca="1" si="55"/>
        <v>1</v>
      </c>
    </row>
    <row r="1770" spans="1:22">
      <c r="A1770" t="s">
        <v>3289</v>
      </c>
      <c r="B1770" s="1">
        <v>41055.541446759256</v>
      </c>
      <c r="C1770" s="2">
        <v>325000</v>
      </c>
      <c r="D1770">
        <v>325000</v>
      </c>
      <c r="E1770" t="s">
        <v>1908</v>
      </c>
      <c r="F1770" s="5">
        <v>5787.5729234188348</v>
      </c>
      <c r="G1770" s="5">
        <v>16183.647047106861</v>
      </c>
      <c r="H1770" s="5">
        <f ca="1">OFFSET(F1770,0,Brains!$D$1,1,1)</f>
        <v>16183.647047106861</v>
      </c>
      <c r="I1770" t="s">
        <v>3180</v>
      </c>
      <c r="J1770" t="s">
        <v>1921</v>
      </c>
      <c r="K1770" t="s">
        <v>1859</v>
      </c>
      <c r="L1770" t="s">
        <v>1859</v>
      </c>
      <c r="M1770" s="7" t="s">
        <v>3941</v>
      </c>
      <c r="N1770" t="s">
        <v>1866</v>
      </c>
      <c r="O1770" s="7" t="s">
        <v>3920</v>
      </c>
      <c r="P1770" s="17" t="str">
        <f t="shared" ca="1" si="54"/>
        <v>15-29.9K</v>
      </c>
      <c r="Q1770" s="17">
        <v>8</v>
      </c>
      <c r="R1770">
        <v>4.5</v>
      </c>
      <c r="S1770">
        <v>5</v>
      </c>
      <c r="T1770">
        <v>1</v>
      </c>
      <c r="U1770">
        <v>9</v>
      </c>
      <c r="V1770" s="15">
        <f t="shared" ca="1" si="55"/>
        <v>2</v>
      </c>
    </row>
    <row r="1771" spans="1:22">
      <c r="A1771" t="s">
        <v>202</v>
      </c>
      <c r="B1771" s="1">
        <v>41057.633773148147</v>
      </c>
      <c r="C1771" s="2">
        <v>7000</v>
      </c>
      <c r="D1771">
        <v>7000</v>
      </c>
      <c r="E1771" t="s">
        <v>1856</v>
      </c>
      <c r="F1771" s="5">
        <v>7000</v>
      </c>
      <c r="G1771" s="5">
        <v>7000</v>
      </c>
      <c r="H1771" s="5">
        <f ca="1">OFFSET(F1771,0,Brains!$D$1,1,1)</f>
        <v>7000</v>
      </c>
      <c r="I1771" t="s">
        <v>3180</v>
      </c>
      <c r="J1771" t="s">
        <v>1921</v>
      </c>
      <c r="K1771" t="s">
        <v>1859</v>
      </c>
      <c r="L1771" t="s">
        <v>1859</v>
      </c>
      <c r="M1771" s="7" t="s">
        <v>3941</v>
      </c>
      <c r="N1771" t="s">
        <v>1866</v>
      </c>
      <c r="O1771" s="7" t="s">
        <v>3920</v>
      </c>
      <c r="P1771" s="17" t="str">
        <f t="shared" ca="1" si="54"/>
        <v>0-14.9K</v>
      </c>
      <c r="Q1771" s="17">
        <v>8</v>
      </c>
      <c r="R1771">
        <v>5</v>
      </c>
      <c r="S1771">
        <v>5</v>
      </c>
      <c r="T1771">
        <v>1</v>
      </c>
      <c r="U1771">
        <v>9</v>
      </c>
      <c r="V1771" s="15">
        <f t="shared" ca="1" si="55"/>
        <v>1</v>
      </c>
    </row>
    <row r="1772" spans="1:22">
      <c r="A1772" t="s">
        <v>1497</v>
      </c>
      <c r="B1772" s="1">
        <v>41067.587939814817</v>
      </c>
      <c r="C1772" s="2" t="s">
        <v>1498</v>
      </c>
      <c r="D1772">
        <v>6000</v>
      </c>
      <c r="E1772" t="s">
        <v>1856</v>
      </c>
      <c r="F1772" s="5">
        <v>6000</v>
      </c>
      <c r="G1772" s="5">
        <v>6000</v>
      </c>
      <c r="H1772" s="5">
        <f ca="1">OFFSET(F1772,0,Brains!$D$1,1,1)</f>
        <v>6000</v>
      </c>
      <c r="I1772" t="s">
        <v>1499</v>
      </c>
      <c r="J1772" t="s">
        <v>1921</v>
      </c>
      <c r="K1772" t="s">
        <v>1500</v>
      </c>
      <c r="L1772" t="s">
        <v>1500</v>
      </c>
      <c r="M1772" s="7" t="s">
        <v>3941</v>
      </c>
      <c r="N1772" t="s">
        <v>1866</v>
      </c>
      <c r="O1772" s="7" t="s">
        <v>3920</v>
      </c>
      <c r="P1772" s="17" t="str">
        <f t="shared" ca="1" si="54"/>
        <v>0-14.9K</v>
      </c>
      <c r="Q1772" s="17">
        <v>8</v>
      </c>
      <c r="R1772">
        <v>5</v>
      </c>
      <c r="S1772">
        <v>5</v>
      </c>
      <c r="T1772">
        <v>1</v>
      </c>
      <c r="U1772">
        <v>9</v>
      </c>
      <c r="V1772" s="15">
        <f t="shared" ca="1" si="55"/>
        <v>1</v>
      </c>
    </row>
    <row r="1773" spans="1:22">
      <c r="A1773" t="s">
        <v>335</v>
      </c>
      <c r="B1773" s="1">
        <v>41057.795393518521</v>
      </c>
      <c r="C1773" s="2" t="s">
        <v>336</v>
      </c>
      <c r="D1773">
        <v>200000</v>
      </c>
      <c r="E1773" t="s">
        <v>1908</v>
      </c>
      <c r="F1773" s="5">
        <v>3561.5833374885137</v>
      </c>
      <c r="G1773" s="5">
        <v>9959.167413604222</v>
      </c>
      <c r="H1773" s="5">
        <f ca="1">OFFSET(F1773,0,Brains!$D$1,1,1)</f>
        <v>9959.167413604222</v>
      </c>
      <c r="I1773" t="s">
        <v>337</v>
      </c>
      <c r="J1773" t="s">
        <v>1921</v>
      </c>
      <c r="K1773" t="s">
        <v>1859</v>
      </c>
      <c r="L1773" t="s">
        <v>1859</v>
      </c>
      <c r="M1773" s="7" t="s">
        <v>3941</v>
      </c>
      <c r="N1773" t="s">
        <v>1866</v>
      </c>
      <c r="O1773" s="7" t="s">
        <v>3920</v>
      </c>
      <c r="P1773" s="17" t="str">
        <f t="shared" ca="1" si="54"/>
        <v>0-14.9K</v>
      </c>
      <c r="Q1773" s="17">
        <v>8</v>
      </c>
      <c r="R1773">
        <v>5</v>
      </c>
      <c r="S1773">
        <v>5</v>
      </c>
      <c r="T1773">
        <v>1</v>
      </c>
      <c r="U1773">
        <v>9</v>
      </c>
      <c r="V1773" s="15">
        <f t="shared" ca="1" si="55"/>
        <v>1</v>
      </c>
    </row>
    <row r="1774" spans="1:22">
      <c r="A1774" t="s">
        <v>3462</v>
      </c>
      <c r="B1774" s="1">
        <v>41055.71025462963</v>
      </c>
      <c r="C1774" s="2" t="s">
        <v>3463</v>
      </c>
      <c r="D1774">
        <v>225000</v>
      </c>
      <c r="E1774" t="s">
        <v>1908</v>
      </c>
      <c r="F1774" s="5">
        <v>4006.7812546745777</v>
      </c>
      <c r="G1774" s="5">
        <v>11204.06334030475</v>
      </c>
      <c r="H1774" s="5">
        <f ca="1">OFFSET(F1774,0,Brains!$D$1,1,1)</f>
        <v>11204.06334030475</v>
      </c>
      <c r="I1774" t="s">
        <v>3180</v>
      </c>
      <c r="J1774" t="s">
        <v>1921</v>
      </c>
      <c r="K1774" t="s">
        <v>1859</v>
      </c>
      <c r="L1774" t="s">
        <v>1859</v>
      </c>
      <c r="M1774" s="7" t="s">
        <v>3941</v>
      </c>
      <c r="N1774" t="s">
        <v>1866</v>
      </c>
      <c r="O1774" s="7" t="s">
        <v>3920</v>
      </c>
      <c r="P1774" s="17" t="str">
        <f t="shared" ca="1" si="54"/>
        <v>0-14.9K</v>
      </c>
      <c r="Q1774" s="17">
        <v>8</v>
      </c>
      <c r="R1774">
        <v>5.5</v>
      </c>
      <c r="S1774">
        <v>5</v>
      </c>
      <c r="T1774">
        <v>1</v>
      </c>
      <c r="U1774">
        <v>9</v>
      </c>
      <c r="V1774" s="15">
        <f t="shared" ca="1" si="55"/>
        <v>1</v>
      </c>
    </row>
    <row r="1775" spans="1:22">
      <c r="A1775" t="s">
        <v>726</v>
      </c>
      <c r="B1775" s="1">
        <v>41058.66196759259</v>
      </c>
      <c r="C1775" s="2">
        <v>10000</v>
      </c>
      <c r="D1775">
        <v>10000</v>
      </c>
      <c r="E1775" t="s">
        <v>1856</v>
      </c>
      <c r="F1775" s="5">
        <v>10000</v>
      </c>
      <c r="G1775" s="5">
        <v>10000</v>
      </c>
      <c r="H1775" s="5">
        <f ca="1">OFFSET(F1775,0,Brains!$D$1,1,1)</f>
        <v>10000</v>
      </c>
      <c r="I1775" t="s">
        <v>2493</v>
      </c>
      <c r="J1775" t="s">
        <v>1921</v>
      </c>
      <c r="K1775" t="s">
        <v>1859</v>
      </c>
      <c r="L1775" t="s">
        <v>1859</v>
      </c>
      <c r="M1775" s="11" t="s">
        <v>3916</v>
      </c>
      <c r="N1775" t="s">
        <v>1884</v>
      </c>
      <c r="O1775" s="7" t="s">
        <v>3920</v>
      </c>
      <c r="P1775" s="17" t="str">
        <f t="shared" ca="1" si="54"/>
        <v>0-14.9K</v>
      </c>
      <c r="Q1775" s="17">
        <v>1.5</v>
      </c>
      <c r="R1775">
        <v>0.5</v>
      </c>
      <c r="S1775">
        <v>2</v>
      </c>
      <c r="T1775">
        <v>1</v>
      </c>
      <c r="U1775">
        <v>9</v>
      </c>
      <c r="V1775" s="15">
        <f t="shared" ca="1" si="55"/>
        <v>1</v>
      </c>
    </row>
    <row r="1776" spans="1:22">
      <c r="A1776" t="s">
        <v>3239</v>
      </c>
      <c r="B1776" s="1">
        <v>41055.511817129627</v>
      </c>
      <c r="C1776" s="2">
        <v>480000</v>
      </c>
      <c r="D1776">
        <v>480000</v>
      </c>
      <c r="E1776" t="s">
        <v>1908</v>
      </c>
      <c r="F1776" s="5">
        <v>8547.8000099724322</v>
      </c>
      <c r="G1776" s="5">
        <v>23902.001792650135</v>
      </c>
      <c r="H1776" s="5">
        <f ca="1">OFFSET(F1776,0,Brains!$D$1,1,1)</f>
        <v>23902.001792650135</v>
      </c>
      <c r="I1776" t="s">
        <v>3240</v>
      </c>
      <c r="J1776" t="s">
        <v>1921</v>
      </c>
      <c r="K1776" t="s">
        <v>1859</v>
      </c>
      <c r="L1776" t="s">
        <v>1859</v>
      </c>
      <c r="M1776" s="11" t="s">
        <v>3916</v>
      </c>
      <c r="N1776" t="s">
        <v>1884</v>
      </c>
      <c r="O1776" s="7" t="s">
        <v>3920</v>
      </c>
      <c r="P1776" s="17" t="str">
        <f t="shared" ca="1" si="54"/>
        <v>15-29.9K</v>
      </c>
      <c r="Q1776" s="17">
        <v>1.5</v>
      </c>
      <c r="R1776">
        <v>3</v>
      </c>
      <c r="S1776">
        <v>2</v>
      </c>
      <c r="T1776">
        <v>1</v>
      </c>
      <c r="U1776">
        <v>9</v>
      </c>
      <c r="V1776" s="15">
        <f t="shared" ca="1" si="55"/>
        <v>2</v>
      </c>
    </row>
    <row r="1777" spans="1:22">
      <c r="A1777" t="s">
        <v>693</v>
      </c>
      <c r="B1777" s="1">
        <v>41058.621863425928</v>
      </c>
      <c r="C1777" s="2" t="s">
        <v>694</v>
      </c>
      <c r="D1777">
        <v>210000</v>
      </c>
      <c r="E1777" t="s">
        <v>1908</v>
      </c>
      <c r="F1777" s="5">
        <v>3739.6625043629392</v>
      </c>
      <c r="G1777" s="5">
        <v>10457.125784284433</v>
      </c>
      <c r="H1777" s="5">
        <f ca="1">OFFSET(F1777,0,Brains!$D$1,1,1)</f>
        <v>10457.125784284433</v>
      </c>
      <c r="I1777" t="s">
        <v>695</v>
      </c>
      <c r="J1777" t="s">
        <v>1921</v>
      </c>
      <c r="K1777" t="s">
        <v>1859</v>
      </c>
      <c r="L1777" t="s">
        <v>1859</v>
      </c>
      <c r="M1777" s="11" t="s">
        <v>3916</v>
      </c>
      <c r="N1777" t="s">
        <v>1884</v>
      </c>
      <c r="O1777" s="7" t="s">
        <v>3920</v>
      </c>
      <c r="P1777" s="17" t="str">
        <f t="shared" ca="1" si="54"/>
        <v>0-14.9K</v>
      </c>
      <c r="Q1777" s="17">
        <v>1.5</v>
      </c>
      <c r="R1777">
        <v>4.5</v>
      </c>
      <c r="S1777">
        <v>2</v>
      </c>
      <c r="T1777">
        <v>1</v>
      </c>
      <c r="U1777">
        <v>9</v>
      </c>
      <c r="V1777" s="15">
        <f t="shared" ca="1" si="55"/>
        <v>1</v>
      </c>
    </row>
    <row r="1778" spans="1:22">
      <c r="A1778" t="s">
        <v>3373</v>
      </c>
      <c r="B1778" s="1">
        <v>41055.599861111114</v>
      </c>
      <c r="C1778" s="2">
        <v>500000</v>
      </c>
      <c r="D1778">
        <v>500000</v>
      </c>
      <c r="E1778" t="s">
        <v>1908</v>
      </c>
      <c r="F1778" s="5">
        <v>8903.9583437212841</v>
      </c>
      <c r="G1778" s="5">
        <v>24897.918534010558</v>
      </c>
      <c r="H1778" s="5">
        <f ca="1">OFFSET(F1778,0,Brains!$D$1,1,1)</f>
        <v>24897.918534010558</v>
      </c>
      <c r="I1778" t="s">
        <v>3374</v>
      </c>
      <c r="J1778" t="s">
        <v>1921</v>
      </c>
      <c r="K1778" t="s">
        <v>1859</v>
      </c>
      <c r="L1778" t="s">
        <v>1859</v>
      </c>
      <c r="M1778" s="11" t="s">
        <v>3917</v>
      </c>
      <c r="N1778" t="s">
        <v>1873</v>
      </c>
      <c r="O1778" s="7" t="s">
        <v>3920</v>
      </c>
      <c r="P1778" s="17" t="str">
        <f t="shared" ca="1" si="54"/>
        <v>15-29.9K</v>
      </c>
      <c r="Q1778" s="17">
        <v>2.5</v>
      </c>
      <c r="R1778">
        <v>1</v>
      </c>
      <c r="S1778">
        <v>3</v>
      </c>
      <c r="T1778">
        <v>1</v>
      </c>
      <c r="U1778">
        <v>9</v>
      </c>
      <c r="V1778" s="15">
        <f t="shared" ca="1" si="55"/>
        <v>2</v>
      </c>
    </row>
    <row r="1779" spans="1:22">
      <c r="A1779" t="s">
        <v>134</v>
      </c>
      <c r="B1779" s="1">
        <v>41057.548634259256</v>
      </c>
      <c r="C1779" s="2">
        <v>28000</v>
      </c>
      <c r="D1779">
        <v>28000</v>
      </c>
      <c r="E1779" t="s">
        <v>1856</v>
      </c>
      <c r="F1779" s="5">
        <v>28000</v>
      </c>
      <c r="G1779" s="5">
        <v>28000</v>
      </c>
      <c r="H1779" s="5">
        <f ca="1">OFFSET(F1779,0,Brains!$D$1,1,1)</f>
        <v>28000</v>
      </c>
      <c r="I1779" t="s">
        <v>135</v>
      </c>
      <c r="J1779" t="s">
        <v>1921</v>
      </c>
      <c r="K1779" t="s">
        <v>1859</v>
      </c>
      <c r="L1779" t="s">
        <v>1859</v>
      </c>
      <c r="M1779" s="11" t="s">
        <v>3917</v>
      </c>
      <c r="N1779" t="s">
        <v>1873</v>
      </c>
      <c r="O1779" s="7" t="s">
        <v>3920</v>
      </c>
      <c r="P1779" s="17" t="str">
        <f t="shared" ca="1" si="54"/>
        <v>15-29.9K</v>
      </c>
      <c r="Q1779" s="17">
        <v>2.5</v>
      </c>
      <c r="R1779">
        <v>3</v>
      </c>
      <c r="S1779">
        <v>3</v>
      </c>
      <c r="T1779">
        <v>1</v>
      </c>
      <c r="U1779">
        <v>9</v>
      </c>
      <c r="V1779" s="15">
        <f t="shared" ca="1" si="55"/>
        <v>2</v>
      </c>
    </row>
    <row r="1780" spans="1:22">
      <c r="A1780" t="s">
        <v>234</v>
      </c>
      <c r="B1780" s="1">
        <v>41057.65965277778</v>
      </c>
      <c r="C1780" s="2" t="s">
        <v>3397</v>
      </c>
      <c r="D1780">
        <v>250000</v>
      </c>
      <c r="E1780" t="s">
        <v>1908</v>
      </c>
      <c r="F1780" s="5">
        <v>4451.9791718606421</v>
      </c>
      <c r="G1780" s="5">
        <v>12448.959267005279</v>
      </c>
      <c r="H1780" s="5">
        <f ca="1">OFFSET(F1780,0,Brains!$D$1,1,1)</f>
        <v>12448.959267005279</v>
      </c>
      <c r="I1780" t="s">
        <v>3180</v>
      </c>
      <c r="J1780" t="s">
        <v>1921</v>
      </c>
      <c r="K1780" t="s">
        <v>1859</v>
      </c>
      <c r="L1780" t="s">
        <v>1859</v>
      </c>
      <c r="M1780" s="11" t="s">
        <v>3917</v>
      </c>
      <c r="N1780" t="s">
        <v>1873</v>
      </c>
      <c r="O1780" s="7" t="s">
        <v>3920</v>
      </c>
      <c r="P1780" s="17" t="str">
        <f t="shared" ca="1" si="54"/>
        <v>0-14.9K</v>
      </c>
      <c r="Q1780" s="17">
        <v>2.5</v>
      </c>
      <c r="R1780">
        <v>3</v>
      </c>
      <c r="S1780">
        <v>3</v>
      </c>
      <c r="T1780">
        <v>1</v>
      </c>
      <c r="U1780">
        <v>9</v>
      </c>
      <c r="V1780" s="15">
        <f t="shared" ca="1" si="55"/>
        <v>1</v>
      </c>
    </row>
    <row r="1781" spans="1:22">
      <c r="A1781" t="s">
        <v>699</v>
      </c>
      <c r="B1781" s="1">
        <v>41058.62703703704</v>
      </c>
      <c r="C1781" s="2" t="s">
        <v>700</v>
      </c>
      <c r="D1781">
        <v>200000</v>
      </c>
      <c r="E1781" t="s">
        <v>1908</v>
      </c>
      <c r="F1781" s="5">
        <v>3561.5833374885137</v>
      </c>
      <c r="G1781" s="5">
        <v>9959.167413604222</v>
      </c>
      <c r="H1781" s="5">
        <f ca="1">OFFSET(F1781,0,Brains!$D$1,1,1)</f>
        <v>9959.167413604222</v>
      </c>
      <c r="I1781" t="s">
        <v>2493</v>
      </c>
      <c r="J1781" t="s">
        <v>1921</v>
      </c>
      <c r="K1781" t="s">
        <v>1859</v>
      </c>
      <c r="L1781" t="s">
        <v>1859</v>
      </c>
      <c r="M1781" s="11" t="s">
        <v>3917</v>
      </c>
      <c r="N1781" t="s">
        <v>1873</v>
      </c>
      <c r="O1781" s="7" t="s">
        <v>3920</v>
      </c>
      <c r="P1781" s="17" t="str">
        <f t="shared" ca="1" si="54"/>
        <v>0-14.9K</v>
      </c>
      <c r="Q1781" s="17">
        <v>2.5</v>
      </c>
      <c r="R1781">
        <v>3</v>
      </c>
      <c r="S1781">
        <v>3</v>
      </c>
      <c r="T1781">
        <v>1</v>
      </c>
      <c r="U1781">
        <v>9</v>
      </c>
      <c r="V1781" s="15">
        <f t="shared" ca="1" si="55"/>
        <v>1</v>
      </c>
    </row>
    <row r="1782" spans="1:22">
      <c r="A1782" t="s">
        <v>646</v>
      </c>
      <c r="B1782" s="1">
        <v>41058.513645833336</v>
      </c>
      <c r="C1782" s="2" t="s">
        <v>647</v>
      </c>
      <c r="D1782">
        <v>300000</v>
      </c>
      <c r="E1782" t="s">
        <v>1908</v>
      </c>
      <c r="F1782" s="5">
        <v>5342.3750062327708</v>
      </c>
      <c r="G1782" s="5">
        <v>14938.751120406334</v>
      </c>
      <c r="H1782" s="5">
        <f ca="1">OFFSET(F1782,0,Brains!$D$1,1,1)</f>
        <v>14938.751120406334</v>
      </c>
      <c r="I1782" t="s">
        <v>648</v>
      </c>
      <c r="J1782" t="s">
        <v>1921</v>
      </c>
      <c r="K1782" t="s">
        <v>1859</v>
      </c>
      <c r="L1782" t="s">
        <v>1859</v>
      </c>
      <c r="M1782" s="11" t="s">
        <v>3917</v>
      </c>
      <c r="N1782" t="s">
        <v>1873</v>
      </c>
      <c r="O1782" s="7" t="s">
        <v>3920</v>
      </c>
      <c r="P1782" s="17" t="str">
        <f t="shared" ca="1" si="54"/>
        <v>0-14.9K</v>
      </c>
      <c r="Q1782" s="17">
        <v>2.5</v>
      </c>
      <c r="R1782">
        <v>5</v>
      </c>
      <c r="S1782">
        <v>3</v>
      </c>
      <c r="T1782">
        <v>1</v>
      </c>
      <c r="U1782">
        <v>9</v>
      </c>
      <c r="V1782" s="15">
        <f t="shared" ca="1" si="55"/>
        <v>1</v>
      </c>
    </row>
    <row r="1783" spans="1:22">
      <c r="A1783" t="s">
        <v>1297</v>
      </c>
      <c r="B1783" s="1">
        <v>41062.783009259256</v>
      </c>
      <c r="C1783" s="2">
        <v>7000</v>
      </c>
      <c r="D1783">
        <v>7000</v>
      </c>
      <c r="E1783" t="s">
        <v>1856</v>
      </c>
      <c r="F1783" s="5">
        <v>7000</v>
      </c>
      <c r="G1783" s="5">
        <v>7000</v>
      </c>
      <c r="H1783" s="5">
        <f ca="1">OFFSET(F1783,0,Brains!$D$1,1,1)</f>
        <v>7000</v>
      </c>
      <c r="I1783" t="s">
        <v>1298</v>
      </c>
      <c r="J1783" t="s">
        <v>1921</v>
      </c>
      <c r="K1783" t="s">
        <v>1859</v>
      </c>
      <c r="L1783" t="s">
        <v>1859</v>
      </c>
      <c r="M1783" s="11" t="s">
        <v>3918</v>
      </c>
      <c r="N1783" t="s">
        <v>1860</v>
      </c>
      <c r="O1783" s="7" t="s">
        <v>3920</v>
      </c>
      <c r="P1783" s="17" t="str">
        <f t="shared" ca="1" si="54"/>
        <v>0-14.9K</v>
      </c>
      <c r="Q1783" s="17">
        <v>5</v>
      </c>
      <c r="R1783">
        <v>1</v>
      </c>
      <c r="S1783">
        <v>4</v>
      </c>
      <c r="T1783">
        <v>1</v>
      </c>
      <c r="U1783">
        <v>9</v>
      </c>
      <c r="V1783" s="15">
        <f t="shared" ca="1" si="55"/>
        <v>1</v>
      </c>
    </row>
    <row r="1784" spans="1:22">
      <c r="A1784" t="s">
        <v>3223</v>
      </c>
      <c r="B1784" s="1">
        <v>41055.491412037038</v>
      </c>
      <c r="C1784" s="2" t="s">
        <v>3224</v>
      </c>
      <c r="D1784">
        <v>300000</v>
      </c>
      <c r="E1784" t="s">
        <v>1908</v>
      </c>
      <c r="F1784" s="5">
        <v>5342.3750062327708</v>
      </c>
      <c r="G1784" s="5">
        <v>14938.751120406334</v>
      </c>
      <c r="H1784" s="5">
        <f ca="1">OFFSET(F1784,0,Brains!$D$1,1,1)</f>
        <v>14938.751120406334</v>
      </c>
      <c r="I1784" t="s">
        <v>2493</v>
      </c>
      <c r="J1784" t="s">
        <v>1921</v>
      </c>
      <c r="K1784" t="s">
        <v>1859</v>
      </c>
      <c r="L1784" t="s">
        <v>1859</v>
      </c>
      <c r="M1784" s="11" t="s">
        <v>3918</v>
      </c>
      <c r="N1784" t="s">
        <v>1860</v>
      </c>
      <c r="O1784" s="7" t="s">
        <v>3920</v>
      </c>
      <c r="P1784" s="17" t="str">
        <f t="shared" ca="1" si="54"/>
        <v>0-14.9K</v>
      </c>
      <c r="Q1784" s="17">
        <v>5</v>
      </c>
      <c r="R1784">
        <v>1</v>
      </c>
      <c r="S1784">
        <v>4</v>
      </c>
      <c r="T1784">
        <v>1</v>
      </c>
      <c r="U1784">
        <v>9</v>
      </c>
      <c r="V1784" s="15">
        <f t="shared" ca="1" si="55"/>
        <v>1</v>
      </c>
    </row>
    <row r="1785" spans="1:22">
      <c r="A1785" t="s">
        <v>3655</v>
      </c>
      <c r="B1785" s="1">
        <v>41056.037037037036</v>
      </c>
      <c r="C1785" s="2" t="s">
        <v>3656</v>
      </c>
      <c r="D1785">
        <v>200000</v>
      </c>
      <c r="E1785" t="s">
        <v>1908</v>
      </c>
      <c r="F1785" s="5">
        <v>3561.5833374885137</v>
      </c>
      <c r="G1785" s="5">
        <v>9959.167413604222</v>
      </c>
      <c r="H1785" s="5">
        <f ca="1">OFFSET(F1785,0,Brains!$D$1,1,1)</f>
        <v>9959.167413604222</v>
      </c>
      <c r="I1785" t="s">
        <v>3657</v>
      </c>
      <c r="J1785" t="s">
        <v>1921</v>
      </c>
      <c r="K1785" t="s">
        <v>1859</v>
      </c>
      <c r="L1785" t="s">
        <v>1859</v>
      </c>
      <c r="M1785" s="11" t="s">
        <v>3918</v>
      </c>
      <c r="N1785" t="s">
        <v>1860</v>
      </c>
      <c r="O1785" s="7" t="s">
        <v>3920</v>
      </c>
      <c r="P1785" s="17" t="str">
        <f t="shared" ca="1" si="54"/>
        <v>0-14.9K</v>
      </c>
      <c r="Q1785" s="17">
        <v>5</v>
      </c>
      <c r="R1785">
        <v>1</v>
      </c>
      <c r="S1785">
        <v>4</v>
      </c>
      <c r="T1785">
        <v>1</v>
      </c>
      <c r="U1785">
        <v>9</v>
      </c>
      <c r="V1785" s="15">
        <f t="shared" ca="1" si="55"/>
        <v>1</v>
      </c>
    </row>
    <row r="1786" spans="1:22">
      <c r="A1786" t="s">
        <v>1185</v>
      </c>
      <c r="B1786" s="1">
        <v>41060.964675925927</v>
      </c>
      <c r="C1786" s="2" t="s">
        <v>288</v>
      </c>
      <c r="D1786">
        <v>25000</v>
      </c>
      <c r="E1786" t="s">
        <v>1954</v>
      </c>
      <c r="F1786" s="5">
        <v>39404.456801682099</v>
      </c>
      <c r="G1786" s="5">
        <v>37091.988130563797</v>
      </c>
      <c r="H1786" s="5">
        <f ca="1">OFFSET(F1786,0,Brains!$D$1,1,1)</f>
        <v>37091.988130563797</v>
      </c>
      <c r="I1786" t="s">
        <v>1186</v>
      </c>
      <c r="J1786" t="s">
        <v>1921</v>
      </c>
      <c r="K1786" t="s">
        <v>1956</v>
      </c>
      <c r="L1786" t="s">
        <v>1956</v>
      </c>
      <c r="M1786" s="11" t="s">
        <v>3918</v>
      </c>
      <c r="N1786" t="s">
        <v>1860</v>
      </c>
      <c r="O1786" s="7" t="s">
        <v>3920</v>
      </c>
      <c r="P1786" s="17" t="str">
        <f t="shared" ca="1" si="54"/>
        <v>30-49.9K</v>
      </c>
      <c r="Q1786" s="17">
        <v>5</v>
      </c>
      <c r="R1786">
        <v>2</v>
      </c>
      <c r="S1786">
        <v>4</v>
      </c>
      <c r="T1786">
        <v>1</v>
      </c>
      <c r="U1786">
        <v>9</v>
      </c>
      <c r="V1786" s="15">
        <f t="shared" ca="1" si="55"/>
        <v>3</v>
      </c>
    </row>
    <row r="1787" spans="1:22">
      <c r="A1787" t="s">
        <v>3651</v>
      </c>
      <c r="B1787" s="1">
        <v>41056.008946759262</v>
      </c>
      <c r="C1787" s="2">
        <v>30000</v>
      </c>
      <c r="D1787">
        <v>30000</v>
      </c>
      <c r="E1787" t="s">
        <v>1856</v>
      </c>
      <c r="F1787" s="5">
        <v>30000</v>
      </c>
      <c r="G1787" s="5">
        <v>30000</v>
      </c>
      <c r="H1787" s="5">
        <f ca="1">OFFSET(F1787,0,Brains!$D$1,1,1)</f>
        <v>30000</v>
      </c>
      <c r="I1787" t="s">
        <v>3180</v>
      </c>
      <c r="J1787" t="s">
        <v>1921</v>
      </c>
      <c r="K1787" t="s">
        <v>1859</v>
      </c>
      <c r="L1787" t="s">
        <v>1859</v>
      </c>
      <c r="M1787" s="11" t="s">
        <v>3918</v>
      </c>
      <c r="N1787" t="s">
        <v>1860</v>
      </c>
      <c r="O1787" s="7" t="s">
        <v>3920</v>
      </c>
      <c r="P1787" s="17" t="str">
        <f t="shared" ca="1" si="54"/>
        <v>30-49.9K</v>
      </c>
      <c r="Q1787" s="17">
        <v>5</v>
      </c>
      <c r="R1787">
        <v>2</v>
      </c>
      <c r="S1787">
        <v>4</v>
      </c>
      <c r="T1787">
        <v>1</v>
      </c>
      <c r="U1787">
        <v>9</v>
      </c>
      <c r="V1787" s="15">
        <f t="shared" ca="1" si="55"/>
        <v>3</v>
      </c>
    </row>
    <row r="1788" spans="1:22">
      <c r="A1788" t="s">
        <v>1534</v>
      </c>
      <c r="B1788" s="1">
        <v>41068.580370370371</v>
      </c>
      <c r="C1788" s="2" t="s">
        <v>1535</v>
      </c>
      <c r="D1788">
        <v>180000</v>
      </c>
      <c r="E1788" t="s">
        <v>1908</v>
      </c>
      <c r="F1788" s="5">
        <v>3205.4250037396623</v>
      </c>
      <c r="G1788" s="5">
        <v>8963.2506722437993</v>
      </c>
      <c r="H1788" s="5">
        <f ca="1">OFFSET(F1788,0,Brains!$D$1,1,1)</f>
        <v>8963.2506722437993</v>
      </c>
      <c r="I1788" t="s">
        <v>2836</v>
      </c>
      <c r="J1788" t="s">
        <v>1921</v>
      </c>
      <c r="K1788" t="s">
        <v>1859</v>
      </c>
      <c r="L1788" t="s">
        <v>1859</v>
      </c>
      <c r="M1788" s="11" t="s">
        <v>3918</v>
      </c>
      <c r="N1788" t="s">
        <v>1860</v>
      </c>
      <c r="O1788" s="7" t="s">
        <v>3920</v>
      </c>
      <c r="P1788" s="17" t="str">
        <f t="shared" ca="1" si="54"/>
        <v>0-14.9K</v>
      </c>
      <c r="Q1788" s="17">
        <v>5</v>
      </c>
      <c r="R1788">
        <v>2</v>
      </c>
      <c r="S1788">
        <v>4</v>
      </c>
      <c r="T1788">
        <v>1</v>
      </c>
      <c r="U1788">
        <v>9</v>
      </c>
      <c r="V1788" s="15">
        <f t="shared" ca="1" si="55"/>
        <v>1</v>
      </c>
    </row>
    <row r="1789" spans="1:22">
      <c r="A1789" t="s">
        <v>3577</v>
      </c>
      <c r="B1789" s="1">
        <v>41055.914305555554</v>
      </c>
      <c r="C1789" s="2">
        <v>170000</v>
      </c>
      <c r="D1789">
        <v>170000</v>
      </c>
      <c r="E1789" t="s">
        <v>1908</v>
      </c>
      <c r="F1789" s="5">
        <v>3027.3458368652364</v>
      </c>
      <c r="G1789" s="5">
        <v>8465.2923015635897</v>
      </c>
      <c r="H1789" s="5">
        <f ca="1">OFFSET(F1789,0,Brains!$D$1,1,1)</f>
        <v>8465.2923015635897</v>
      </c>
      <c r="I1789" t="s">
        <v>3578</v>
      </c>
      <c r="J1789" t="s">
        <v>1921</v>
      </c>
      <c r="K1789" t="s">
        <v>1859</v>
      </c>
      <c r="L1789" t="s">
        <v>1859</v>
      </c>
      <c r="M1789" s="11" t="s">
        <v>3918</v>
      </c>
      <c r="N1789" t="s">
        <v>1860</v>
      </c>
      <c r="O1789" s="7" t="s">
        <v>3920</v>
      </c>
      <c r="P1789" s="17" t="str">
        <f t="shared" ca="1" si="54"/>
        <v>0-14.9K</v>
      </c>
      <c r="Q1789" s="17">
        <v>5</v>
      </c>
      <c r="R1789">
        <v>2</v>
      </c>
      <c r="S1789">
        <v>4</v>
      </c>
      <c r="T1789">
        <v>1</v>
      </c>
      <c r="U1789">
        <v>9</v>
      </c>
      <c r="V1789" s="15">
        <f t="shared" ca="1" si="55"/>
        <v>1</v>
      </c>
    </row>
    <row r="1790" spans="1:22">
      <c r="A1790" t="s">
        <v>1796</v>
      </c>
      <c r="B1790" s="1">
        <v>41079.63585648148</v>
      </c>
      <c r="C1790" s="2">
        <v>250000</v>
      </c>
      <c r="D1790">
        <v>250000</v>
      </c>
      <c r="E1790" t="s">
        <v>1908</v>
      </c>
      <c r="F1790" s="5">
        <v>4451.9791718606421</v>
      </c>
      <c r="G1790" s="5">
        <v>12448.959267005279</v>
      </c>
      <c r="H1790" s="5">
        <f ca="1">OFFSET(F1790,0,Brains!$D$1,1,1)</f>
        <v>12448.959267005279</v>
      </c>
      <c r="I1790" t="s">
        <v>3267</v>
      </c>
      <c r="J1790" t="s">
        <v>1921</v>
      </c>
      <c r="K1790" t="s">
        <v>1859</v>
      </c>
      <c r="L1790" t="s">
        <v>1859</v>
      </c>
      <c r="M1790" s="11" t="s">
        <v>3918</v>
      </c>
      <c r="N1790" t="s">
        <v>1860</v>
      </c>
      <c r="O1790" s="7" t="s">
        <v>3920</v>
      </c>
      <c r="P1790" s="17" t="str">
        <f t="shared" ca="1" si="54"/>
        <v>0-14.9K</v>
      </c>
      <c r="Q1790" s="17">
        <v>5</v>
      </c>
      <c r="R1790">
        <v>3</v>
      </c>
      <c r="S1790">
        <v>4</v>
      </c>
      <c r="T1790">
        <v>1</v>
      </c>
      <c r="U1790">
        <v>9</v>
      </c>
      <c r="V1790" s="15">
        <f t="shared" ca="1" si="55"/>
        <v>1</v>
      </c>
    </row>
    <row r="1791" spans="1:22">
      <c r="A1791" t="s">
        <v>189</v>
      </c>
      <c r="B1791" s="1">
        <v>41057.614629629628</v>
      </c>
      <c r="C1791" s="2" t="s">
        <v>190</v>
      </c>
      <c r="D1791">
        <v>200000</v>
      </c>
      <c r="E1791" t="s">
        <v>1908</v>
      </c>
      <c r="F1791" s="5">
        <v>3561.5833374885137</v>
      </c>
      <c r="G1791" s="5">
        <v>9959.167413604222</v>
      </c>
      <c r="H1791" s="5">
        <f ca="1">OFFSET(F1791,0,Brains!$D$1,1,1)</f>
        <v>9959.167413604222</v>
      </c>
      <c r="I1791" t="s">
        <v>3180</v>
      </c>
      <c r="J1791" t="s">
        <v>1921</v>
      </c>
      <c r="K1791" t="s">
        <v>1859</v>
      </c>
      <c r="L1791" t="s">
        <v>1859</v>
      </c>
      <c r="M1791" s="11" t="s">
        <v>3918</v>
      </c>
      <c r="N1791" t="s">
        <v>1860</v>
      </c>
      <c r="O1791" s="7" t="s">
        <v>3920</v>
      </c>
      <c r="P1791" s="17" t="str">
        <f t="shared" ca="1" si="54"/>
        <v>0-14.9K</v>
      </c>
      <c r="Q1791" s="17">
        <v>5</v>
      </c>
      <c r="R1791">
        <v>3</v>
      </c>
      <c r="S1791">
        <v>4</v>
      </c>
      <c r="T1791">
        <v>1</v>
      </c>
      <c r="U1791">
        <v>9</v>
      </c>
      <c r="V1791" s="15">
        <f t="shared" ca="1" si="55"/>
        <v>1</v>
      </c>
    </row>
    <row r="1792" spans="1:22">
      <c r="A1792" t="s">
        <v>1797</v>
      </c>
      <c r="B1792" s="1">
        <v>41079.709467592591</v>
      </c>
      <c r="C1792" s="2" t="s">
        <v>1798</v>
      </c>
      <c r="D1792">
        <v>52224</v>
      </c>
      <c r="E1792" t="s">
        <v>1799</v>
      </c>
      <c r="F1792" s="5">
        <v>2953.8461538461538</v>
      </c>
      <c r="G1792" s="5">
        <v>7454.1821296031976</v>
      </c>
      <c r="H1792" s="5">
        <f ca="1">OFFSET(F1792,0,Brains!$D$1,1,1)</f>
        <v>7454.1821296031976</v>
      </c>
      <c r="I1792" t="s">
        <v>1800</v>
      </c>
      <c r="J1792" t="s">
        <v>1921</v>
      </c>
      <c r="K1792" t="s">
        <v>1801</v>
      </c>
      <c r="L1792" t="s">
        <v>1801</v>
      </c>
      <c r="M1792" s="11" t="s">
        <v>3918</v>
      </c>
      <c r="N1792" t="s">
        <v>1860</v>
      </c>
      <c r="O1792" s="7" t="s">
        <v>3920</v>
      </c>
      <c r="P1792" s="17" t="str">
        <f t="shared" ca="1" si="54"/>
        <v>0-14.9K</v>
      </c>
      <c r="Q1792" s="17">
        <v>5</v>
      </c>
      <c r="R1792">
        <v>3</v>
      </c>
      <c r="S1792">
        <v>4</v>
      </c>
      <c r="T1792">
        <v>1</v>
      </c>
      <c r="U1792">
        <v>9</v>
      </c>
      <c r="V1792" s="15">
        <f t="shared" ca="1" si="55"/>
        <v>1</v>
      </c>
    </row>
    <row r="1793" spans="1:22">
      <c r="A1793" t="s">
        <v>1646</v>
      </c>
      <c r="B1793" s="1">
        <v>41073.014050925929</v>
      </c>
      <c r="C1793" s="2" t="s">
        <v>1647</v>
      </c>
      <c r="D1793">
        <v>450000</v>
      </c>
      <c r="E1793" t="s">
        <v>1908</v>
      </c>
      <c r="F1793" s="5">
        <v>8013.5625093491553</v>
      </c>
      <c r="G1793" s="5">
        <v>22408.126680609501</v>
      </c>
      <c r="H1793" s="5">
        <f ca="1">OFFSET(F1793,0,Brains!$D$1,1,1)</f>
        <v>22408.126680609501</v>
      </c>
      <c r="I1793" t="s">
        <v>3180</v>
      </c>
      <c r="J1793" t="s">
        <v>1921</v>
      </c>
      <c r="K1793" t="s">
        <v>1859</v>
      </c>
      <c r="L1793" t="s">
        <v>1859</v>
      </c>
      <c r="M1793" s="11" t="s">
        <v>3918</v>
      </c>
      <c r="N1793" t="s">
        <v>1860</v>
      </c>
      <c r="O1793" s="7" t="s">
        <v>3920</v>
      </c>
      <c r="P1793" s="17" t="str">
        <f t="shared" ca="1" si="54"/>
        <v>15-29.9K</v>
      </c>
      <c r="Q1793" s="17">
        <v>5</v>
      </c>
      <c r="R1793">
        <v>4</v>
      </c>
      <c r="S1793">
        <v>4</v>
      </c>
      <c r="T1793">
        <v>1</v>
      </c>
      <c r="U1793">
        <v>9</v>
      </c>
      <c r="V1793" s="15">
        <f t="shared" ca="1" si="55"/>
        <v>2</v>
      </c>
    </row>
    <row r="1794" spans="1:22">
      <c r="A1794" t="s">
        <v>1376</v>
      </c>
      <c r="B1794" s="1">
        <v>41064.82371527778</v>
      </c>
      <c r="C1794" s="2" t="s">
        <v>1377</v>
      </c>
      <c r="D1794">
        <v>31200</v>
      </c>
      <c r="E1794" t="s">
        <v>1856</v>
      </c>
      <c r="F1794" s="5">
        <v>31200</v>
      </c>
      <c r="G1794" s="5">
        <v>31200</v>
      </c>
      <c r="H1794" s="5">
        <f ca="1">OFFSET(F1794,0,Brains!$D$1,1,1)</f>
        <v>31200</v>
      </c>
      <c r="I1794" t="s">
        <v>2695</v>
      </c>
      <c r="J1794" t="s">
        <v>1921</v>
      </c>
      <c r="K1794" t="s">
        <v>1378</v>
      </c>
      <c r="L1794" t="s">
        <v>2599</v>
      </c>
      <c r="M1794" s="7" t="s">
        <v>3941</v>
      </c>
      <c r="N1794" t="s">
        <v>1866</v>
      </c>
      <c r="O1794" s="7" t="s">
        <v>3922</v>
      </c>
      <c r="P1794" s="17" t="str">
        <f t="shared" ref="P1794:P1857" ca="1" si="56">IF(H1794&lt;15000,"0-14.9K",IF(H1794&lt;30000,"15-29.9K",IF(H1794&lt;50000,"30-49.9K",IF(H1794&lt;75000,"50-74.9K",IF(H1794&lt;100000,"75-99.9K",IF(H1794&lt;150000,"100-149.9K",IF(H1794&lt;250000,"150-249.9K","250K+")))))))</f>
        <v>30-49.9K</v>
      </c>
      <c r="Q1794" s="17">
        <v>8</v>
      </c>
      <c r="R1794">
        <v>11</v>
      </c>
      <c r="S1794">
        <v>5</v>
      </c>
      <c r="T1794">
        <v>3</v>
      </c>
      <c r="U1794">
        <v>9</v>
      </c>
      <c r="V1794" s="15">
        <f t="shared" ref="V1794:V1857" ca="1" si="57">IF(H1794&lt;15000,1,IF(H1794&lt;30000,2,IF(H1794&lt;50000,3,IF(H1794&lt;75000,4,IF(H1794&lt;100000,5,IF(H1794&lt;150000,6,IF(H1794&lt;250000,7,8)))))))</f>
        <v>3</v>
      </c>
    </row>
    <row r="1795" spans="1:22">
      <c r="A1795" t="s">
        <v>1383</v>
      </c>
      <c r="B1795" s="1">
        <v>41064.958449074074</v>
      </c>
      <c r="C1795" s="2">
        <v>92000</v>
      </c>
      <c r="D1795">
        <v>92000</v>
      </c>
      <c r="E1795" t="s">
        <v>1856</v>
      </c>
      <c r="F1795" s="5">
        <v>92000</v>
      </c>
      <c r="G1795" s="5">
        <v>92000</v>
      </c>
      <c r="H1795" s="5">
        <f ca="1">OFFSET(F1795,0,Brains!$D$1,1,1)</f>
        <v>92000</v>
      </c>
      <c r="I1795" t="s">
        <v>1384</v>
      </c>
      <c r="J1795" t="s">
        <v>1921</v>
      </c>
      <c r="K1795" t="s">
        <v>1869</v>
      </c>
      <c r="L1795" t="s">
        <v>1869</v>
      </c>
      <c r="M1795" s="11" t="s">
        <v>3917</v>
      </c>
      <c r="N1795" t="s">
        <v>1873</v>
      </c>
      <c r="O1795" s="7" t="s">
        <v>3922</v>
      </c>
      <c r="P1795" s="17" t="str">
        <f t="shared" ca="1" si="56"/>
        <v>75-99.9K</v>
      </c>
      <c r="Q1795" s="17">
        <v>2.5</v>
      </c>
      <c r="R1795">
        <v>12</v>
      </c>
      <c r="S1795">
        <v>3</v>
      </c>
      <c r="T1795">
        <v>3</v>
      </c>
      <c r="U1795">
        <v>9</v>
      </c>
      <c r="V1795" s="15">
        <f t="shared" ca="1" si="57"/>
        <v>5</v>
      </c>
    </row>
    <row r="1796" spans="1:22">
      <c r="A1796" t="s">
        <v>3560</v>
      </c>
      <c r="B1796" s="1">
        <v>41055.880023148151</v>
      </c>
      <c r="C1796" s="2" t="s">
        <v>2571</v>
      </c>
      <c r="D1796">
        <v>29000</v>
      </c>
      <c r="E1796" t="s">
        <v>1954</v>
      </c>
      <c r="F1796" s="5">
        <v>45709.169889951241</v>
      </c>
      <c r="G1796" s="5">
        <v>43026.706231454002</v>
      </c>
      <c r="H1796" s="5">
        <f ca="1">OFFSET(F1796,0,Brains!$D$1,1,1)</f>
        <v>43026.706231454002</v>
      </c>
      <c r="I1796" t="s">
        <v>3561</v>
      </c>
      <c r="J1796" t="s">
        <v>1921</v>
      </c>
      <c r="K1796" t="s">
        <v>1956</v>
      </c>
      <c r="L1796" t="s">
        <v>1956</v>
      </c>
      <c r="M1796" s="11" t="s">
        <v>3917</v>
      </c>
      <c r="N1796" t="s">
        <v>1873</v>
      </c>
      <c r="O1796" s="7" t="s">
        <v>3922</v>
      </c>
      <c r="P1796" s="17" t="str">
        <f t="shared" ca="1" si="56"/>
        <v>30-49.9K</v>
      </c>
      <c r="Q1796" s="17">
        <v>2.5</v>
      </c>
      <c r="R1796">
        <v>15</v>
      </c>
      <c r="S1796">
        <v>3</v>
      </c>
      <c r="T1796">
        <v>3</v>
      </c>
      <c r="U1796">
        <v>9</v>
      </c>
      <c r="V1796" s="15">
        <f t="shared" ca="1" si="57"/>
        <v>3</v>
      </c>
    </row>
    <row r="1797" spans="1:22">
      <c r="A1797" t="s">
        <v>3848</v>
      </c>
      <c r="B1797" s="1">
        <v>41056.990312499998</v>
      </c>
      <c r="C1797" s="2">
        <v>18060</v>
      </c>
      <c r="D1797">
        <v>18060</v>
      </c>
      <c r="E1797" t="s">
        <v>1856</v>
      </c>
      <c r="F1797" s="5">
        <v>18060</v>
      </c>
      <c r="G1797" s="5">
        <v>18060</v>
      </c>
      <c r="H1797" s="5">
        <f ca="1">OFFSET(F1797,0,Brains!$D$1,1,1)</f>
        <v>18060</v>
      </c>
      <c r="I1797" t="s">
        <v>3849</v>
      </c>
      <c r="J1797" t="s">
        <v>1921</v>
      </c>
      <c r="K1797" t="s">
        <v>2469</v>
      </c>
      <c r="L1797" t="s">
        <v>2469</v>
      </c>
      <c r="M1797" s="11" t="s">
        <v>3918</v>
      </c>
      <c r="N1797" t="s">
        <v>1860</v>
      </c>
      <c r="O1797" s="7" t="s">
        <v>3922</v>
      </c>
      <c r="P1797" s="17" t="str">
        <f t="shared" ca="1" si="56"/>
        <v>15-29.9K</v>
      </c>
      <c r="Q1797" s="17">
        <v>5</v>
      </c>
      <c r="R1797">
        <v>12</v>
      </c>
      <c r="S1797">
        <v>4</v>
      </c>
      <c r="T1797">
        <v>3</v>
      </c>
      <c r="U1797">
        <v>9</v>
      </c>
      <c r="V1797" s="15">
        <f t="shared" ca="1" si="57"/>
        <v>2</v>
      </c>
    </row>
    <row r="1798" spans="1:22">
      <c r="A1798" t="s">
        <v>881</v>
      </c>
      <c r="B1798" s="1">
        <v>41058.955833333333</v>
      </c>
      <c r="C1798" s="2" t="s">
        <v>882</v>
      </c>
      <c r="D1798">
        <v>37000</v>
      </c>
      <c r="E1798" t="s">
        <v>1856</v>
      </c>
      <c r="F1798" s="5">
        <v>37000</v>
      </c>
      <c r="G1798" s="5">
        <v>37000</v>
      </c>
      <c r="H1798" s="5">
        <f ca="1">OFFSET(F1798,0,Brains!$D$1,1,1)</f>
        <v>37000</v>
      </c>
      <c r="I1798" t="s">
        <v>883</v>
      </c>
      <c r="J1798" t="s">
        <v>1921</v>
      </c>
      <c r="K1798" t="s">
        <v>1869</v>
      </c>
      <c r="L1798" t="s">
        <v>1869</v>
      </c>
      <c r="M1798" s="11" t="s">
        <v>3917</v>
      </c>
      <c r="N1798" t="s">
        <v>1873</v>
      </c>
      <c r="O1798" s="7" t="s">
        <v>3923</v>
      </c>
      <c r="P1798" s="17" t="str">
        <f t="shared" ca="1" si="56"/>
        <v>30-49.9K</v>
      </c>
      <c r="Q1798" s="17">
        <v>2.5</v>
      </c>
      <c r="R1798">
        <v>30</v>
      </c>
      <c r="S1798">
        <v>3</v>
      </c>
      <c r="T1798">
        <v>4</v>
      </c>
      <c r="U1798">
        <v>9</v>
      </c>
      <c r="V1798" s="15">
        <f t="shared" ca="1" si="57"/>
        <v>3</v>
      </c>
    </row>
    <row r="1799" spans="1:22">
      <c r="A1799" t="s">
        <v>93</v>
      </c>
      <c r="B1799" s="1">
        <v>41057.506678240738</v>
      </c>
      <c r="C1799" s="2" t="s">
        <v>94</v>
      </c>
      <c r="D1799">
        <v>20000</v>
      </c>
      <c r="E1799" t="s">
        <v>1856</v>
      </c>
      <c r="F1799" s="5">
        <v>20000</v>
      </c>
      <c r="G1799" s="5">
        <v>20000</v>
      </c>
      <c r="H1799" s="5">
        <f ca="1">OFFSET(F1799,0,Brains!$D$1,1,1)</f>
        <v>20000</v>
      </c>
      <c r="I1799" t="s">
        <v>95</v>
      </c>
      <c r="J1799" t="s">
        <v>1921</v>
      </c>
      <c r="K1799" t="s">
        <v>96</v>
      </c>
      <c r="L1799" t="s">
        <v>96</v>
      </c>
      <c r="M1799" s="7" t="s">
        <v>3941</v>
      </c>
      <c r="N1799" t="s">
        <v>1866</v>
      </c>
      <c r="O1799" s="7" t="s">
        <v>3921</v>
      </c>
      <c r="P1799" s="17" t="str">
        <f t="shared" ca="1" si="56"/>
        <v>15-29.9K</v>
      </c>
      <c r="Q1799" s="17">
        <v>8</v>
      </c>
      <c r="R1799">
        <v>6</v>
      </c>
      <c r="S1799">
        <v>5</v>
      </c>
      <c r="T1799">
        <v>2</v>
      </c>
      <c r="U1799">
        <v>9</v>
      </c>
      <c r="V1799" s="15">
        <f t="shared" ca="1" si="57"/>
        <v>2</v>
      </c>
    </row>
    <row r="1800" spans="1:22">
      <c r="A1800" t="s">
        <v>1262</v>
      </c>
      <c r="B1800" s="1">
        <v>41061.852349537039</v>
      </c>
      <c r="C1800" s="2">
        <v>10000</v>
      </c>
      <c r="D1800">
        <v>10000</v>
      </c>
      <c r="E1800" t="s">
        <v>1856</v>
      </c>
      <c r="F1800" s="5">
        <v>10000</v>
      </c>
      <c r="G1800" s="5">
        <v>10000</v>
      </c>
      <c r="H1800" s="5">
        <f ca="1">OFFSET(F1800,0,Brains!$D$1,1,1)</f>
        <v>10000</v>
      </c>
      <c r="I1800" t="s">
        <v>2493</v>
      </c>
      <c r="J1800" t="s">
        <v>1921</v>
      </c>
      <c r="K1800" t="s">
        <v>1859</v>
      </c>
      <c r="L1800" t="s">
        <v>1859</v>
      </c>
      <c r="M1800" s="7" t="s">
        <v>3941</v>
      </c>
      <c r="N1800" t="s">
        <v>1866</v>
      </c>
      <c r="O1800" s="7" t="s">
        <v>3921</v>
      </c>
      <c r="P1800" s="17" t="str">
        <f t="shared" ca="1" si="56"/>
        <v>0-14.9K</v>
      </c>
      <c r="Q1800" s="17">
        <v>8</v>
      </c>
      <c r="R1800">
        <v>6</v>
      </c>
      <c r="S1800">
        <v>5</v>
      </c>
      <c r="T1800">
        <v>2</v>
      </c>
      <c r="U1800">
        <v>9</v>
      </c>
      <c r="V1800" s="15">
        <f t="shared" ca="1" si="57"/>
        <v>1</v>
      </c>
    </row>
    <row r="1801" spans="1:22">
      <c r="A1801" t="s">
        <v>1818</v>
      </c>
      <c r="B1801" s="1">
        <v>41080.071666666663</v>
      </c>
      <c r="C1801" s="2">
        <v>700</v>
      </c>
      <c r="D1801">
        <v>8400</v>
      </c>
      <c r="E1801" t="s">
        <v>1856</v>
      </c>
      <c r="F1801" s="5">
        <v>8400</v>
      </c>
      <c r="G1801" s="5">
        <v>8400</v>
      </c>
      <c r="H1801" s="5">
        <f ca="1">OFFSET(F1801,0,Brains!$D$1,1,1)</f>
        <v>8400</v>
      </c>
      <c r="I1801" t="s">
        <v>3578</v>
      </c>
      <c r="J1801" t="s">
        <v>1921</v>
      </c>
      <c r="K1801" t="s">
        <v>1859</v>
      </c>
      <c r="L1801" t="s">
        <v>1859</v>
      </c>
      <c r="M1801" s="7" t="s">
        <v>3941</v>
      </c>
      <c r="N1801" t="s">
        <v>1866</v>
      </c>
      <c r="O1801" s="7" t="s">
        <v>3921</v>
      </c>
      <c r="P1801" s="17" t="str">
        <f t="shared" ca="1" si="56"/>
        <v>0-14.9K</v>
      </c>
      <c r="Q1801" s="17">
        <v>8</v>
      </c>
      <c r="R1801">
        <v>6</v>
      </c>
      <c r="S1801">
        <v>5</v>
      </c>
      <c r="T1801">
        <v>2</v>
      </c>
      <c r="U1801">
        <v>9</v>
      </c>
      <c r="V1801" s="15">
        <f t="shared" ca="1" si="57"/>
        <v>1</v>
      </c>
    </row>
    <row r="1802" spans="1:22">
      <c r="A1802" t="s">
        <v>1812</v>
      </c>
      <c r="B1802" s="1">
        <v>41080.019375000003</v>
      </c>
      <c r="C1802" s="2" t="s">
        <v>1813</v>
      </c>
      <c r="D1802">
        <v>276000</v>
      </c>
      <c r="E1802" t="s">
        <v>1908</v>
      </c>
      <c r="F1802" s="5">
        <v>4914.9850057341491</v>
      </c>
      <c r="G1802" s="5">
        <v>13743.651030773826</v>
      </c>
      <c r="H1802" s="5">
        <f ca="1">OFFSET(F1802,0,Brains!$D$1,1,1)</f>
        <v>13743.651030773826</v>
      </c>
      <c r="I1802" t="s">
        <v>1814</v>
      </c>
      <c r="J1802" t="s">
        <v>1921</v>
      </c>
      <c r="K1802" t="s">
        <v>1859</v>
      </c>
      <c r="L1802" t="s">
        <v>1859</v>
      </c>
      <c r="M1802" s="7" t="s">
        <v>3941</v>
      </c>
      <c r="N1802" t="s">
        <v>1866</v>
      </c>
      <c r="O1802" s="7" t="s">
        <v>3921</v>
      </c>
      <c r="P1802" s="17" t="str">
        <f t="shared" ca="1" si="56"/>
        <v>0-14.9K</v>
      </c>
      <c r="Q1802" s="17">
        <v>8</v>
      </c>
      <c r="R1802">
        <v>6</v>
      </c>
      <c r="S1802">
        <v>5</v>
      </c>
      <c r="T1802">
        <v>2</v>
      </c>
      <c r="U1802">
        <v>9</v>
      </c>
      <c r="V1802" s="15">
        <f t="shared" ca="1" si="57"/>
        <v>1</v>
      </c>
    </row>
    <row r="1803" spans="1:22">
      <c r="A1803" t="s">
        <v>3187</v>
      </c>
      <c r="B1803" s="1">
        <v>41055.460972222223</v>
      </c>
      <c r="C1803" s="2">
        <v>4000</v>
      </c>
      <c r="D1803">
        <v>4000</v>
      </c>
      <c r="E1803" t="s">
        <v>1856</v>
      </c>
      <c r="F1803" s="5">
        <v>4000</v>
      </c>
      <c r="G1803" s="5">
        <v>4000</v>
      </c>
      <c r="H1803" s="5">
        <f ca="1">OFFSET(F1803,0,Brains!$D$1,1,1)</f>
        <v>4000</v>
      </c>
      <c r="I1803" t="s">
        <v>3180</v>
      </c>
      <c r="J1803" t="s">
        <v>1921</v>
      </c>
      <c r="K1803" t="s">
        <v>1859</v>
      </c>
      <c r="L1803" t="s">
        <v>1859</v>
      </c>
      <c r="M1803" s="7" t="s">
        <v>3941</v>
      </c>
      <c r="N1803" t="s">
        <v>1866</v>
      </c>
      <c r="O1803" s="7" t="s">
        <v>3921</v>
      </c>
      <c r="P1803" s="17" t="str">
        <f t="shared" ca="1" si="56"/>
        <v>0-14.9K</v>
      </c>
      <c r="Q1803" s="17">
        <v>8</v>
      </c>
      <c r="R1803">
        <v>6</v>
      </c>
      <c r="S1803">
        <v>5</v>
      </c>
      <c r="T1803">
        <v>2</v>
      </c>
      <c r="U1803">
        <v>9</v>
      </c>
      <c r="V1803" s="15">
        <f t="shared" ca="1" si="57"/>
        <v>1</v>
      </c>
    </row>
    <row r="1804" spans="1:22">
      <c r="A1804" t="s">
        <v>3519</v>
      </c>
      <c r="B1804" s="1">
        <v>41055.801145833335</v>
      </c>
      <c r="C1804" s="2" t="s">
        <v>3520</v>
      </c>
      <c r="D1804">
        <v>180000</v>
      </c>
      <c r="E1804" t="s">
        <v>1895</v>
      </c>
      <c r="F1804" s="5">
        <v>1910.5359690238436</v>
      </c>
      <c r="G1804" s="5">
        <v>4402.8080131105835</v>
      </c>
      <c r="H1804" s="5">
        <f ca="1">OFFSET(F1804,0,Brains!$D$1,1,1)</f>
        <v>4402.8080131105835</v>
      </c>
      <c r="I1804" t="s">
        <v>3521</v>
      </c>
      <c r="J1804" t="s">
        <v>1921</v>
      </c>
      <c r="K1804" t="s">
        <v>1872</v>
      </c>
      <c r="L1804" t="s">
        <v>1872</v>
      </c>
      <c r="M1804" s="7" t="s">
        <v>3941</v>
      </c>
      <c r="N1804" t="s">
        <v>1866</v>
      </c>
      <c r="O1804" s="7" t="s">
        <v>3921</v>
      </c>
      <c r="P1804" s="17" t="str">
        <f t="shared" ca="1" si="56"/>
        <v>0-14.9K</v>
      </c>
      <c r="Q1804" s="17">
        <v>8</v>
      </c>
      <c r="R1804">
        <v>7</v>
      </c>
      <c r="S1804">
        <v>5</v>
      </c>
      <c r="T1804">
        <v>2</v>
      </c>
      <c r="U1804">
        <v>9</v>
      </c>
      <c r="V1804" s="15">
        <f t="shared" ca="1" si="57"/>
        <v>1</v>
      </c>
    </row>
    <row r="1805" spans="1:22">
      <c r="A1805" t="s">
        <v>3548</v>
      </c>
      <c r="B1805" s="1">
        <v>41055.868136574078</v>
      </c>
      <c r="C1805" s="2">
        <v>96000</v>
      </c>
      <c r="D1805">
        <v>96000</v>
      </c>
      <c r="E1805" t="s">
        <v>1856</v>
      </c>
      <c r="F1805" s="5">
        <v>96000</v>
      </c>
      <c r="G1805" s="5">
        <v>96000</v>
      </c>
      <c r="H1805" s="5">
        <f ca="1">OFFSET(F1805,0,Brains!$D$1,1,1)</f>
        <v>96000</v>
      </c>
      <c r="I1805" t="s">
        <v>3180</v>
      </c>
      <c r="J1805" t="s">
        <v>1921</v>
      </c>
      <c r="K1805" t="s">
        <v>1859</v>
      </c>
      <c r="L1805" t="s">
        <v>1859</v>
      </c>
      <c r="M1805" s="7" t="s">
        <v>3941</v>
      </c>
      <c r="N1805" t="s">
        <v>1866</v>
      </c>
      <c r="O1805" s="7" t="s">
        <v>3921</v>
      </c>
      <c r="P1805" s="17" t="str">
        <f t="shared" ca="1" si="56"/>
        <v>75-99.9K</v>
      </c>
      <c r="Q1805" s="17">
        <v>8</v>
      </c>
      <c r="R1805">
        <v>8</v>
      </c>
      <c r="S1805">
        <v>5</v>
      </c>
      <c r="T1805">
        <v>2</v>
      </c>
      <c r="U1805">
        <v>9</v>
      </c>
      <c r="V1805" s="15">
        <f t="shared" ca="1" si="57"/>
        <v>5</v>
      </c>
    </row>
    <row r="1806" spans="1:22">
      <c r="A1806" t="s">
        <v>307</v>
      </c>
      <c r="B1806" s="1">
        <v>41057.73809027778</v>
      </c>
      <c r="C1806" s="2">
        <v>19000</v>
      </c>
      <c r="D1806">
        <v>19000</v>
      </c>
      <c r="E1806" t="s">
        <v>1856</v>
      </c>
      <c r="F1806" s="5">
        <v>19000</v>
      </c>
      <c r="G1806" s="5">
        <v>19000</v>
      </c>
      <c r="H1806" s="5">
        <f ca="1">OFFSET(F1806,0,Brains!$D$1,1,1)</f>
        <v>19000</v>
      </c>
      <c r="I1806" t="s">
        <v>308</v>
      </c>
      <c r="J1806" t="s">
        <v>1921</v>
      </c>
      <c r="K1806" t="s">
        <v>1956</v>
      </c>
      <c r="L1806" t="s">
        <v>1956</v>
      </c>
      <c r="M1806" s="7" t="s">
        <v>3941</v>
      </c>
      <c r="N1806" t="s">
        <v>1866</v>
      </c>
      <c r="O1806" s="7" t="s">
        <v>3921</v>
      </c>
      <c r="P1806" s="17" t="str">
        <f t="shared" ca="1" si="56"/>
        <v>15-29.9K</v>
      </c>
      <c r="Q1806" s="17">
        <v>8</v>
      </c>
      <c r="R1806">
        <v>8</v>
      </c>
      <c r="S1806">
        <v>5</v>
      </c>
      <c r="T1806">
        <v>2</v>
      </c>
      <c r="U1806">
        <v>9</v>
      </c>
      <c r="V1806" s="15">
        <f t="shared" ca="1" si="57"/>
        <v>2</v>
      </c>
    </row>
    <row r="1807" spans="1:22">
      <c r="A1807" t="s">
        <v>191</v>
      </c>
      <c r="B1807" s="1">
        <v>41057.615763888891</v>
      </c>
      <c r="C1807" s="2">
        <v>5100</v>
      </c>
      <c r="D1807">
        <v>5100</v>
      </c>
      <c r="E1807" t="s">
        <v>1856</v>
      </c>
      <c r="F1807" s="5">
        <v>5100</v>
      </c>
      <c r="G1807" s="5">
        <v>5100</v>
      </c>
      <c r="H1807" s="5">
        <f ca="1">OFFSET(F1807,0,Brains!$D$1,1,1)</f>
        <v>5100</v>
      </c>
      <c r="I1807" t="s">
        <v>3180</v>
      </c>
      <c r="J1807" t="s">
        <v>1921</v>
      </c>
      <c r="K1807" t="s">
        <v>1859</v>
      </c>
      <c r="L1807" t="s">
        <v>1859</v>
      </c>
      <c r="M1807" s="7" t="s">
        <v>3941</v>
      </c>
      <c r="N1807" t="s">
        <v>1866</v>
      </c>
      <c r="O1807" s="7" t="s">
        <v>3921</v>
      </c>
      <c r="P1807" s="17" t="str">
        <f t="shared" ca="1" si="56"/>
        <v>0-14.9K</v>
      </c>
      <c r="Q1807" s="17">
        <v>8</v>
      </c>
      <c r="R1807">
        <v>8</v>
      </c>
      <c r="S1807">
        <v>5</v>
      </c>
      <c r="T1807">
        <v>2</v>
      </c>
      <c r="U1807">
        <v>9</v>
      </c>
      <c r="V1807" s="15">
        <f t="shared" ca="1" si="57"/>
        <v>1</v>
      </c>
    </row>
    <row r="1808" spans="1:22">
      <c r="A1808" t="s">
        <v>1073</v>
      </c>
      <c r="B1808" s="1">
        <v>41059.958148148151</v>
      </c>
      <c r="C1808" s="2" t="s">
        <v>1074</v>
      </c>
      <c r="D1808">
        <v>278000</v>
      </c>
      <c r="E1808" t="s">
        <v>1908</v>
      </c>
      <c r="F1808" s="5">
        <v>4950.6008391090336</v>
      </c>
      <c r="G1808" s="5">
        <v>13843.24270490987</v>
      </c>
      <c r="H1808" s="5">
        <f ca="1">OFFSET(F1808,0,Brains!$D$1,1,1)</f>
        <v>13843.24270490987</v>
      </c>
      <c r="I1808" t="s">
        <v>3180</v>
      </c>
      <c r="J1808" t="s">
        <v>1921</v>
      </c>
      <c r="K1808" t="s">
        <v>1859</v>
      </c>
      <c r="L1808" t="s">
        <v>1859</v>
      </c>
      <c r="M1808" s="7" t="s">
        <v>3941</v>
      </c>
      <c r="N1808" t="s">
        <v>1866</v>
      </c>
      <c r="O1808" s="7" t="s">
        <v>3921</v>
      </c>
      <c r="P1808" s="17" t="str">
        <f t="shared" ca="1" si="56"/>
        <v>0-14.9K</v>
      </c>
      <c r="Q1808" s="17">
        <v>8</v>
      </c>
      <c r="R1808">
        <v>8</v>
      </c>
      <c r="S1808">
        <v>5</v>
      </c>
      <c r="T1808">
        <v>2</v>
      </c>
      <c r="U1808">
        <v>9</v>
      </c>
      <c r="V1808" s="15">
        <f t="shared" ca="1" si="57"/>
        <v>1</v>
      </c>
    </row>
    <row r="1809" spans="1:22">
      <c r="A1809" t="s">
        <v>3819</v>
      </c>
      <c r="B1809" s="1">
        <v>41056.869386574072</v>
      </c>
      <c r="C1809" s="2">
        <v>180000</v>
      </c>
      <c r="D1809">
        <v>180000</v>
      </c>
      <c r="E1809" t="s">
        <v>1908</v>
      </c>
      <c r="F1809" s="5">
        <v>3205.4250037396623</v>
      </c>
      <c r="G1809" s="5">
        <v>8963.2506722437993</v>
      </c>
      <c r="H1809" s="5">
        <f ca="1">OFFSET(F1809,0,Brains!$D$1,1,1)</f>
        <v>8963.2506722437993</v>
      </c>
      <c r="I1809" t="s">
        <v>3820</v>
      </c>
      <c r="J1809" t="s">
        <v>1921</v>
      </c>
      <c r="K1809" t="s">
        <v>1859</v>
      </c>
      <c r="L1809" t="s">
        <v>1859</v>
      </c>
      <c r="M1809" s="7" t="s">
        <v>3941</v>
      </c>
      <c r="N1809" t="s">
        <v>1866</v>
      </c>
      <c r="O1809" s="7" t="s">
        <v>3921</v>
      </c>
      <c r="P1809" s="17" t="str">
        <f t="shared" ca="1" si="56"/>
        <v>0-14.9K</v>
      </c>
      <c r="Q1809" s="17">
        <v>8</v>
      </c>
      <c r="R1809">
        <v>8</v>
      </c>
      <c r="S1809">
        <v>5</v>
      </c>
      <c r="T1809">
        <v>2</v>
      </c>
      <c r="U1809">
        <v>9</v>
      </c>
      <c r="V1809" s="15">
        <f t="shared" ca="1" si="57"/>
        <v>1</v>
      </c>
    </row>
    <row r="1810" spans="1:22">
      <c r="A1810" t="s">
        <v>1230</v>
      </c>
      <c r="B1810" s="1">
        <v>41061.337893518517</v>
      </c>
      <c r="C1810" s="2" t="s">
        <v>1231</v>
      </c>
      <c r="D1810">
        <v>5650000</v>
      </c>
      <c r="E1810" t="s">
        <v>1908</v>
      </c>
      <c r="F1810" s="5">
        <v>100614.72928405051</v>
      </c>
      <c r="G1810" s="5">
        <v>281346.47943431931</v>
      </c>
      <c r="H1810" s="5">
        <f ca="1">OFFSET(F1810,0,Brains!$D$1,1,1)</f>
        <v>281346.47943431931</v>
      </c>
      <c r="I1810" t="s">
        <v>2493</v>
      </c>
      <c r="J1810" t="s">
        <v>1921</v>
      </c>
      <c r="K1810" t="s">
        <v>1859</v>
      </c>
      <c r="L1810" t="s">
        <v>1859</v>
      </c>
      <c r="M1810" s="11" t="s">
        <v>3917</v>
      </c>
      <c r="N1810" t="s">
        <v>1873</v>
      </c>
      <c r="O1810" s="7" t="s">
        <v>3921</v>
      </c>
      <c r="P1810" s="17" t="str">
        <f t="shared" ca="1" si="56"/>
        <v>250K+</v>
      </c>
      <c r="Q1810" s="17">
        <v>2.5</v>
      </c>
      <c r="R1810">
        <v>6</v>
      </c>
      <c r="S1810">
        <v>3</v>
      </c>
      <c r="T1810">
        <v>2</v>
      </c>
      <c r="U1810">
        <v>9</v>
      </c>
      <c r="V1810" s="15">
        <f t="shared" ca="1" si="57"/>
        <v>8</v>
      </c>
    </row>
    <row r="1811" spans="1:22">
      <c r="A1811" t="s">
        <v>3326</v>
      </c>
      <c r="B1811" s="1">
        <v>41055.558749999997</v>
      </c>
      <c r="C1811" s="2">
        <v>380000</v>
      </c>
      <c r="D1811">
        <v>380000</v>
      </c>
      <c r="E1811" t="s">
        <v>1908</v>
      </c>
      <c r="F1811" s="5">
        <v>6767.0083412281756</v>
      </c>
      <c r="G1811" s="5">
        <v>18922.418085848021</v>
      </c>
      <c r="H1811" s="5">
        <f ca="1">OFFSET(F1811,0,Brains!$D$1,1,1)</f>
        <v>18922.418085848021</v>
      </c>
      <c r="I1811" t="s">
        <v>3327</v>
      </c>
      <c r="J1811" t="s">
        <v>1921</v>
      </c>
      <c r="K1811" t="s">
        <v>1859</v>
      </c>
      <c r="L1811" t="s">
        <v>1859</v>
      </c>
      <c r="M1811" s="11" t="s">
        <v>3917</v>
      </c>
      <c r="N1811" t="s">
        <v>1873</v>
      </c>
      <c r="O1811" s="7" t="s">
        <v>3921</v>
      </c>
      <c r="P1811" s="17" t="str">
        <f t="shared" ca="1" si="56"/>
        <v>15-29.9K</v>
      </c>
      <c r="Q1811" s="17">
        <v>2.5</v>
      </c>
      <c r="R1811">
        <v>6</v>
      </c>
      <c r="S1811">
        <v>3</v>
      </c>
      <c r="T1811">
        <v>2</v>
      </c>
      <c r="U1811">
        <v>9</v>
      </c>
      <c r="V1811" s="15">
        <f t="shared" ca="1" si="57"/>
        <v>2</v>
      </c>
    </row>
    <row r="1812" spans="1:22">
      <c r="A1812" t="s">
        <v>769</v>
      </c>
      <c r="B1812" s="1">
        <v>41058.750219907408</v>
      </c>
      <c r="C1812" s="2">
        <v>6600</v>
      </c>
      <c r="D1812">
        <v>6600</v>
      </c>
      <c r="E1812" t="s">
        <v>1856</v>
      </c>
      <c r="F1812" s="5">
        <v>6600</v>
      </c>
      <c r="G1812" s="5">
        <v>6600</v>
      </c>
      <c r="H1812" s="5">
        <f ca="1">OFFSET(F1812,0,Brains!$D$1,1,1)</f>
        <v>6600</v>
      </c>
      <c r="I1812" t="s">
        <v>770</v>
      </c>
      <c r="J1812" t="s">
        <v>1921</v>
      </c>
      <c r="K1812" t="s">
        <v>1859</v>
      </c>
      <c r="L1812" t="s">
        <v>1859</v>
      </c>
      <c r="M1812" s="11" t="s">
        <v>3917</v>
      </c>
      <c r="N1812" t="s">
        <v>1873</v>
      </c>
      <c r="O1812" s="7" t="s">
        <v>3921</v>
      </c>
      <c r="P1812" s="17" t="str">
        <f t="shared" ca="1" si="56"/>
        <v>0-14.9K</v>
      </c>
      <c r="Q1812" s="17">
        <v>2.5</v>
      </c>
      <c r="R1812">
        <v>6.4</v>
      </c>
      <c r="S1812">
        <v>3</v>
      </c>
      <c r="T1812">
        <v>2</v>
      </c>
      <c r="U1812">
        <v>9</v>
      </c>
      <c r="V1812" s="15">
        <f t="shared" ca="1" si="57"/>
        <v>1</v>
      </c>
    </row>
    <row r="1813" spans="1:22">
      <c r="A1813" t="s">
        <v>158</v>
      </c>
      <c r="B1813" s="1">
        <v>41057.591365740744</v>
      </c>
      <c r="C1813" s="2" t="s">
        <v>159</v>
      </c>
      <c r="D1813">
        <v>55000</v>
      </c>
      <c r="E1813" t="s">
        <v>1856</v>
      </c>
      <c r="F1813" s="5">
        <v>55000</v>
      </c>
      <c r="G1813" s="5">
        <v>55000</v>
      </c>
      <c r="H1813" s="5">
        <f ca="1">OFFSET(F1813,0,Brains!$D$1,1,1)</f>
        <v>55000</v>
      </c>
      <c r="I1813" t="s">
        <v>2695</v>
      </c>
      <c r="J1813" t="s">
        <v>1921</v>
      </c>
      <c r="K1813" t="s">
        <v>2599</v>
      </c>
      <c r="L1813" t="s">
        <v>2599</v>
      </c>
      <c r="M1813" s="11" t="s">
        <v>3918</v>
      </c>
      <c r="N1813" t="s">
        <v>1860</v>
      </c>
      <c r="O1813" s="7" t="s">
        <v>3921</v>
      </c>
      <c r="P1813" s="17" t="str">
        <f t="shared" ca="1" si="56"/>
        <v>50-74.9K</v>
      </c>
      <c r="Q1813" s="17">
        <v>5</v>
      </c>
      <c r="R1813">
        <v>6</v>
      </c>
      <c r="S1813">
        <v>4</v>
      </c>
      <c r="T1813">
        <v>2</v>
      </c>
      <c r="U1813">
        <v>9</v>
      </c>
      <c r="V1813" s="15">
        <f t="shared" ca="1" si="57"/>
        <v>4</v>
      </c>
    </row>
    <row r="1814" spans="1:22">
      <c r="A1814" t="s">
        <v>517</v>
      </c>
      <c r="B1814" s="1">
        <v>41058.063645833332</v>
      </c>
      <c r="C1814" s="2" t="s">
        <v>518</v>
      </c>
      <c r="D1814">
        <v>700000</v>
      </c>
      <c r="E1814" t="s">
        <v>1908</v>
      </c>
      <c r="F1814" s="5">
        <v>12465.541681209797</v>
      </c>
      <c r="G1814" s="5">
        <v>34857.085947614782</v>
      </c>
      <c r="H1814" s="5">
        <f ca="1">OFFSET(F1814,0,Brains!$D$1,1,1)</f>
        <v>34857.085947614782</v>
      </c>
      <c r="I1814" t="s">
        <v>519</v>
      </c>
      <c r="J1814" t="s">
        <v>1921</v>
      </c>
      <c r="K1814" t="s">
        <v>1859</v>
      </c>
      <c r="L1814" t="s">
        <v>1859</v>
      </c>
      <c r="M1814" s="11" t="s">
        <v>3918</v>
      </c>
      <c r="N1814" t="s">
        <v>1860</v>
      </c>
      <c r="O1814" s="7" t="s">
        <v>3921</v>
      </c>
      <c r="P1814" s="17" t="str">
        <f t="shared" ca="1" si="56"/>
        <v>30-49.9K</v>
      </c>
      <c r="Q1814" s="17">
        <v>5</v>
      </c>
      <c r="R1814">
        <v>6</v>
      </c>
      <c r="S1814">
        <v>4</v>
      </c>
      <c r="T1814">
        <v>2</v>
      </c>
      <c r="U1814">
        <v>9</v>
      </c>
      <c r="V1814" s="15">
        <f t="shared" ca="1" si="57"/>
        <v>3</v>
      </c>
    </row>
    <row r="1815" spans="1:22">
      <c r="A1815" t="s">
        <v>209</v>
      </c>
      <c r="B1815" s="1">
        <v>41057.644432870373</v>
      </c>
      <c r="C1815" s="2">
        <v>560</v>
      </c>
      <c r="D1815">
        <v>6720</v>
      </c>
      <c r="E1815" t="s">
        <v>1856</v>
      </c>
      <c r="F1815" s="5">
        <v>6720</v>
      </c>
      <c r="G1815" s="5">
        <v>6720</v>
      </c>
      <c r="H1815" s="5">
        <f ca="1">OFFSET(F1815,0,Brains!$D$1,1,1)</f>
        <v>6720</v>
      </c>
      <c r="I1815" t="s">
        <v>3180</v>
      </c>
      <c r="J1815" t="s">
        <v>1921</v>
      </c>
      <c r="K1815" t="s">
        <v>1859</v>
      </c>
      <c r="L1815" t="s">
        <v>1859</v>
      </c>
      <c r="M1815" s="11" t="s">
        <v>3918</v>
      </c>
      <c r="N1815" t="s">
        <v>1860</v>
      </c>
      <c r="O1815" s="7" t="s">
        <v>3921</v>
      </c>
      <c r="P1815" s="17" t="str">
        <f t="shared" ca="1" si="56"/>
        <v>0-14.9K</v>
      </c>
      <c r="Q1815" s="17">
        <v>5</v>
      </c>
      <c r="R1815">
        <v>6</v>
      </c>
      <c r="S1815">
        <v>4</v>
      </c>
      <c r="T1815">
        <v>2</v>
      </c>
      <c r="U1815">
        <v>9</v>
      </c>
      <c r="V1815" s="15">
        <f t="shared" ca="1" si="57"/>
        <v>1</v>
      </c>
    </row>
    <row r="1816" spans="1:22">
      <c r="A1816" t="s">
        <v>449</v>
      </c>
      <c r="B1816" s="1">
        <v>41057.970277777778</v>
      </c>
      <c r="C1816" s="2" t="s">
        <v>450</v>
      </c>
      <c r="D1816">
        <v>7200</v>
      </c>
      <c r="E1816" t="s">
        <v>1856</v>
      </c>
      <c r="F1816" s="5">
        <v>7200</v>
      </c>
      <c r="G1816" s="5">
        <v>7200</v>
      </c>
      <c r="H1816" s="5">
        <f ca="1">OFFSET(F1816,0,Brains!$D$1,1,1)</f>
        <v>7200</v>
      </c>
      <c r="I1816" t="s">
        <v>451</v>
      </c>
      <c r="J1816" t="s">
        <v>1921</v>
      </c>
      <c r="K1816" t="s">
        <v>1859</v>
      </c>
      <c r="L1816" t="s">
        <v>1859</v>
      </c>
      <c r="M1816" s="11" t="s">
        <v>3918</v>
      </c>
      <c r="N1816" t="s">
        <v>1860</v>
      </c>
      <c r="O1816" s="7" t="s">
        <v>3921</v>
      </c>
      <c r="P1816" s="17" t="str">
        <f t="shared" ca="1" si="56"/>
        <v>0-14.9K</v>
      </c>
      <c r="Q1816" s="17">
        <v>5</v>
      </c>
      <c r="R1816">
        <v>7</v>
      </c>
      <c r="S1816">
        <v>4</v>
      </c>
      <c r="T1816">
        <v>2</v>
      </c>
      <c r="U1816">
        <v>9</v>
      </c>
      <c r="V1816" s="15">
        <f t="shared" ca="1" si="57"/>
        <v>1</v>
      </c>
    </row>
    <row r="1817" spans="1:22">
      <c r="A1817" t="s">
        <v>19</v>
      </c>
      <c r="B1817" s="1">
        <v>41057.349120370367</v>
      </c>
      <c r="C1817" s="2" t="s">
        <v>20</v>
      </c>
      <c r="D1817">
        <v>85000</v>
      </c>
      <c r="E1817" t="s">
        <v>1856</v>
      </c>
      <c r="F1817" s="5">
        <v>85000</v>
      </c>
      <c r="G1817" s="5">
        <v>85000</v>
      </c>
      <c r="H1817" s="5">
        <f ca="1">OFFSET(F1817,0,Brains!$D$1,1,1)</f>
        <v>85000</v>
      </c>
      <c r="I1817" t="s">
        <v>21</v>
      </c>
      <c r="J1817" t="s">
        <v>1921</v>
      </c>
      <c r="K1817" t="s">
        <v>1975</v>
      </c>
      <c r="L1817" t="s">
        <v>1975</v>
      </c>
      <c r="M1817" s="11" t="s">
        <v>3918</v>
      </c>
      <c r="N1817" t="s">
        <v>1860</v>
      </c>
      <c r="O1817" s="7" t="s">
        <v>3921</v>
      </c>
      <c r="P1817" s="17" t="str">
        <f t="shared" ca="1" si="56"/>
        <v>75-99.9K</v>
      </c>
      <c r="Q1817" s="17">
        <v>5</v>
      </c>
      <c r="R1817">
        <v>8</v>
      </c>
      <c r="S1817">
        <v>4</v>
      </c>
      <c r="T1817">
        <v>2</v>
      </c>
      <c r="U1817">
        <v>9</v>
      </c>
      <c r="V1817" s="15">
        <f t="shared" ca="1" si="57"/>
        <v>5</v>
      </c>
    </row>
    <row r="1818" spans="1:22">
      <c r="A1818" t="s">
        <v>145</v>
      </c>
      <c r="B1818" s="1">
        <v>41057.570520833331</v>
      </c>
      <c r="C1818" s="2">
        <v>476000</v>
      </c>
      <c r="D1818">
        <v>476000</v>
      </c>
      <c r="E1818" t="s">
        <v>1908</v>
      </c>
      <c r="F1818" s="5">
        <v>8476.5683432226633</v>
      </c>
      <c r="G1818" s="5">
        <v>23702.818444378048</v>
      </c>
      <c r="H1818" s="5">
        <f ca="1">OFFSET(F1818,0,Brains!$D$1,1,1)</f>
        <v>23702.818444378048</v>
      </c>
      <c r="I1818" t="s">
        <v>146</v>
      </c>
      <c r="J1818" t="s">
        <v>1921</v>
      </c>
      <c r="K1818" t="s">
        <v>1859</v>
      </c>
      <c r="L1818" t="s">
        <v>1859</v>
      </c>
      <c r="M1818" s="11" t="s">
        <v>3918</v>
      </c>
      <c r="N1818" t="s">
        <v>1860</v>
      </c>
      <c r="O1818" s="7" t="s">
        <v>3921</v>
      </c>
      <c r="P1818" s="17" t="str">
        <f t="shared" ca="1" si="56"/>
        <v>15-29.9K</v>
      </c>
      <c r="Q1818" s="17">
        <v>5</v>
      </c>
      <c r="R1818">
        <v>8</v>
      </c>
      <c r="S1818">
        <v>4</v>
      </c>
      <c r="T1818">
        <v>2</v>
      </c>
      <c r="U1818">
        <v>9</v>
      </c>
      <c r="V1818" s="15">
        <f t="shared" ca="1" si="57"/>
        <v>2</v>
      </c>
    </row>
    <row r="1819" spans="1:22">
      <c r="A1819" t="s">
        <v>314</v>
      </c>
      <c r="B1819" s="1">
        <v>41057.751898148148</v>
      </c>
      <c r="C1819" s="2" t="s">
        <v>3133</v>
      </c>
      <c r="D1819">
        <v>400000</v>
      </c>
      <c r="E1819" t="s">
        <v>1908</v>
      </c>
      <c r="F1819" s="5">
        <v>7123.1666749770275</v>
      </c>
      <c r="G1819" s="5">
        <v>19918.334827208444</v>
      </c>
      <c r="H1819" s="5">
        <f ca="1">OFFSET(F1819,0,Brains!$D$1,1,1)</f>
        <v>19918.334827208444</v>
      </c>
      <c r="I1819" t="s">
        <v>315</v>
      </c>
      <c r="J1819" t="s">
        <v>1921</v>
      </c>
      <c r="K1819" t="s">
        <v>1859</v>
      </c>
      <c r="L1819" t="s">
        <v>1859</v>
      </c>
      <c r="M1819" s="11" t="s">
        <v>3918</v>
      </c>
      <c r="N1819" t="s">
        <v>1860</v>
      </c>
      <c r="O1819" s="7" t="s">
        <v>3921</v>
      </c>
      <c r="P1819" s="17" t="str">
        <f t="shared" ca="1" si="56"/>
        <v>15-29.9K</v>
      </c>
      <c r="Q1819" s="17">
        <v>5</v>
      </c>
      <c r="R1819">
        <v>9</v>
      </c>
      <c r="S1819">
        <v>4</v>
      </c>
      <c r="T1819">
        <v>2</v>
      </c>
      <c r="U1819">
        <v>9</v>
      </c>
      <c r="V1819" s="15">
        <f t="shared" ca="1" si="57"/>
        <v>2</v>
      </c>
    </row>
    <row r="1820" spans="1:22">
      <c r="A1820" t="s">
        <v>1227</v>
      </c>
      <c r="B1820" s="1">
        <v>41061.287407407406</v>
      </c>
      <c r="C1820" s="2">
        <v>85000</v>
      </c>
      <c r="D1820">
        <v>85000</v>
      </c>
      <c r="E1820" t="s">
        <v>1856</v>
      </c>
      <c r="F1820" s="5">
        <v>85000</v>
      </c>
      <c r="G1820" s="5">
        <v>85000</v>
      </c>
      <c r="H1820" s="5">
        <f ca="1">OFFSET(F1820,0,Brains!$D$1,1,1)</f>
        <v>85000</v>
      </c>
      <c r="I1820" t="s">
        <v>1228</v>
      </c>
      <c r="J1820" t="s">
        <v>1921</v>
      </c>
      <c r="K1820" t="s">
        <v>1869</v>
      </c>
      <c r="L1820" t="s">
        <v>1869</v>
      </c>
      <c r="M1820" s="11" t="s">
        <v>3918</v>
      </c>
      <c r="N1820" t="s">
        <v>1860</v>
      </c>
      <c r="O1820" s="7" t="s">
        <v>3921</v>
      </c>
      <c r="P1820" s="17" t="str">
        <f t="shared" ca="1" si="56"/>
        <v>75-99.9K</v>
      </c>
      <c r="Q1820" s="17">
        <v>5</v>
      </c>
      <c r="R1820">
        <v>10</v>
      </c>
      <c r="S1820">
        <v>4</v>
      </c>
      <c r="T1820">
        <v>2</v>
      </c>
      <c r="U1820">
        <v>9</v>
      </c>
      <c r="V1820" s="15">
        <f t="shared" ca="1" si="57"/>
        <v>5</v>
      </c>
    </row>
    <row r="1821" spans="1:22">
      <c r="A1821" t="s">
        <v>1077</v>
      </c>
      <c r="B1821" s="1">
        <v>41059.976388888892</v>
      </c>
      <c r="C1821" s="2">
        <v>32000</v>
      </c>
      <c r="D1821">
        <v>32000</v>
      </c>
      <c r="E1821" t="s">
        <v>1856</v>
      </c>
      <c r="F1821" s="5">
        <v>32000</v>
      </c>
      <c r="G1821" s="5">
        <v>32000</v>
      </c>
      <c r="H1821" s="5">
        <f ca="1">OFFSET(F1821,0,Brains!$D$1,1,1)</f>
        <v>32000</v>
      </c>
      <c r="I1821" t="s">
        <v>1078</v>
      </c>
      <c r="J1821" t="s">
        <v>1921</v>
      </c>
      <c r="K1821" t="s">
        <v>1869</v>
      </c>
      <c r="L1821" t="s">
        <v>1869</v>
      </c>
      <c r="M1821" s="11" t="s">
        <v>3918</v>
      </c>
      <c r="N1821" t="s">
        <v>1860</v>
      </c>
      <c r="O1821" s="7" t="s">
        <v>3921</v>
      </c>
      <c r="P1821" s="17" t="str">
        <f t="shared" ca="1" si="56"/>
        <v>30-49.9K</v>
      </c>
      <c r="Q1821" s="17">
        <v>5</v>
      </c>
      <c r="R1821">
        <v>10</v>
      </c>
      <c r="S1821">
        <v>4</v>
      </c>
      <c r="T1821">
        <v>2</v>
      </c>
      <c r="U1821">
        <v>9</v>
      </c>
      <c r="V1821" s="15">
        <f t="shared" ca="1" si="57"/>
        <v>3</v>
      </c>
    </row>
    <row r="1822" spans="1:22">
      <c r="A1822" t="s">
        <v>2535</v>
      </c>
      <c r="B1822" s="1">
        <v>41055.058217592596</v>
      </c>
      <c r="C1822" s="2">
        <v>200000</v>
      </c>
      <c r="D1822">
        <v>200000</v>
      </c>
      <c r="E1822" t="s">
        <v>1880</v>
      </c>
      <c r="F1822" s="5">
        <v>254079.88779832155</v>
      </c>
      <c r="G1822" s="5">
        <v>251239.86875229259</v>
      </c>
      <c r="H1822" s="5">
        <f ca="1">OFFSET(F1822,0,Brains!$D$1,1,1)</f>
        <v>251239.86875229259</v>
      </c>
      <c r="I1822" t="s">
        <v>2536</v>
      </c>
      <c r="J1822" t="s">
        <v>1921</v>
      </c>
      <c r="K1822" t="s">
        <v>2537</v>
      </c>
      <c r="L1822" t="s">
        <v>2998</v>
      </c>
      <c r="M1822" s="7" t="s">
        <v>3941</v>
      </c>
      <c r="N1822" t="s">
        <v>1866</v>
      </c>
      <c r="P1822" s="15" t="str">
        <f t="shared" ca="1" si="56"/>
        <v>250K+</v>
      </c>
      <c r="Q1822" s="15">
        <v>8</v>
      </c>
      <c r="S1822">
        <v>5</v>
      </c>
      <c r="U1822">
        <v>9</v>
      </c>
      <c r="V1822" s="15">
        <f t="shared" ca="1" si="57"/>
        <v>8</v>
      </c>
    </row>
    <row r="1823" spans="1:22">
      <c r="A1823" t="s">
        <v>1919</v>
      </c>
      <c r="B1823" s="1">
        <v>41054.174120370371</v>
      </c>
      <c r="C1823" s="2">
        <v>45000</v>
      </c>
      <c r="D1823">
        <v>45000</v>
      </c>
      <c r="E1823" t="s">
        <v>1856</v>
      </c>
      <c r="F1823" s="5">
        <v>45000</v>
      </c>
      <c r="G1823" s="5">
        <v>45000</v>
      </c>
      <c r="H1823" s="5">
        <f ca="1">OFFSET(F1823,0,Brains!$D$1,1,1)</f>
        <v>45000</v>
      </c>
      <c r="I1823" t="s">
        <v>1920</v>
      </c>
      <c r="J1823" t="s">
        <v>1921</v>
      </c>
      <c r="K1823" t="s">
        <v>1922</v>
      </c>
      <c r="L1823" t="s">
        <v>1922</v>
      </c>
      <c r="M1823" s="7" t="s">
        <v>3941</v>
      </c>
      <c r="N1823" t="s">
        <v>1866</v>
      </c>
      <c r="P1823" s="15" t="str">
        <f t="shared" ca="1" si="56"/>
        <v>30-49.9K</v>
      </c>
      <c r="Q1823" s="15">
        <v>8</v>
      </c>
      <c r="S1823">
        <v>5</v>
      </c>
      <c r="U1823">
        <v>9</v>
      </c>
      <c r="V1823" s="15">
        <f t="shared" ca="1" si="57"/>
        <v>3</v>
      </c>
    </row>
    <row r="1824" spans="1:22">
      <c r="A1824" t="s">
        <v>2492</v>
      </c>
      <c r="B1824" s="1">
        <v>41055.054050925923</v>
      </c>
      <c r="C1824" s="2">
        <v>22000</v>
      </c>
      <c r="D1824">
        <v>22000</v>
      </c>
      <c r="E1824" t="s">
        <v>1856</v>
      </c>
      <c r="F1824" s="5">
        <v>22000</v>
      </c>
      <c r="G1824" s="5">
        <v>22000</v>
      </c>
      <c r="H1824" s="5">
        <f ca="1">OFFSET(F1824,0,Brains!$D$1,1,1)</f>
        <v>22000</v>
      </c>
      <c r="I1824" t="s">
        <v>2493</v>
      </c>
      <c r="J1824" t="s">
        <v>1921</v>
      </c>
      <c r="K1824" t="s">
        <v>1859</v>
      </c>
      <c r="L1824" t="s">
        <v>1859</v>
      </c>
      <c r="M1824" s="7" t="s">
        <v>3941</v>
      </c>
      <c r="N1824" t="s">
        <v>1866</v>
      </c>
      <c r="P1824" s="15" t="str">
        <f t="shared" ca="1" si="56"/>
        <v>15-29.9K</v>
      </c>
      <c r="Q1824" s="15">
        <v>8</v>
      </c>
      <c r="S1824">
        <v>5</v>
      </c>
      <c r="U1824">
        <v>9</v>
      </c>
      <c r="V1824" s="15">
        <f t="shared" ca="1" si="57"/>
        <v>2</v>
      </c>
    </row>
    <row r="1825" spans="1:22">
      <c r="A1825" t="s">
        <v>2926</v>
      </c>
      <c r="B1825" s="1">
        <v>41055.148784722223</v>
      </c>
      <c r="C1825" s="2">
        <v>6000</v>
      </c>
      <c r="D1825">
        <v>6000</v>
      </c>
      <c r="E1825" t="s">
        <v>1856</v>
      </c>
      <c r="F1825" s="5">
        <v>6000</v>
      </c>
      <c r="G1825" s="5">
        <v>6000</v>
      </c>
      <c r="H1825" s="5">
        <f ca="1">OFFSET(F1825,0,Brains!$D$1,1,1)</f>
        <v>6000</v>
      </c>
      <c r="I1825" t="s">
        <v>2493</v>
      </c>
      <c r="J1825" t="s">
        <v>1921</v>
      </c>
      <c r="K1825" t="s">
        <v>1859</v>
      </c>
      <c r="L1825" t="s">
        <v>1859</v>
      </c>
      <c r="M1825" s="7" t="s">
        <v>3941</v>
      </c>
      <c r="N1825" t="s">
        <v>1866</v>
      </c>
      <c r="P1825" s="15" t="str">
        <f t="shared" ca="1" si="56"/>
        <v>0-14.9K</v>
      </c>
      <c r="Q1825" s="15">
        <v>8</v>
      </c>
      <c r="S1825">
        <v>5</v>
      </c>
      <c r="U1825">
        <v>9</v>
      </c>
      <c r="V1825" s="15">
        <f t="shared" ca="1" si="57"/>
        <v>1</v>
      </c>
    </row>
    <row r="1826" spans="1:22">
      <c r="A1826" t="s">
        <v>2792</v>
      </c>
      <c r="B1826" s="1">
        <v>41055.103900462964</v>
      </c>
      <c r="C1826" s="2" t="s">
        <v>2793</v>
      </c>
      <c r="D1826">
        <v>30000</v>
      </c>
      <c r="E1826" t="s">
        <v>1856</v>
      </c>
      <c r="F1826" s="5">
        <v>30000</v>
      </c>
      <c r="G1826" s="5">
        <v>30000</v>
      </c>
      <c r="H1826" s="5">
        <f ca="1">OFFSET(F1826,0,Brains!$D$1,1,1)</f>
        <v>30000</v>
      </c>
      <c r="I1826" t="s">
        <v>2794</v>
      </c>
      <c r="J1826" t="s">
        <v>1921</v>
      </c>
      <c r="K1826" t="s">
        <v>2750</v>
      </c>
      <c r="L1826" t="s">
        <v>2750</v>
      </c>
      <c r="M1826" s="11" t="s">
        <v>3916</v>
      </c>
      <c r="N1826" t="s">
        <v>1884</v>
      </c>
      <c r="P1826" s="15" t="str">
        <f t="shared" ca="1" si="56"/>
        <v>30-49.9K</v>
      </c>
      <c r="Q1826" s="15">
        <v>1.5</v>
      </c>
      <c r="S1826">
        <v>2</v>
      </c>
      <c r="U1826">
        <v>9</v>
      </c>
      <c r="V1826" s="15">
        <f t="shared" ca="1" si="57"/>
        <v>3</v>
      </c>
    </row>
    <row r="1827" spans="1:22">
      <c r="A1827" t="s">
        <v>2694</v>
      </c>
      <c r="B1827" s="1">
        <v>41055.083194444444</v>
      </c>
      <c r="C1827" s="2">
        <v>15000</v>
      </c>
      <c r="D1827">
        <v>15000</v>
      </c>
      <c r="E1827" t="s">
        <v>1856</v>
      </c>
      <c r="F1827" s="5">
        <v>15000</v>
      </c>
      <c r="G1827" s="5">
        <v>15000</v>
      </c>
      <c r="H1827" s="5">
        <f ca="1">OFFSET(F1827,0,Brains!$D$1,1,1)</f>
        <v>15000</v>
      </c>
      <c r="I1827" t="s">
        <v>2695</v>
      </c>
      <c r="J1827" t="s">
        <v>1921</v>
      </c>
      <c r="K1827" t="s">
        <v>1887</v>
      </c>
      <c r="L1827" t="s">
        <v>1887</v>
      </c>
      <c r="M1827" s="11" t="s">
        <v>3917</v>
      </c>
      <c r="N1827" t="s">
        <v>1873</v>
      </c>
      <c r="P1827" s="15" t="str">
        <f t="shared" ca="1" si="56"/>
        <v>15-29.9K</v>
      </c>
      <c r="Q1827" s="15">
        <v>2.5</v>
      </c>
      <c r="S1827">
        <v>3</v>
      </c>
      <c r="U1827">
        <v>9</v>
      </c>
      <c r="V1827" s="15">
        <f t="shared" ca="1" si="57"/>
        <v>2</v>
      </c>
    </row>
    <row r="1828" spans="1:22">
      <c r="A1828" t="s">
        <v>2707</v>
      </c>
      <c r="B1828" s="1">
        <v>41055.083958333336</v>
      </c>
      <c r="C1828" s="2">
        <v>12000</v>
      </c>
      <c r="D1828">
        <v>12000</v>
      </c>
      <c r="E1828" t="s">
        <v>1856</v>
      </c>
      <c r="F1828" s="5">
        <v>12000</v>
      </c>
      <c r="G1828" s="5">
        <v>12000</v>
      </c>
      <c r="H1828" s="5">
        <f ca="1">OFFSET(F1828,0,Brains!$D$1,1,1)</f>
        <v>12000</v>
      </c>
      <c r="I1828" t="s">
        <v>2708</v>
      </c>
      <c r="J1828" t="s">
        <v>1921</v>
      </c>
      <c r="K1828" t="s">
        <v>1922</v>
      </c>
      <c r="L1828" t="s">
        <v>1922</v>
      </c>
      <c r="M1828" s="11" t="s">
        <v>3918</v>
      </c>
      <c r="N1828" t="s">
        <v>1860</v>
      </c>
      <c r="P1828" s="15" t="str">
        <f t="shared" ca="1" si="56"/>
        <v>0-14.9K</v>
      </c>
      <c r="Q1828" s="15">
        <v>5</v>
      </c>
      <c r="S1828">
        <v>4</v>
      </c>
      <c r="U1828">
        <v>9</v>
      </c>
      <c r="V1828" s="15">
        <f t="shared" ca="1" si="57"/>
        <v>1</v>
      </c>
    </row>
    <row r="1829" spans="1:22">
      <c r="A1829" t="s">
        <v>2576</v>
      </c>
      <c r="B1829" s="1">
        <v>41055.063148148147</v>
      </c>
      <c r="C1829" s="2" t="s">
        <v>2577</v>
      </c>
      <c r="D1829">
        <v>456000</v>
      </c>
      <c r="E1829" t="s">
        <v>2467</v>
      </c>
      <c r="F1829" s="5">
        <v>10809.503829551191</v>
      </c>
      <c r="G1829" s="5">
        <v>17888.666588207601</v>
      </c>
      <c r="H1829" s="5">
        <f ca="1">OFFSET(F1829,0,Brains!$D$1,1,1)</f>
        <v>17888.666588207601</v>
      </c>
      <c r="I1829" t="s">
        <v>2578</v>
      </c>
      <c r="J1829" t="s">
        <v>1921</v>
      </c>
      <c r="K1829" t="s">
        <v>2469</v>
      </c>
      <c r="L1829" t="s">
        <v>2469</v>
      </c>
      <c r="M1829" s="11" t="s">
        <v>3918</v>
      </c>
      <c r="N1829" t="s">
        <v>1860</v>
      </c>
      <c r="P1829" s="15" t="str">
        <f t="shared" ca="1" si="56"/>
        <v>15-29.9K</v>
      </c>
      <c r="Q1829" s="15">
        <v>5</v>
      </c>
      <c r="S1829">
        <v>4</v>
      </c>
      <c r="U1829">
        <v>9</v>
      </c>
      <c r="V1829" s="15">
        <f t="shared" ca="1" si="57"/>
        <v>2</v>
      </c>
    </row>
    <row r="1830" spans="1:22">
      <c r="A1830" t="s">
        <v>2199</v>
      </c>
      <c r="B1830" s="1">
        <v>41055.030277777776</v>
      </c>
      <c r="C1830" s="2" t="s">
        <v>2200</v>
      </c>
      <c r="D1830">
        <v>336000</v>
      </c>
      <c r="E1830" t="s">
        <v>1908</v>
      </c>
      <c r="F1830" s="5">
        <v>5983.4600069807029</v>
      </c>
      <c r="G1830" s="5">
        <v>16731.401254855093</v>
      </c>
      <c r="H1830" s="5">
        <f ca="1">OFFSET(F1830,0,Brains!$D$1,1,1)</f>
        <v>16731.401254855093</v>
      </c>
      <c r="I1830" t="s">
        <v>2201</v>
      </c>
      <c r="J1830" t="s">
        <v>1921</v>
      </c>
      <c r="K1830" t="s">
        <v>1859</v>
      </c>
      <c r="L1830" t="s">
        <v>1859</v>
      </c>
      <c r="M1830" s="11" t="s">
        <v>3918</v>
      </c>
      <c r="N1830" t="s">
        <v>1860</v>
      </c>
      <c r="P1830" s="15" t="str">
        <f t="shared" ca="1" si="56"/>
        <v>15-29.9K</v>
      </c>
      <c r="Q1830" s="15">
        <v>5</v>
      </c>
      <c r="S1830">
        <v>4</v>
      </c>
      <c r="U1830">
        <v>9</v>
      </c>
      <c r="V1830" s="15">
        <f t="shared" ca="1" si="57"/>
        <v>2</v>
      </c>
    </row>
    <row r="1831" spans="1:22">
      <c r="A1831" t="s">
        <v>2834</v>
      </c>
      <c r="B1831" s="1">
        <v>41055.11824074074</v>
      </c>
      <c r="C1831" s="2" t="s">
        <v>2835</v>
      </c>
      <c r="D1831">
        <v>5000</v>
      </c>
      <c r="E1831" t="s">
        <v>1856</v>
      </c>
      <c r="F1831" s="5">
        <v>5000</v>
      </c>
      <c r="G1831" s="5">
        <v>5000</v>
      </c>
      <c r="H1831" s="5">
        <f ca="1">OFFSET(F1831,0,Brains!$D$1,1,1)</f>
        <v>5000</v>
      </c>
      <c r="I1831" t="s">
        <v>2836</v>
      </c>
      <c r="J1831" t="s">
        <v>1921</v>
      </c>
      <c r="K1831" t="s">
        <v>1859</v>
      </c>
      <c r="L1831" t="s">
        <v>1859</v>
      </c>
      <c r="M1831" s="11" t="s">
        <v>3918</v>
      </c>
      <c r="N1831" t="s">
        <v>1860</v>
      </c>
      <c r="P1831" s="15" t="str">
        <f t="shared" ca="1" si="56"/>
        <v>0-14.9K</v>
      </c>
      <c r="Q1831" s="15">
        <v>5</v>
      </c>
      <c r="S1831">
        <v>4</v>
      </c>
      <c r="U1831">
        <v>9</v>
      </c>
      <c r="V1831" s="15">
        <f t="shared" ca="1" si="57"/>
        <v>1</v>
      </c>
    </row>
    <row r="1832" spans="1:22">
      <c r="A1832" t="s">
        <v>2618</v>
      </c>
      <c r="B1832" s="1">
        <v>41055.069178240738</v>
      </c>
      <c r="C1832" s="2" t="s">
        <v>2619</v>
      </c>
      <c r="D1832">
        <v>3800</v>
      </c>
      <c r="E1832" t="s">
        <v>1856</v>
      </c>
      <c r="F1832" s="5">
        <v>3800</v>
      </c>
      <c r="G1832" s="5">
        <v>3800</v>
      </c>
      <c r="H1832" s="5">
        <f ca="1">OFFSET(F1832,0,Brains!$D$1,1,1)</f>
        <v>3800</v>
      </c>
      <c r="I1832" t="s">
        <v>2620</v>
      </c>
      <c r="J1832" t="s">
        <v>1921</v>
      </c>
      <c r="K1832" t="s">
        <v>1859</v>
      </c>
      <c r="L1832" t="s">
        <v>1859</v>
      </c>
      <c r="M1832" s="11" t="s">
        <v>3918</v>
      </c>
      <c r="N1832" t="s">
        <v>1860</v>
      </c>
      <c r="P1832" s="15" t="str">
        <f t="shared" ca="1" si="56"/>
        <v>0-14.9K</v>
      </c>
      <c r="Q1832" s="15">
        <v>5</v>
      </c>
      <c r="S1832">
        <v>4</v>
      </c>
      <c r="U1832">
        <v>9</v>
      </c>
      <c r="V1832" s="15">
        <f t="shared" ca="1" si="57"/>
        <v>1</v>
      </c>
    </row>
    <row r="1833" spans="1:22">
      <c r="A1833" t="s">
        <v>3039</v>
      </c>
      <c r="B1833" s="1">
        <v>41055.231747685182</v>
      </c>
      <c r="C1833" s="2">
        <v>45000</v>
      </c>
      <c r="D1833">
        <v>45000</v>
      </c>
      <c r="E1833" t="s">
        <v>1856</v>
      </c>
      <c r="F1833" s="5">
        <v>45000</v>
      </c>
      <c r="G1833" s="5">
        <v>45000</v>
      </c>
      <c r="H1833" s="5">
        <f ca="1">OFFSET(F1833,0,Brains!$D$1,1,1)</f>
        <v>45000</v>
      </c>
      <c r="I1833" t="s">
        <v>3040</v>
      </c>
      <c r="J1833" t="s">
        <v>1921</v>
      </c>
      <c r="K1833" t="s">
        <v>1869</v>
      </c>
      <c r="L1833" t="s">
        <v>1869</v>
      </c>
      <c r="M1833" t="s">
        <v>3941</v>
      </c>
      <c r="N1833" t="s">
        <v>1866</v>
      </c>
      <c r="P1833" s="15" t="str">
        <f t="shared" ca="1" si="56"/>
        <v>30-49.9K</v>
      </c>
      <c r="Q1833" s="15">
        <v>8</v>
      </c>
      <c r="S1833">
        <v>5</v>
      </c>
      <c r="U1833">
        <v>9</v>
      </c>
      <c r="V1833" s="15">
        <f t="shared" ca="1" si="57"/>
        <v>3</v>
      </c>
    </row>
    <row r="1834" spans="1:22">
      <c r="A1834" t="s">
        <v>1085</v>
      </c>
      <c r="B1834" s="1">
        <v>41060.032581018517</v>
      </c>
      <c r="C1834" s="2" t="s">
        <v>1086</v>
      </c>
      <c r="D1834">
        <v>4000000</v>
      </c>
      <c r="E1834" t="s">
        <v>1908</v>
      </c>
      <c r="F1834" s="5">
        <v>71231.666749770273</v>
      </c>
      <c r="G1834" s="5">
        <v>199183.34827208446</v>
      </c>
      <c r="H1834" s="5">
        <f ca="1">OFFSET(F1834,0,Brains!$D$1,1,1)</f>
        <v>199183.34827208446</v>
      </c>
      <c r="I1834" t="s">
        <v>1087</v>
      </c>
      <c r="J1834" t="s">
        <v>1901</v>
      </c>
      <c r="K1834" t="s">
        <v>1859</v>
      </c>
      <c r="L1834" t="s">
        <v>1859</v>
      </c>
      <c r="M1834" s="7" t="s">
        <v>3941</v>
      </c>
      <c r="N1834" t="s">
        <v>1866</v>
      </c>
      <c r="O1834" s="7" t="s">
        <v>3920</v>
      </c>
      <c r="P1834" s="17" t="str">
        <f t="shared" ca="1" si="56"/>
        <v>150-249.9K</v>
      </c>
      <c r="Q1834" s="17">
        <v>8</v>
      </c>
      <c r="R1834">
        <v>5</v>
      </c>
      <c r="S1834">
        <v>5</v>
      </c>
      <c r="T1834">
        <v>1</v>
      </c>
      <c r="U1834">
        <v>10</v>
      </c>
      <c r="V1834" s="15">
        <f t="shared" ca="1" si="57"/>
        <v>7</v>
      </c>
    </row>
    <row r="1835" spans="1:22">
      <c r="A1835" t="s">
        <v>1187</v>
      </c>
      <c r="B1835" s="1">
        <v>41060.965787037036</v>
      </c>
      <c r="C1835" s="2" t="s">
        <v>1188</v>
      </c>
      <c r="D1835">
        <v>70000</v>
      </c>
      <c r="E1835" t="s">
        <v>1880</v>
      </c>
      <c r="F1835" s="5">
        <v>88927.960729412545</v>
      </c>
      <c r="G1835" s="5">
        <v>87933.954063302401</v>
      </c>
      <c r="H1835" s="5">
        <f ca="1">OFFSET(F1835,0,Brains!$D$1,1,1)</f>
        <v>87933.954063302401</v>
      </c>
      <c r="I1835" t="s">
        <v>1189</v>
      </c>
      <c r="J1835" t="s">
        <v>1901</v>
      </c>
      <c r="K1835" t="s">
        <v>1883</v>
      </c>
      <c r="L1835" t="s">
        <v>1883</v>
      </c>
      <c r="M1835" s="11" t="s">
        <v>3916</v>
      </c>
      <c r="N1835" t="s">
        <v>1884</v>
      </c>
      <c r="O1835" s="7" t="s">
        <v>3920</v>
      </c>
      <c r="P1835" s="17" t="str">
        <f t="shared" ca="1" si="56"/>
        <v>75-99.9K</v>
      </c>
      <c r="Q1835" s="17">
        <v>1.5</v>
      </c>
      <c r="R1835">
        <v>5</v>
      </c>
      <c r="S1835">
        <v>2</v>
      </c>
      <c r="T1835">
        <v>1</v>
      </c>
      <c r="U1835">
        <v>10</v>
      </c>
      <c r="V1835" s="15">
        <f t="shared" ca="1" si="57"/>
        <v>5</v>
      </c>
    </row>
    <row r="1836" spans="1:22">
      <c r="A1836" t="s">
        <v>226</v>
      </c>
      <c r="B1836" s="1">
        <v>41057.655694444446</v>
      </c>
      <c r="C1836" s="2" t="s">
        <v>227</v>
      </c>
      <c r="D1836">
        <v>63000</v>
      </c>
      <c r="E1836" t="s">
        <v>1954</v>
      </c>
      <c r="F1836" s="5">
        <v>99299.231140238902</v>
      </c>
      <c r="G1836" s="5">
        <v>93471.810089020772</v>
      </c>
      <c r="H1836" s="5">
        <f ca="1">OFFSET(F1836,0,Brains!$D$1,1,1)</f>
        <v>93471.810089020772</v>
      </c>
      <c r="I1836" t="s">
        <v>228</v>
      </c>
      <c r="J1836" t="s">
        <v>1901</v>
      </c>
      <c r="K1836" t="s">
        <v>1956</v>
      </c>
      <c r="L1836" t="s">
        <v>1956</v>
      </c>
      <c r="M1836" s="11" t="s">
        <v>3917</v>
      </c>
      <c r="N1836" t="s">
        <v>1873</v>
      </c>
      <c r="O1836" s="7" t="s">
        <v>3920</v>
      </c>
      <c r="P1836" s="17" t="str">
        <f t="shared" ca="1" si="56"/>
        <v>75-99.9K</v>
      </c>
      <c r="Q1836" s="17">
        <v>2.5</v>
      </c>
      <c r="R1836">
        <v>1</v>
      </c>
      <c r="S1836">
        <v>3</v>
      </c>
      <c r="T1836">
        <v>1</v>
      </c>
      <c r="U1836">
        <v>10</v>
      </c>
      <c r="V1836" s="15">
        <f t="shared" ca="1" si="57"/>
        <v>5</v>
      </c>
    </row>
    <row r="1837" spans="1:22">
      <c r="A1837" t="s">
        <v>1405</v>
      </c>
      <c r="B1837" s="1">
        <v>41065.170937499999</v>
      </c>
      <c r="C1837" s="2">
        <v>80000</v>
      </c>
      <c r="D1837">
        <v>80000</v>
      </c>
      <c r="E1837" t="s">
        <v>1856</v>
      </c>
      <c r="F1837" s="5">
        <v>80000</v>
      </c>
      <c r="G1837" s="5">
        <v>80000</v>
      </c>
      <c r="H1837" s="5">
        <f ca="1">OFFSET(F1837,0,Brains!$D$1,1,1)</f>
        <v>80000</v>
      </c>
      <c r="I1837" t="s">
        <v>1406</v>
      </c>
      <c r="J1837" t="s">
        <v>1901</v>
      </c>
      <c r="K1837" t="s">
        <v>1869</v>
      </c>
      <c r="L1837" t="s">
        <v>1869</v>
      </c>
      <c r="M1837" s="11" t="s">
        <v>3917</v>
      </c>
      <c r="N1837" t="s">
        <v>1873</v>
      </c>
      <c r="O1837" s="7" t="s">
        <v>3920</v>
      </c>
      <c r="P1837" s="17" t="str">
        <f t="shared" ca="1" si="56"/>
        <v>75-99.9K</v>
      </c>
      <c r="Q1837" s="17">
        <v>2.5</v>
      </c>
      <c r="R1837">
        <v>2</v>
      </c>
      <c r="S1837">
        <v>3</v>
      </c>
      <c r="T1837">
        <v>1</v>
      </c>
      <c r="U1837">
        <v>10</v>
      </c>
      <c r="V1837" s="15">
        <f t="shared" ca="1" si="57"/>
        <v>5</v>
      </c>
    </row>
    <row r="1838" spans="1:22">
      <c r="A1838" t="s">
        <v>1338</v>
      </c>
      <c r="B1838" s="1">
        <v>41063.602418981478</v>
      </c>
      <c r="C1838" s="2">
        <v>4019</v>
      </c>
      <c r="D1838">
        <v>4019</v>
      </c>
      <c r="E1838" t="s">
        <v>1856</v>
      </c>
      <c r="F1838" s="5">
        <v>4019</v>
      </c>
      <c r="G1838" s="5">
        <v>4019</v>
      </c>
      <c r="H1838" s="5">
        <f ca="1">OFFSET(F1838,0,Brains!$D$1,1,1)</f>
        <v>4019</v>
      </c>
      <c r="I1838" t="s">
        <v>1339</v>
      </c>
      <c r="J1838" t="s">
        <v>1901</v>
      </c>
      <c r="K1838" t="s">
        <v>2469</v>
      </c>
      <c r="L1838" t="s">
        <v>2469</v>
      </c>
      <c r="M1838" s="11" t="s">
        <v>3917</v>
      </c>
      <c r="N1838" t="s">
        <v>1873</v>
      </c>
      <c r="O1838" s="7" t="s">
        <v>3920</v>
      </c>
      <c r="P1838" s="17" t="str">
        <f t="shared" ca="1" si="56"/>
        <v>0-14.9K</v>
      </c>
      <c r="Q1838" s="17">
        <v>2.5</v>
      </c>
      <c r="R1838">
        <v>3</v>
      </c>
      <c r="S1838">
        <v>3</v>
      </c>
      <c r="T1838">
        <v>1</v>
      </c>
      <c r="U1838">
        <v>10</v>
      </c>
      <c r="V1838" s="15">
        <f t="shared" ca="1" si="57"/>
        <v>1</v>
      </c>
    </row>
    <row r="1839" spans="1:22">
      <c r="A1839" t="s">
        <v>1702</v>
      </c>
      <c r="B1839" s="1">
        <v>41075.10050925926</v>
      </c>
      <c r="C1839" s="2">
        <v>40000</v>
      </c>
      <c r="D1839">
        <v>40000</v>
      </c>
      <c r="E1839" t="s">
        <v>1856</v>
      </c>
      <c r="F1839" s="5">
        <v>40000</v>
      </c>
      <c r="G1839" s="5">
        <v>40000</v>
      </c>
      <c r="H1839" s="5">
        <f ca="1">OFFSET(F1839,0,Brains!$D$1,1,1)</f>
        <v>40000</v>
      </c>
      <c r="I1839" t="s">
        <v>1703</v>
      </c>
      <c r="J1839" t="s">
        <v>1901</v>
      </c>
      <c r="K1839" t="s">
        <v>1869</v>
      </c>
      <c r="L1839" t="s">
        <v>1869</v>
      </c>
      <c r="M1839" s="11" t="s">
        <v>3918</v>
      </c>
      <c r="N1839" t="s">
        <v>1860</v>
      </c>
      <c r="O1839" s="7" t="s">
        <v>3920</v>
      </c>
      <c r="P1839" s="17" t="str">
        <f t="shared" ca="1" si="56"/>
        <v>30-49.9K</v>
      </c>
      <c r="Q1839" s="17">
        <v>5</v>
      </c>
      <c r="R1839">
        <v>1</v>
      </c>
      <c r="S1839">
        <v>4</v>
      </c>
      <c r="T1839">
        <v>1</v>
      </c>
      <c r="U1839">
        <v>10</v>
      </c>
      <c r="V1839" s="15">
        <f t="shared" ca="1" si="57"/>
        <v>3</v>
      </c>
    </row>
    <row r="1840" spans="1:22">
      <c r="A1840" t="s">
        <v>1465</v>
      </c>
      <c r="B1840" s="1">
        <v>41066.39707175926</v>
      </c>
      <c r="C1840" s="2">
        <v>80000</v>
      </c>
      <c r="D1840">
        <v>80000</v>
      </c>
      <c r="E1840" t="s">
        <v>1973</v>
      </c>
      <c r="F1840" s="5">
        <v>81592.772512210868</v>
      </c>
      <c r="G1840" s="5">
        <v>50890.585241730281</v>
      </c>
      <c r="H1840" s="5">
        <f ca="1">OFFSET(F1840,0,Brains!$D$1,1,1)</f>
        <v>50890.585241730281</v>
      </c>
      <c r="I1840" t="s">
        <v>1466</v>
      </c>
      <c r="J1840" t="s">
        <v>1901</v>
      </c>
      <c r="K1840" t="s">
        <v>1975</v>
      </c>
      <c r="L1840" t="s">
        <v>1975</v>
      </c>
      <c r="M1840" s="11" t="s">
        <v>3918</v>
      </c>
      <c r="N1840" t="s">
        <v>1860</v>
      </c>
      <c r="O1840" s="7" t="s">
        <v>3920</v>
      </c>
      <c r="P1840" s="17" t="str">
        <f t="shared" ca="1" si="56"/>
        <v>50-74.9K</v>
      </c>
      <c r="Q1840" s="17">
        <v>5</v>
      </c>
      <c r="R1840">
        <v>5</v>
      </c>
      <c r="S1840">
        <v>4</v>
      </c>
      <c r="T1840">
        <v>1</v>
      </c>
      <c r="U1840">
        <v>10</v>
      </c>
      <c r="V1840" s="15">
        <f t="shared" ca="1" si="57"/>
        <v>4</v>
      </c>
    </row>
    <row r="1841" spans="1:22">
      <c r="A1841" t="s">
        <v>915</v>
      </c>
      <c r="B1841" s="1">
        <v>41059.050046296295</v>
      </c>
      <c r="C1841" s="2">
        <v>49000</v>
      </c>
      <c r="D1841">
        <v>49000</v>
      </c>
      <c r="E1841" t="s">
        <v>1856</v>
      </c>
      <c r="F1841" s="5">
        <v>49000</v>
      </c>
      <c r="G1841" s="5">
        <v>49000</v>
      </c>
      <c r="H1841" s="5">
        <f ca="1">OFFSET(F1841,0,Brains!$D$1,1,1)</f>
        <v>49000</v>
      </c>
      <c r="I1841" t="s">
        <v>916</v>
      </c>
      <c r="J1841" t="s">
        <v>1901</v>
      </c>
      <c r="K1841" t="s">
        <v>1869</v>
      </c>
      <c r="L1841" t="s">
        <v>1869</v>
      </c>
      <c r="M1841" s="11" t="s">
        <v>3918</v>
      </c>
      <c r="N1841" t="s">
        <v>1860</v>
      </c>
      <c r="O1841" s="7" t="s">
        <v>3920</v>
      </c>
      <c r="P1841" s="17" t="str">
        <f t="shared" ca="1" si="56"/>
        <v>30-49.9K</v>
      </c>
      <c r="Q1841" s="17">
        <v>5</v>
      </c>
      <c r="R1841">
        <v>5</v>
      </c>
      <c r="S1841">
        <v>4</v>
      </c>
      <c r="T1841">
        <v>1</v>
      </c>
      <c r="U1841">
        <v>10</v>
      </c>
      <c r="V1841" s="15">
        <f t="shared" ca="1" si="57"/>
        <v>3</v>
      </c>
    </row>
    <row r="1842" spans="1:22">
      <c r="A1842" t="s">
        <v>3060</v>
      </c>
      <c r="B1842" s="1">
        <v>41055.246782407405</v>
      </c>
      <c r="C1842" s="2">
        <v>54000</v>
      </c>
      <c r="D1842">
        <v>54000</v>
      </c>
      <c r="E1842" t="s">
        <v>1856</v>
      </c>
      <c r="F1842" s="5">
        <v>54000</v>
      </c>
      <c r="G1842" s="5">
        <v>54000</v>
      </c>
      <c r="H1842" s="5">
        <f ca="1">OFFSET(F1842,0,Brains!$D$1,1,1)</f>
        <v>54000</v>
      </c>
      <c r="I1842" t="s">
        <v>3061</v>
      </c>
      <c r="J1842" t="s">
        <v>1901</v>
      </c>
      <c r="K1842" t="s">
        <v>1869</v>
      </c>
      <c r="L1842" t="s">
        <v>1869</v>
      </c>
      <c r="M1842" t="s">
        <v>3941</v>
      </c>
      <c r="N1842" t="s">
        <v>1866</v>
      </c>
      <c r="O1842" s="7" t="s">
        <v>3920</v>
      </c>
      <c r="P1842" s="17" t="str">
        <f t="shared" ca="1" si="56"/>
        <v>50-74.9K</v>
      </c>
      <c r="Q1842" s="17">
        <v>8</v>
      </c>
      <c r="R1842">
        <v>5</v>
      </c>
      <c r="S1842">
        <v>5</v>
      </c>
      <c r="T1842">
        <v>1</v>
      </c>
      <c r="U1842">
        <v>10</v>
      </c>
      <c r="V1842" s="15">
        <f t="shared" ca="1" si="57"/>
        <v>4</v>
      </c>
    </row>
    <row r="1843" spans="1:22">
      <c r="A1843" t="s">
        <v>552</v>
      </c>
      <c r="B1843" s="1">
        <v>41058.174976851849</v>
      </c>
      <c r="C1843" s="2" t="s">
        <v>2071</v>
      </c>
      <c r="D1843">
        <v>30000</v>
      </c>
      <c r="E1843" t="s">
        <v>1954</v>
      </c>
      <c r="F1843" s="5">
        <v>47285.348162018527</v>
      </c>
      <c r="G1843" s="5">
        <v>44510.385756676558</v>
      </c>
      <c r="H1843" s="5">
        <f ca="1">OFFSET(F1843,0,Brains!$D$1,1,1)</f>
        <v>44510.385756676558</v>
      </c>
      <c r="I1843" t="s">
        <v>553</v>
      </c>
      <c r="J1843" t="s">
        <v>1901</v>
      </c>
      <c r="K1843" t="s">
        <v>1956</v>
      </c>
      <c r="L1843" t="s">
        <v>1956</v>
      </c>
      <c r="M1843" s="11" t="s">
        <v>3918</v>
      </c>
      <c r="N1843" t="s">
        <v>1860</v>
      </c>
      <c r="O1843" s="7" t="s">
        <v>3922</v>
      </c>
      <c r="P1843" s="17" t="str">
        <f t="shared" ca="1" si="56"/>
        <v>30-49.9K</v>
      </c>
      <c r="Q1843" s="17">
        <v>5</v>
      </c>
      <c r="R1843">
        <v>14</v>
      </c>
      <c r="S1843">
        <v>4</v>
      </c>
      <c r="T1843">
        <v>3</v>
      </c>
      <c r="U1843">
        <v>10</v>
      </c>
      <c r="V1843" s="15">
        <f t="shared" ca="1" si="57"/>
        <v>3</v>
      </c>
    </row>
    <row r="1844" spans="1:22">
      <c r="A1844" t="s">
        <v>3112</v>
      </c>
      <c r="B1844" s="1">
        <v>41055.331296296295</v>
      </c>
      <c r="C1844" s="2">
        <v>106000</v>
      </c>
      <c r="D1844">
        <v>106000</v>
      </c>
      <c r="E1844" t="s">
        <v>1973</v>
      </c>
      <c r="F1844" s="5">
        <v>108110.42357867939</v>
      </c>
      <c r="G1844" s="5">
        <v>67430.025445292616</v>
      </c>
      <c r="H1844" s="5">
        <f ca="1">OFFSET(F1844,0,Brains!$D$1,1,1)</f>
        <v>67430.025445292616</v>
      </c>
      <c r="I1844" t="s">
        <v>3113</v>
      </c>
      <c r="J1844" t="s">
        <v>1901</v>
      </c>
      <c r="K1844" t="s">
        <v>1975</v>
      </c>
      <c r="L1844" t="s">
        <v>1975</v>
      </c>
      <c r="M1844" s="11" t="s">
        <v>3918</v>
      </c>
      <c r="N1844" t="s">
        <v>1860</v>
      </c>
      <c r="O1844" s="7" t="s">
        <v>3922</v>
      </c>
      <c r="P1844" s="17" t="str">
        <f t="shared" ca="1" si="56"/>
        <v>50-74.9K</v>
      </c>
      <c r="Q1844" s="17">
        <v>5</v>
      </c>
      <c r="R1844">
        <v>16</v>
      </c>
      <c r="S1844">
        <v>4</v>
      </c>
      <c r="T1844">
        <v>3</v>
      </c>
      <c r="U1844">
        <v>10</v>
      </c>
      <c r="V1844" s="15">
        <f t="shared" ca="1" si="57"/>
        <v>4</v>
      </c>
    </row>
    <row r="1845" spans="1:22">
      <c r="A1845" t="s">
        <v>3301</v>
      </c>
      <c r="B1845" s="1">
        <v>41055.547673611109</v>
      </c>
      <c r="C1845" s="2">
        <v>52000</v>
      </c>
      <c r="D1845">
        <v>52000</v>
      </c>
      <c r="E1845" t="s">
        <v>1856</v>
      </c>
      <c r="F1845" s="5">
        <v>52000</v>
      </c>
      <c r="G1845" s="5">
        <v>52000</v>
      </c>
      <c r="H1845" s="5">
        <f ca="1">OFFSET(F1845,0,Brains!$D$1,1,1)</f>
        <v>52000</v>
      </c>
      <c r="I1845" t="s">
        <v>3302</v>
      </c>
      <c r="J1845" t="s">
        <v>1901</v>
      </c>
      <c r="K1845" t="s">
        <v>1869</v>
      </c>
      <c r="L1845" t="s">
        <v>1869</v>
      </c>
      <c r="M1845" s="11" t="s">
        <v>3918</v>
      </c>
      <c r="N1845" t="s">
        <v>1860</v>
      </c>
      <c r="O1845" s="7" t="s">
        <v>3922</v>
      </c>
      <c r="P1845" s="17" t="str">
        <f t="shared" ca="1" si="56"/>
        <v>50-74.9K</v>
      </c>
      <c r="Q1845" s="17">
        <v>5</v>
      </c>
      <c r="R1845">
        <v>18</v>
      </c>
      <c r="S1845">
        <v>4</v>
      </c>
      <c r="T1845">
        <v>3</v>
      </c>
      <c r="U1845">
        <v>10</v>
      </c>
      <c r="V1845" s="15">
        <f t="shared" ca="1" si="57"/>
        <v>4</v>
      </c>
    </row>
    <row r="1846" spans="1:22">
      <c r="A1846" t="s">
        <v>913</v>
      </c>
      <c r="B1846" s="1">
        <v>41059.045439814814</v>
      </c>
      <c r="C1846" s="2">
        <v>45000</v>
      </c>
      <c r="D1846">
        <v>45000</v>
      </c>
      <c r="E1846" t="s">
        <v>1856</v>
      </c>
      <c r="F1846" s="5">
        <v>45000</v>
      </c>
      <c r="G1846" s="5">
        <v>45000</v>
      </c>
      <c r="H1846" s="5">
        <f ca="1">OFFSET(F1846,0,Brains!$D$1,1,1)</f>
        <v>45000</v>
      </c>
      <c r="I1846" t="s">
        <v>914</v>
      </c>
      <c r="J1846" t="s">
        <v>1901</v>
      </c>
      <c r="K1846" t="s">
        <v>1869</v>
      </c>
      <c r="L1846" t="s">
        <v>1869</v>
      </c>
      <c r="M1846" s="11" t="s">
        <v>3918</v>
      </c>
      <c r="N1846" t="s">
        <v>1860</v>
      </c>
      <c r="O1846" s="7" t="s">
        <v>3922</v>
      </c>
      <c r="P1846" s="17" t="str">
        <f t="shared" ca="1" si="56"/>
        <v>30-49.9K</v>
      </c>
      <c r="Q1846" s="17">
        <v>5</v>
      </c>
      <c r="R1846">
        <v>20</v>
      </c>
      <c r="S1846">
        <v>4</v>
      </c>
      <c r="T1846">
        <v>3</v>
      </c>
      <c r="U1846">
        <v>10</v>
      </c>
      <c r="V1846" s="15">
        <f t="shared" ca="1" si="57"/>
        <v>3</v>
      </c>
    </row>
    <row r="1847" spans="1:22">
      <c r="A1847" t="s">
        <v>1411</v>
      </c>
      <c r="B1847" s="1">
        <v>41065.285833333335</v>
      </c>
      <c r="C1847" s="2" t="s">
        <v>264</v>
      </c>
      <c r="D1847">
        <v>40000</v>
      </c>
      <c r="E1847" t="s">
        <v>1954</v>
      </c>
      <c r="F1847" s="5">
        <v>63047.130882691366</v>
      </c>
      <c r="G1847" s="5">
        <v>59347.181008902073</v>
      </c>
      <c r="H1847" s="5">
        <f ca="1">OFFSET(F1847,0,Brains!$D$1,1,1)</f>
        <v>59347.181008902073</v>
      </c>
      <c r="I1847" t="s">
        <v>1412</v>
      </c>
      <c r="J1847" t="s">
        <v>1901</v>
      </c>
      <c r="K1847" t="s">
        <v>1956</v>
      </c>
      <c r="L1847" t="s">
        <v>1956</v>
      </c>
      <c r="M1847" s="11" t="s">
        <v>3917</v>
      </c>
      <c r="N1847" t="s">
        <v>1873</v>
      </c>
      <c r="O1847" s="7" t="s">
        <v>3923</v>
      </c>
      <c r="P1847" s="17" t="str">
        <f t="shared" ca="1" si="56"/>
        <v>50-74.9K</v>
      </c>
      <c r="Q1847" s="17">
        <v>2.5</v>
      </c>
      <c r="R1847">
        <v>25</v>
      </c>
      <c r="S1847">
        <v>3</v>
      </c>
      <c r="T1847">
        <v>4</v>
      </c>
      <c r="U1847">
        <v>10</v>
      </c>
      <c r="V1847" s="15">
        <f t="shared" ca="1" si="57"/>
        <v>4</v>
      </c>
    </row>
    <row r="1848" spans="1:22">
      <c r="A1848" t="s">
        <v>856</v>
      </c>
      <c r="B1848" s="1">
        <v>41058.912881944445</v>
      </c>
      <c r="C1848" s="2">
        <v>62000</v>
      </c>
      <c r="D1848">
        <v>62000</v>
      </c>
      <c r="E1848" t="s">
        <v>1856</v>
      </c>
      <c r="F1848" s="5">
        <v>62000</v>
      </c>
      <c r="G1848" s="5">
        <v>62000</v>
      </c>
      <c r="H1848" s="5">
        <f ca="1">OFFSET(F1848,0,Brains!$D$1,1,1)</f>
        <v>62000</v>
      </c>
      <c r="I1848" t="s">
        <v>857</v>
      </c>
      <c r="J1848" t="s">
        <v>1901</v>
      </c>
      <c r="K1848" t="s">
        <v>1869</v>
      </c>
      <c r="L1848" t="s">
        <v>1869</v>
      </c>
      <c r="M1848" t="s">
        <v>3941</v>
      </c>
      <c r="N1848" t="s">
        <v>1866</v>
      </c>
      <c r="O1848" s="7" t="s">
        <v>3923</v>
      </c>
      <c r="P1848" s="17" t="str">
        <f t="shared" ca="1" si="56"/>
        <v>50-74.9K</v>
      </c>
      <c r="Q1848" s="17">
        <v>8</v>
      </c>
      <c r="R1848">
        <v>25</v>
      </c>
      <c r="S1848">
        <v>5</v>
      </c>
      <c r="T1848">
        <v>4</v>
      </c>
      <c r="U1848">
        <v>10</v>
      </c>
      <c r="V1848" s="15">
        <f t="shared" ca="1" si="57"/>
        <v>4</v>
      </c>
    </row>
    <row r="1849" spans="1:22">
      <c r="A1849" t="s">
        <v>3455</v>
      </c>
      <c r="B1849" s="1">
        <v>41055.690937500003</v>
      </c>
      <c r="C1849" s="2" t="s">
        <v>3456</v>
      </c>
      <c r="D1849">
        <v>24000</v>
      </c>
      <c r="E1849" t="s">
        <v>1954</v>
      </c>
      <c r="F1849" s="5">
        <v>37828.278529614821</v>
      </c>
      <c r="G1849" s="5">
        <v>35608.308605341248</v>
      </c>
      <c r="H1849" s="5">
        <f ca="1">OFFSET(F1849,0,Brains!$D$1,1,1)</f>
        <v>35608.308605341248</v>
      </c>
      <c r="I1849" t="s">
        <v>3457</v>
      </c>
      <c r="J1849" t="s">
        <v>1901</v>
      </c>
      <c r="K1849" t="s">
        <v>1956</v>
      </c>
      <c r="L1849" t="s">
        <v>1956</v>
      </c>
      <c r="M1849" s="7" t="s">
        <v>3941</v>
      </c>
      <c r="N1849" t="s">
        <v>1866</v>
      </c>
      <c r="O1849" s="7" t="s">
        <v>3921</v>
      </c>
      <c r="P1849" s="17" t="str">
        <f t="shared" ca="1" si="56"/>
        <v>30-49.9K</v>
      </c>
      <c r="Q1849" s="17">
        <v>8</v>
      </c>
      <c r="R1849">
        <v>8</v>
      </c>
      <c r="S1849">
        <v>5</v>
      </c>
      <c r="T1849">
        <v>2</v>
      </c>
      <c r="U1849">
        <v>10</v>
      </c>
      <c r="V1849" s="15">
        <f t="shared" ca="1" si="57"/>
        <v>3</v>
      </c>
    </row>
    <row r="1850" spans="1:22">
      <c r="A1850" t="s">
        <v>75</v>
      </c>
      <c r="B1850" s="1">
        <v>41057.480092592596</v>
      </c>
      <c r="C1850" s="2">
        <v>18000</v>
      </c>
      <c r="D1850">
        <v>18000</v>
      </c>
      <c r="E1850" t="s">
        <v>1856</v>
      </c>
      <c r="F1850" s="5">
        <v>18000</v>
      </c>
      <c r="G1850" s="5">
        <v>18000</v>
      </c>
      <c r="H1850" s="5">
        <f ca="1">OFFSET(F1850,0,Brains!$D$1,1,1)</f>
        <v>18000</v>
      </c>
      <c r="I1850" t="s">
        <v>76</v>
      </c>
      <c r="J1850" t="s">
        <v>1901</v>
      </c>
      <c r="K1850" t="s">
        <v>1859</v>
      </c>
      <c r="L1850" t="s">
        <v>1859</v>
      </c>
      <c r="M1850" s="7" t="s">
        <v>3941</v>
      </c>
      <c r="N1850" t="s">
        <v>1866</v>
      </c>
      <c r="O1850" s="7" t="s">
        <v>3921</v>
      </c>
      <c r="P1850" s="17" t="str">
        <f t="shared" ca="1" si="56"/>
        <v>15-29.9K</v>
      </c>
      <c r="Q1850" s="17">
        <v>8</v>
      </c>
      <c r="R1850">
        <v>8</v>
      </c>
      <c r="S1850">
        <v>5</v>
      </c>
      <c r="T1850">
        <v>2</v>
      </c>
      <c r="U1850">
        <v>10</v>
      </c>
      <c r="V1850" s="15">
        <f t="shared" ca="1" si="57"/>
        <v>2</v>
      </c>
    </row>
    <row r="1851" spans="1:22">
      <c r="A1851" t="s">
        <v>1742</v>
      </c>
      <c r="B1851" s="1">
        <v>41076.224340277775</v>
      </c>
      <c r="C1851" s="2">
        <v>38666</v>
      </c>
      <c r="D1851">
        <v>38666</v>
      </c>
      <c r="E1851" t="s">
        <v>1856</v>
      </c>
      <c r="F1851" s="5">
        <v>38666</v>
      </c>
      <c r="G1851" s="5">
        <v>38666</v>
      </c>
      <c r="H1851" s="5">
        <f ca="1">OFFSET(F1851,0,Brains!$D$1,1,1)</f>
        <v>38666</v>
      </c>
      <c r="I1851" t="s">
        <v>1743</v>
      </c>
      <c r="J1851" t="s">
        <v>1901</v>
      </c>
      <c r="K1851" t="s">
        <v>1922</v>
      </c>
      <c r="L1851" t="s">
        <v>1922</v>
      </c>
      <c r="M1851" s="7" t="s">
        <v>3941</v>
      </c>
      <c r="N1851" t="s">
        <v>1866</v>
      </c>
      <c r="O1851" s="7" t="s">
        <v>3921</v>
      </c>
      <c r="P1851" s="17" t="str">
        <f t="shared" ca="1" si="56"/>
        <v>30-49.9K</v>
      </c>
      <c r="Q1851" s="17">
        <v>8</v>
      </c>
      <c r="R1851">
        <v>10</v>
      </c>
      <c r="S1851">
        <v>5</v>
      </c>
      <c r="T1851">
        <v>2</v>
      </c>
      <c r="U1851">
        <v>10</v>
      </c>
      <c r="V1851" s="15">
        <f t="shared" ca="1" si="57"/>
        <v>3</v>
      </c>
    </row>
    <row r="1852" spans="1:22">
      <c r="A1852" t="s">
        <v>999</v>
      </c>
      <c r="B1852" s="1">
        <v>41059.665983796294</v>
      </c>
      <c r="C1852" s="2" t="s">
        <v>1000</v>
      </c>
      <c r="D1852">
        <v>1000000</v>
      </c>
      <c r="E1852" t="s">
        <v>1908</v>
      </c>
      <c r="F1852" s="5">
        <v>17807.916687442568</v>
      </c>
      <c r="G1852" s="5">
        <v>49795.837068021116</v>
      </c>
      <c r="H1852" s="5">
        <f ca="1">OFFSET(F1852,0,Brains!$D$1,1,1)</f>
        <v>49795.837068021116</v>
      </c>
      <c r="I1852" t="s">
        <v>3056</v>
      </c>
      <c r="J1852" t="s">
        <v>1901</v>
      </c>
      <c r="K1852" t="s">
        <v>1859</v>
      </c>
      <c r="L1852" t="s">
        <v>1859</v>
      </c>
      <c r="M1852" s="11" t="s">
        <v>3917</v>
      </c>
      <c r="N1852" t="s">
        <v>1873</v>
      </c>
      <c r="O1852" s="7" t="s">
        <v>3921</v>
      </c>
      <c r="P1852" s="17" t="str">
        <f t="shared" ca="1" si="56"/>
        <v>30-49.9K</v>
      </c>
      <c r="Q1852" s="17">
        <v>2.5</v>
      </c>
      <c r="R1852">
        <v>7</v>
      </c>
      <c r="S1852">
        <v>3</v>
      </c>
      <c r="T1852">
        <v>2</v>
      </c>
      <c r="U1852">
        <v>10</v>
      </c>
      <c r="V1852" s="15">
        <f t="shared" ca="1" si="57"/>
        <v>3</v>
      </c>
    </row>
    <row r="1853" spans="1:22">
      <c r="A1853" t="s">
        <v>658</v>
      </c>
      <c r="B1853" s="1">
        <v>41058.551342592589</v>
      </c>
      <c r="C1853" s="2">
        <v>12500</v>
      </c>
      <c r="D1853">
        <v>12500</v>
      </c>
      <c r="E1853" t="s">
        <v>1856</v>
      </c>
      <c r="F1853" s="5">
        <v>12500</v>
      </c>
      <c r="G1853" s="5">
        <v>12500</v>
      </c>
      <c r="H1853" s="5">
        <f ca="1">OFFSET(F1853,0,Brains!$D$1,1,1)</f>
        <v>12500</v>
      </c>
      <c r="I1853" t="s">
        <v>1901</v>
      </c>
      <c r="J1853" t="s">
        <v>1901</v>
      </c>
      <c r="K1853" t="s">
        <v>2469</v>
      </c>
      <c r="L1853" t="s">
        <v>2469</v>
      </c>
      <c r="M1853" s="11" t="s">
        <v>3917</v>
      </c>
      <c r="N1853" t="s">
        <v>1873</v>
      </c>
      <c r="O1853" s="7" t="s">
        <v>3921</v>
      </c>
      <c r="P1853" s="17" t="str">
        <f t="shared" ca="1" si="56"/>
        <v>0-14.9K</v>
      </c>
      <c r="Q1853" s="17">
        <v>2.5</v>
      </c>
      <c r="R1853">
        <v>7</v>
      </c>
      <c r="S1853">
        <v>3</v>
      </c>
      <c r="T1853">
        <v>2</v>
      </c>
      <c r="U1853">
        <v>10</v>
      </c>
      <c r="V1853" s="15">
        <f t="shared" ca="1" si="57"/>
        <v>1</v>
      </c>
    </row>
    <row r="1854" spans="1:22">
      <c r="A1854" t="s">
        <v>3104</v>
      </c>
      <c r="B1854" s="1">
        <v>41055.317974537036</v>
      </c>
      <c r="C1854" s="2">
        <v>50000</v>
      </c>
      <c r="D1854">
        <v>50000</v>
      </c>
      <c r="E1854" t="s">
        <v>1856</v>
      </c>
      <c r="F1854" s="5">
        <v>50000</v>
      </c>
      <c r="G1854" s="5">
        <v>50000</v>
      </c>
      <c r="H1854" s="5">
        <f ca="1">OFFSET(F1854,0,Brains!$D$1,1,1)</f>
        <v>50000</v>
      </c>
      <c r="I1854" t="s">
        <v>3061</v>
      </c>
      <c r="J1854" t="s">
        <v>1901</v>
      </c>
      <c r="K1854" t="s">
        <v>1869</v>
      </c>
      <c r="L1854" t="s">
        <v>1869</v>
      </c>
      <c r="M1854" s="11" t="s">
        <v>3917</v>
      </c>
      <c r="N1854" t="s">
        <v>1873</v>
      </c>
      <c r="O1854" s="7" t="s">
        <v>3921</v>
      </c>
      <c r="P1854" s="17" t="str">
        <f t="shared" ca="1" si="56"/>
        <v>50-74.9K</v>
      </c>
      <c r="Q1854" s="17">
        <v>2.5</v>
      </c>
      <c r="R1854">
        <v>10</v>
      </c>
      <c r="S1854">
        <v>3</v>
      </c>
      <c r="T1854">
        <v>2</v>
      </c>
      <c r="U1854">
        <v>10</v>
      </c>
      <c r="V1854" s="15">
        <f t="shared" ca="1" si="57"/>
        <v>4</v>
      </c>
    </row>
    <row r="1855" spans="1:22">
      <c r="A1855" t="s">
        <v>1060</v>
      </c>
      <c r="B1855" s="1">
        <v>41059.888553240744</v>
      </c>
      <c r="C1855" s="2">
        <v>45000</v>
      </c>
      <c r="D1855">
        <v>45000</v>
      </c>
      <c r="E1855" t="s">
        <v>1856</v>
      </c>
      <c r="F1855" s="5">
        <v>45000</v>
      </c>
      <c r="G1855" s="5">
        <v>45000</v>
      </c>
      <c r="H1855" s="5">
        <f ca="1">OFFSET(F1855,0,Brains!$D$1,1,1)</f>
        <v>45000</v>
      </c>
      <c r="I1855" t="s">
        <v>76</v>
      </c>
      <c r="J1855" t="s">
        <v>1901</v>
      </c>
      <c r="K1855" t="s">
        <v>1869</v>
      </c>
      <c r="L1855" t="s">
        <v>1869</v>
      </c>
      <c r="M1855" s="11" t="s">
        <v>3917</v>
      </c>
      <c r="N1855" t="s">
        <v>1873</v>
      </c>
      <c r="O1855" s="7" t="s">
        <v>3921</v>
      </c>
      <c r="P1855" s="17" t="str">
        <f t="shared" ca="1" si="56"/>
        <v>30-49.9K</v>
      </c>
      <c r="Q1855" s="17">
        <v>2.5</v>
      </c>
      <c r="R1855">
        <v>10</v>
      </c>
      <c r="S1855">
        <v>3</v>
      </c>
      <c r="T1855">
        <v>2</v>
      </c>
      <c r="U1855">
        <v>10</v>
      </c>
      <c r="V1855" s="15">
        <f t="shared" ca="1" si="57"/>
        <v>3</v>
      </c>
    </row>
    <row r="1856" spans="1:22">
      <c r="A1856" t="s">
        <v>872</v>
      </c>
      <c r="B1856" s="1">
        <v>41058.939074074071</v>
      </c>
      <c r="C1856" s="2">
        <v>20000</v>
      </c>
      <c r="D1856">
        <v>20000</v>
      </c>
      <c r="E1856" t="s">
        <v>1856</v>
      </c>
      <c r="F1856" s="5">
        <v>20000</v>
      </c>
      <c r="G1856" s="5">
        <v>20000</v>
      </c>
      <c r="H1856" s="5">
        <f ca="1">OFFSET(F1856,0,Brains!$D$1,1,1)</f>
        <v>20000</v>
      </c>
      <c r="I1856" t="s">
        <v>873</v>
      </c>
      <c r="J1856" t="s">
        <v>1901</v>
      </c>
      <c r="K1856" t="s">
        <v>1859</v>
      </c>
      <c r="L1856" t="s">
        <v>1859</v>
      </c>
      <c r="M1856" s="11" t="s">
        <v>3918</v>
      </c>
      <c r="N1856" t="s">
        <v>1860</v>
      </c>
      <c r="O1856" s="7" t="s">
        <v>3921</v>
      </c>
      <c r="P1856" s="17" t="str">
        <f t="shared" ca="1" si="56"/>
        <v>15-29.9K</v>
      </c>
      <c r="Q1856" s="17">
        <v>5</v>
      </c>
      <c r="R1856">
        <v>6</v>
      </c>
      <c r="S1856">
        <v>4</v>
      </c>
      <c r="T1856">
        <v>2</v>
      </c>
      <c r="U1856">
        <v>10</v>
      </c>
      <c r="V1856" s="15">
        <f t="shared" ca="1" si="57"/>
        <v>2</v>
      </c>
    </row>
    <row r="1857" spans="1:22">
      <c r="A1857" t="s">
        <v>3628</v>
      </c>
      <c r="B1857" s="1">
        <v>41055.968958333331</v>
      </c>
      <c r="C1857" s="2" t="s">
        <v>3629</v>
      </c>
      <c r="D1857">
        <v>65000</v>
      </c>
      <c r="E1857" t="s">
        <v>3630</v>
      </c>
      <c r="F1857" s="5">
        <v>18499.860539512854</v>
      </c>
      <c r="G1857" s="5">
        <v>29411.764705882353</v>
      </c>
      <c r="H1857" s="5">
        <f ca="1">OFFSET(F1857,0,Brains!$D$1,1,1)</f>
        <v>29411.764705882353</v>
      </c>
      <c r="I1857" t="s">
        <v>3631</v>
      </c>
      <c r="J1857" t="s">
        <v>1901</v>
      </c>
      <c r="K1857" t="s">
        <v>2750</v>
      </c>
      <c r="L1857" t="s">
        <v>2750</v>
      </c>
      <c r="M1857" s="11" t="s">
        <v>3918</v>
      </c>
      <c r="N1857" t="s">
        <v>1860</v>
      </c>
      <c r="O1857" s="7" t="s">
        <v>3921</v>
      </c>
      <c r="P1857" s="17" t="str">
        <f t="shared" ca="1" si="56"/>
        <v>15-29.9K</v>
      </c>
      <c r="Q1857" s="17">
        <v>5</v>
      </c>
      <c r="R1857">
        <v>6</v>
      </c>
      <c r="S1857">
        <v>4</v>
      </c>
      <c r="T1857">
        <v>2</v>
      </c>
      <c r="U1857">
        <v>10</v>
      </c>
      <c r="V1857" s="15">
        <f t="shared" ca="1" si="57"/>
        <v>2</v>
      </c>
    </row>
    <row r="1858" spans="1:22">
      <c r="A1858" t="s">
        <v>503</v>
      </c>
      <c r="B1858" s="1">
        <v>41058.025243055556</v>
      </c>
      <c r="C1858" s="2">
        <v>74000</v>
      </c>
      <c r="D1858">
        <v>74000</v>
      </c>
      <c r="E1858" t="s">
        <v>1856</v>
      </c>
      <c r="F1858" s="5">
        <v>74000</v>
      </c>
      <c r="G1858" s="5">
        <v>74000</v>
      </c>
      <c r="H1858" s="5">
        <f ca="1">OFFSET(F1858,0,Brains!$D$1,1,1)</f>
        <v>74000</v>
      </c>
      <c r="I1858" t="s">
        <v>504</v>
      </c>
      <c r="J1858" t="s">
        <v>1901</v>
      </c>
      <c r="K1858" t="s">
        <v>1869</v>
      </c>
      <c r="L1858" t="s">
        <v>1869</v>
      </c>
      <c r="M1858" s="11" t="s">
        <v>3918</v>
      </c>
      <c r="N1858" t="s">
        <v>1860</v>
      </c>
      <c r="O1858" s="7" t="s">
        <v>3921</v>
      </c>
      <c r="P1858" s="17" t="str">
        <f t="shared" ref="P1858:P1884" ca="1" si="58">IF(H1858&lt;15000,"0-14.9K",IF(H1858&lt;30000,"15-29.9K",IF(H1858&lt;50000,"30-49.9K",IF(H1858&lt;75000,"50-74.9K",IF(H1858&lt;100000,"75-99.9K",IF(H1858&lt;150000,"100-149.9K",IF(H1858&lt;250000,"150-249.9K","250K+")))))))</f>
        <v>50-74.9K</v>
      </c>
      <c r="Q1858" s="17">
        <v>5</v>
      </c>
      <c r="R1858">
        <v>10</v>
      </c>
      <c r="S1858">
        <v>4</v>
      </c>
      <c r="T1858">
        <v>2</v>
      </c>
      <c r="U1858">
        <v>10</v>
      </c>
      <c r="V1858" s="15">
        <f t="shared" ref="V1858:V1884" ca="1" si="59">IF(H1858&lt;15000,1,IF(H1858&lt;30000,2,IF(H1858&lt;50000,3,IF(H1858&lt;75000,4,IF(H1858&lt;100000,5,IF(H1858&lt;150000,6,IF(H1858&lt;250000,7,8)))))))</f>
        <v>4</v>
      </c>
    </row>
    <row r="1859" spans="1:22">
      <c r="A1859" t="s">
        <v>3348</v>
      </c>
      <c r="B1859" s="1">
        <v>41055.576319444444</v>
      </c>
      <c r="C1859" s="2">
        <v>35000</v>
      </c>
      <c r="D1859">
        <v>35000</v>
      </c>
      <c r="E1859" t="s">
        <v>1856</v>
      </c>
      <c r="F1859" s="5">
        <v>35000</v>
      </c>
      <c r="G1859" s="5">
        <v>35000</v>
      </c>
      <c r="H1859" s="5">
        <f ca="1">OFFSET(F1859,0,Brains!$D$1,1,1)</f>
        <v>35000</v>
      </c>
      <c r="I1859" t="s">
        <v>3061</v>
      </c>
      <c r="J1859" t="s">
        <v>1901</v>
      </c>
      <c r="K1859" t="s">
        <v>1869</v>
      </c>
      <c r="L1859" t="s">
        <v>1869</v>
      </c>
      <c r="M1859" s="11" t="s">
        <v>3918</v>
      </c>
      <c r="N1859" t="s">
        <v>1860</v>
      </c>
      <c r="O1859" s="7" t="s">
        <v>3921</v>
      </c>
      <c r="P1859" s="17" t="str">
        <f t="shared" ca="1" si="58"/>
        <v>30-49.9K</v>
      </c>
      <c r="Q1859" s="17">
        <v>5</v>
      </c>
      <c r="R1859">
        <v>10</v>
      </c>
      <c r="S1859">
        <v>4</v>
      </c>
      <c r="T1859">
        <v>2</v>
      </c>
      <c r="U1859">
        <v>10</v>
      </c>
      <c r="V1859" s="15">
        <f t="shared" ca="1" si="59"/>
        <v>3</v>
      </c>
    </row>
    <row r="1860" spans="1:22">
      <c r="A1860" t="s">
        <v>835</v>
      </c>
      <c r="B1860" s="1">
        <v>41058.894016203703</v>
      </c>
      <c r="C1860" s="2">
        <v>36000</v>
      </c>
      <c r="D1860">
        <v>36000</v>
      </c>
      <c r="E1860" t="s">
        <v>1856</v>
      </c>
      <c r="F1860" s="5">
        <v>36000</v>
      </c>
      <c r="G1860" s="5">
        <v>36000</v>
      </c>
      <c r="H1860" s="5">
        <f ca="1">OFFSET(F1860,0,Brains!$D$1,1,1)</f>
        <v>36000</v>
      </c>
      <c r="I1860" t="s">
        <v>76</v>
      </c>
      <c r="J1860" t="s">
        <v>1901</v>
      </c>
      <c r="K1860" t="s">
        <v>1869</v>
      </c>
      <c r="L1860" t="s">
        <v>1869</v>
      </c>
      <c r="M1860" t="s">
        <v>3941</v>
      </c>
      <c r="N1860" t="s">
        <v>1866</v>
      </c>
      <c r="O1860" s="7" t="s">
        <v>3921</v>
      </c>
      <c r="P1860" s="17" t="str">
        <f t="shared" ca="1" si="58"/>
        <v>30-49.9K</v>
      </c>
      <c r="Q1860" s="17">
        <v>8</v>
      </c>
      <c r="R1860">
        <v>8</v>
      </c>
      <c r="S1860">
        <v>5</v>
      </c>
      <c r="T1860">
        <v>2</v>
      </c>
      <c r="U1860">
        <v>10</v>
      </c>
      <c r="V1860" s="15">
        <f t="shared" ca="1" si="59"/>
        <v>3</v>
      </c>
    </row>
    <row r="1861" spans="1:22">
      <c r="A1861" t="s">
        <v>3005</v>
      </c>
      <c r="B1861" s="1">
        <v>41055.213541666664</v>
      </c>
      <c r="C1861" s="2">
        <v>140000</v>
      </c>
      <c r="D1861">
        <v>140000</v>
      </c>
      <c r="E1861" t="s">
        <v>1954</v>
      </c>
      <c r="F1861" s="5">
        <v>220664.95808941979</v>
      </c>
      <c r="G1861" s="5">
        <v>207715.13353115725</v>
      </c>
      <c r="H1861" s="5">
        <f ca="1">OFFSET(F1861,0,Brains!$D$1,1,1)</f>
        <v>207715.13353115725</v>
      </c>
      <c r="I1861" t="s">
        <v>3006</v>
      </c>
      <c r="J1861" t="s">
        <v>1901</v>
      </c>
      <c r="K1861" t="s">
        <v>1956</v>
      </c>
      <c r="L1861" t="s">
        <v>1956</v>
      </c>
      <c r="M1861" s="7" t="s">
        <v>3941</v>
      </c>
      <c r="N1861" t="s">
        <v>1866</v>
      </c>
      <c r="P1861" s="15" t="str">
        <f t="shared" ca="1" si="58"/>
        <v>150-249.9K</v>
      </c>
      <c r="Q1861" s="15">
        <v>8</v>
      </c>
      <c r="S1861">
        <v>5</v>
      </c>
      <c r="U1861">
        <v>10</v>
      </c>
      <c r="V1861" s="15">
        <f t="shared" ca="1" si="59"/>
        <v>7</v>
      </c>
    </row>
    <row r="1862" spans="1:22">
      <c r="A1862" t="s">
        <v>2053</v>
      </c>
      <c r="B1862" s="1">
        <v>41054.960416666669</v>
      </c>
      <c r="C1862" s="2">
        <v>59450</v>
      </c>
      <c r="D1862">
        <v>59450</v>
      </c>
      <c r="E1862" t="s">
        <v>1979</v>
      </c>
      <c r="F1862" s="5">
        <v>58460.842544152933</v>
      </c>
      <c r="G1862" s="5">
        <v>47598.078462770209</v>
      </c>
      <c r="H1862" s="5">
        <f ca="1">OFFSET(F1862,0,Brains!$D$1,1,1)</f>
        <v>47598.078462770209</v>
      </c>
      <c r="I1862" t="s">
        <v>2054</v>
      </c>
      <c r="J1862" t="s">
        <v>1901</v>
      </c>
      <c r="K1862" t="s">
        <v>1981</v>
      </c>
      <c r="L1862" t="s">
        <v>1981</v>
      </c>
      <c r="M1862" s="7" t="s">
        <v>3941</v>
      </c>
      <c r="N1862" t="s">
        <v>1866</v>
      </c>
      <c r="P1862" s="15" t="str">
        <f t="shared" ca="1" si="58"/>
        <v>30-49.9K</v>
      </c>
      <c r="Q1862" s="15">
        <v>8</v>
      </c>
      <c r="S1862">
        <v>5</v>
      </c>
      <c r="U1862">
        <v>10</v>
      </c>
      <c r="V1862" s="15">
        <f t="shared" ca="1" si="59"/>
        <v>3</v>
      </c>
    </row>
    <row r="1863" spans="1:22">
      <c r="A1863" t="s">
        <v>2397</v>
      </c>
      <c r="B1863" s="1">
        <v>41055.043240740742</v>
      </c>
      <c r="C1863" s="2" t="s">
        <v>2398</v>
      </c>
      <c r="D1863">
        <v>12000</v>
      </c>
      <c r="E1863" t="s">
        <v>1880</v>
      </c>
      <c r="F1863" s="5">
        <v>15244.793267899293</v>
      </c>
      <c r="G1863" s="5">
        <v>15074.392125137554</v>
      </c>
      <c r="H1863" s="5">
        <f ca="1">OFFSET(F1863,0,Brains!$D$1,1,1)</f>
        <v>15074.392125137554</v>
      </c>
      <c r="I1863" t="s">
        <v>2399</v>
      </c>
      <c r="J1863" t="s">
        <v>1901</v>
      </c>
      <c r="K1863" t="s">
        <v>1892</v>
      </c>
      <c r="L1863" t="s">
        <v>1892</v>
      </c>
      <c r="M1863" s="7" t="s">
        <v>3941</v>
      </c>
      <c r="N1863" t="s">
        <v>1866</v>
      </c>
      <c r="P1863" s="15" t="str">
        <f t="shared" ca="1" si="58"/>
        <v>15-29.9K</v>
      </c>
      <c r="Q1863" s="15">
        <v>8</v>
      </c>
      <c r="S1863">
        <v>5</v>
      </c>
      <c r="U1863">
        <v>10</v>
      </c>
      <c r="V1863" s="15">
        <f t="shared" ca="1" si="59"/>
        <v>2</v>
      </c>
    </row>
    <row r="1864" spans="1:22">
      <c r="A1864" t="s">
        <v>3055</v>
      </c>
      <c r="B1864" s="1">
        <v>41055.243321759262</v>
      </c>
      <c r="C1864" s="2">
        <v>60000</v>
      </c>
      <c r="D1864">
        <v>60000</v>
      </c>
      <c r="E1864" t="s">
        <v>1856</v>
      </c>
      <c r="F1864" s="5">
        <v>60000</v>
      </c>
      <c r="G1864" s="5">
        <v>60000</v>
      </c>
      <c r="H1864" s="5">
        <f ca="1">OFFSET(F1864,0,Brains!$D$1,1,1)</f>
        <v>60000</v>
      </c>
      <c r="I1864" t="s">
        <v>3056</v>
      </c>
      <c r="J1864" t="s">
        <v>1901</v>
      </c>
      <c r="K1864" t="s">
        <v>1869</v>
      </c>
      <c r="L1864" t="s">
        <v>1869</v>
      </c>
      <c r="M1864" s="11" t="s">
        <v>3916</v>
      </c>
      <c r="N1864" t="s">
        <v>1884</v>
      </c>
      <c r="P1864" s="15" t="str">
        <f t="shared" ca="1" si="58"/>
        <v>50-74.9K</v>
      </c>
      <c r="Q1864" s="15">
        <v>1.5</v>
      </c>
      <c r="S1864">
        <v>2</v>
      </c>
      <c r="U1864">
        <v>10</v>
      </c>
      <c r="V1864" s="15">
        <f t="shared" ca="1" si="59"/>
        <v>4</v>
      </c>
    </row>
    <row r="1865" spans="1:22">
      <c r="A1865" t="s">
        <v>2374</v>
      </c>
      <c r="B1865" s="1">
        <v>41055.040393518517</v>
      </c>
      <c r="C1865" s="2">
        <v>45000</v>
      </c>
      <c r="D1865">
        <v>45000</v>
      </c>
      <c r="E1865" t="s">
        <v>1979</v>
      </c>
      <c r="F1865" s="5">
        <v>44251.268536364711</v>
      </c>
      <c r="G1865" s="5">
        <v>36028.823058446753</v>
      </c>
      <c r="H1865" s="5">
        <f ca="1">OFFSET(F1865,0,Brains!$D$1,1,1)</f>
        <v>36028.823058446753</v>
      </c>
      <c r="I1865" t="s">
        <v>2375</v>
      </c>
      <c r="J1865" t="s">
        <v>1901</v>
      </c>
      <c r="K1865" t="s">
        <v>1981</v>
      </c>
      <c r="L1865" t="s">
        <v>1981</v>
      </c>
      <c r="M1865" s="11" t="s">
        <v>3916</v>
      </c>
      <c r="N1865" t="s">
        <v>1884</v>
      </c>
      <c r="P1865" s="15" t="str">
        <f t="shared" ca="1" si="58"/>
        <v>30-49.9K</v>
      </c>
      <c r="Q1865" s="15">
        <v>1.5</v>
      </c>
      <c r="S1865">
        <v>2</v>
      </c>
      <c r="U1865">
        <v>10</v>
      </c>
      <c r="V1865" s="15">
        <f t="shared" ca="1" si="59"/>
        <v>3</v>
      </c>
    </row>
    <row r="1866" spans="1:22">
      <c r="A1866" t="s">
        <v>2457</v>
      </c>
      <c r="B1866" s="1">
        <v>41055.048310185186</v>
      </c>
      <c r="C1866" s="2">
        <v>7600</v>
      </c>
      <c r="D1866">
        <v>7600</v>
      </c>
      <c r="E1866" t="s">
        <v>1856</v>
      </c>
      <c r="F1866" s="5">
        <v>7600</v>
      </c>
      <c r="G1866" s="5">
        <v>7600</v>
      </c>
      <c r="H1866" s="5">
        <f ca="1">OFFSET(F1866,0,Brains!$D$1,1,1)</f>
        <v>7600</v>
      </c>
      <c r="I1866" t="s">
        <v>2458</v>
      </c>
      <c r="J1866" t="s">
        <v>1901</v>
      </c>
      <c r="K1866" t="s">
        <v>1887</v>
      </c>
      <c r="L1866" t="s">
        <v>1887</v>
      </c>
      <c r="M1866" s="11" t="s">
        <v>3916</v>
      </c>
      <c r="N1866" t="s">
        <v>1884</v>
      </c>
      <c r="P1866" s="15" t="str">
        <f t="shared" ca="1" si="58"/>
        <v>0-14.9K</v>
      </c>
      <c r="Q1866" s="15">
        <v>1.5</v>
      </c>
      <c r="S1866">
        <v>2</v>
      </c>
      <c r="U1866">
        <v>10</v>
      </c>
      <c r="V1866" s="15">
        <f t="shared" ca="1" si="59"/>
        <v>1</v>
      </c>
    </row>
    <row r="1867" spans="1:22">
      <c r="A1867" t="s">
        <v>2306</v>
      </c>
      <c r="B1867" s="1">
        <v>41055.036099537036</v>
      </c>
      <c r="C1867" s="2">
        <v>96000</v>
      </c>
      <c r="D1867">
        <v>96000</v>
      </c>
      <c r="E1867" t="s">
        <v>1856</v>
      </c>
      <c r="F1867" s="5">
        <v>96000</v>
      </c>
      <c r="G1867" s="5">
        <v>96000</v>
      </c>
      <c r="H1867" s="5">
        <f ca="1">OFFSET(F1867,0,Brains!$D$1,1,1)</f>
        <v>96000</v>
      </c>
      <c r="I1867" t="s">
        <v>2307</v>
      </c>
      <c r="J1867" t="s">
        <v>1901</v>
      </c>
      <c r="K1867" t="s">
        <v>1869</v>
      </c>
      <c r="L1867" t="s">
        <v>1869</v>
      </c>
      <c r="M1867" s="11" t="s">
        <v>3917</v>
      </c>
      <c r="N1867" t="s">
        <v>1873</v>
      </c>
      <c r="P1867" s="15" t="str">
        <f t="shared" ca="1" si="58"/>
        <v>75-99.9K</v>
      </c>
      <c r="Q1867" s="15">
        <v>2.5</v>
      </c>
      <c r="S1867">
        <v>3</v>
      </c>
      <c r="U1867">
        <v>10</v>
      </c>
      <c r="V1867" s="15">
        <f t="shared" ca="1" si="59"/>
        <v>5</v>
      </c>
    </row>
    <row r="1868" spans="1:22">
      <c r="A1868" t="s">
        <v>1898</v>
      </c>
      <c r="B1868" s="1">
        <v>41054.155381944445</v>
      </c>
      <c r="C1868" s="2" t="s">
        <v>1899</v>
      </c>
      <c r="D1868">
        <v>51650</v>
      </c>
      <c r="E1868" t="s">
        <v>1880</v>
      </c>
      <c r="F1868" s="5">
        <v>65616.131023916547</v>
      </c>
      <c r="G1868" s="5">
        <v>64882.69610527956</v>
      </c>
      <c r="H1868" s="5">
        <f ca="1">OFFSET(F1868,0,Brains!$D$1,1,1)</f>
        <v>64882.69610527956</v>
      </c>
      <c r="I1868" t="s">
        <v>1900</v>
      </c>
      <c r="J1868" t="s">
        <v>1901</v>
      </c>
      <c r="K1868" t="s">
        <v>1902</v>
      </c>
      <c r="L1868" t="s">
        <v>1902</v>
      </c>
      <c r="M1868" s="11" t="s">
        <v>3917</v>
      </c>
      <c r="N1868" t="s">
        <v>1873</v>
      </c>
      <c r="P1868" s="15" t="str">
        <f t="shared" ca="1" si="58"/>
        <v>50-74.9K</v>
      </c>
      <c r="Q1868" s="15">
        <v>2.5</v>
      </c>
      <c r="S1868">
        <v>3</v>
      </c>
      <c r="U1868">
        <v>10</v>
      </c>
      <c r="V1868" s="15">
        <f t="shared" ca="1" si="59"/>
        <v>4</v>
      </c>
    </row>
    <row r="1869" spans="1:22">
      <c r="A1869" t="s">
        <v>2380</v>
      </c>
      <c r="B1869" s="1">
        <v>41055.041006944448</v>
      </c>
      <c r="C1869" s="2">
        <v>65000</v>
      </c>
      <c r="D1869">
        <v>65000</v>
      </c>
      <c r="E1869" t="s">
        <v>1856</v>
      </c>
      <c r="F1869" s="5">
        <v>65000</v>
      </c>
      <c r="G1869" s="5">
        <v>65000</v>
      </c>
      <c r="H1869" s="5">
        <f ca="1">OFFSET(F1869,0,Brains!$D$1,1,1)</f>
        <v>65000</v>
      </c>
      <c r="I1869" t="s">
        <v>2381</v>
      </c>
      <c r="J1869" t="s">
        <v>1901</v>
      </c>
      <c r="K1869" t="s">
        <v>1869</v>
      </c>
      <c r="L1869" t="s">
        <v>1869</v>
      </c>
      <c r="M1869" s="11" t="s">
        <v>3917</v>
      </c>
      <c r="N1869" t="s">
        <v>1873</v>
      </c>
      <c r="P1869" s="15" t="str">
        <f t="shared" ca="1" si="58"/>
        <v>50-74.9K</v>
      </c>
      <c r="Q1869" s="15">
        <v>2.5</v>
      </c>
      <c r="S1869">
        <v>3</v>
      </c>
      <c r="U1869">
        <v>10</v>
      </c>
      <c r="V1869" s="15">
        <f t="shared" ca="1" si="59"/>
        <v>4</v>
      </c>
    </row>
    <row r="1870" spans="1:22">
      <c r="A1870" t="s">
        <v>2515</v>
      </c>
      <c r="B1870" s="1">
        <v>41055.056087962963</v>
      </c>
      <c r="C1870" s="2">
        <v>31000</v>
      </c>
      <c r="D1870">
        <v>31000</v>
      </c>
      <c r="E1870" t="s">
        <v>1856</v>
      </c>
      <c r="F1870" s="5">
        <v>31000</v>
      </c>
      <c r="G1870" s="5">
        <v>31000</v>
      </c>
      <c r="H1870" s="5">
        <f ca="1">OFFSET(F1870,0,Brains!$D$1,1,1)</f>
        <v>31000</v>
      </c>
      <c r="I1870" t="s">
        <v>2516</v>
      </c>
      <c r="J1870" t="s">
        <v>1901</v>
      </c>
      <c r="K1870" t="s">
        <v>1869</v>
      </c>
      <c r="L1870" t="s">
        <v>1869</v>
      </c>
      <c r="M1870" s="11" t="s">
        <v>3917</v>
      </c>
      <c r="N1870" t="s">
        <v>1873</v>
      </c>
      <c r="P1870" s="15" t="str">
        <f t="shared" ca="1" si="58"/>
        <v>30-49.9K</v>
      </c>
      <c r="Q1870" s="15">
        <v>2.5</v>
      </c>
      <c r="S1870">
        <v>3</v>
      </c>
      <c r="U1870">
        <v>10</v>
      </c>
      <c r="V1870" s="15">
        <f t="shared" ca="1" si="59"/>
        <v>3</v>
      </c>
    </row>
    <row r="1871" spans="1:22">
      <c r="A1871" t="s">
        <v>2713</v>
      </c>
      <c r="B1871" s="1">
        <v>41055.084745370368</v>
      </c>
      <c r="C1871" s="2" t="s">
        <v>2714</v>
      </c>
      <c r="D1871">
        <v>99147</v>
      </c>
      <c r="E1871" t="s">
        <v>1856</v>
      </c>
      <c r="F1871" s="5">
        <v>99147</v>
      </c>
      <c r="G1871" s="5">
        <v>99147</v>
      </c>
      <c r="H1871" s="5">
        <f ca="1">OFFSET(F1871,0,Brains!$D$1,1,1)</f>
        <v>99147</v>
      </c>
      <c r="I1871" t="s">
        <v>2715</v>
      </c>
      <c r="J1871" t="s">
        <v>1901</v>
      </c>
      <c r="K1871" t="s">
        <v>1949</v>
      </c>
      <c r="L1871" t="s">
        <v>1949</v>
      </c>
      <c r="M1871" s="11" t="s">
        <v>3918</v>
      </c>
      <c r="N1871" t="s">
        <v>1860</v>
      </c>
      <c r="P1871" s="15" t="str">
        <f t="shared" ca="1" si="58"/>
        <v>75-99.9K</v>
      </c>
      <c r="Q1871" s="15">
        <v>5</v>
      </c>
      <c r="S1871">
        <v>4</v>
      </c>
      <c r="U1871">
        <v>10</v>
      </c>
      <c r="V1871" s="15">
        <f t="shared" ca="1" si="59"/>
        <v>5</v>
      </c>
    </row>
    <row r="1872" spans="1:22">
      <c r="A1872" t="s">
        <v>2114</v>
      </c>
      <c r="B1872" s="1">
        <v>41055.028310185182</v>
      </c>
      <c r="C1872" s="2">
        <v>90000</v>
      </c>
      <c r="D1872">
        <v>90000</v>
      </c>
      <c r="E1872" t="s">
        <v>1856</v>
      </c>
      <c r="F1872" s="5">
        <v>90000</v>
      </c>
      <c r="G1872" s="5">
        <v>90000</v>
      </c>
      <c r="H1872" s="5">
        <f ca="1">OFFSET(F1872,0,Brains!$D$1,1,1)</f>
        <v>90000</v>
      </c>
      <c r="I1872" t="s">
        <v>2115</v>
      </c>
      <c r="J1872" t="s">
        <v>1901</v>
      </c>
      <c r="K1872" t="s">
        <v>1869</v>
      </c>
      <c r="L1872" t="s">
        <v>1869</v>
      </c>
      <c r="M1872" s="11" t="s">
        <v>3918</v>
      </c>
      <c r="N1872" t="s">
        <v>1860</v>
      </c>
      <c r="P1872" s="15" t="str">
        <f t="shared" ca="1" si="58"/>
        <v>75-99.9K</v>
      </c>
      <c r="Q1872" s="15">
        <v>5</v>
      </c>
      <c r="S1872">
        <v>4</v>
      </c>
      <c r="U1872">
        <v>10</v>
      </c>
      <c r="V1872" s="15">
        <f t="shared" ca="1" si="59"/>
        <v>5</v>
      </c>
    </row>
    <row r="1873" spans="1:22">
      <c r="A1873" t="s">
        <v>2440</v>
      </c>
      <c r="B1873" s="1">
        <v>41055.047268518516</v>
      </c>
      <c r="C1873" s="2">
        <v>73000</v>
      </c>
      <c r="D1873">
        <v>73000</v>
      </c>
      <c r="E1873" t="s">
        <v>1856</v>
      </c>
      <c r="F1873" s="5">
        <v>73000</v>
      </c>
      <c r="G1873" s="5">
        <v>73000</v>
      </c>
      <c r="H1873" s="5">
        <f ca="1">OFFSET(F1873,0,Brains!$D$1,1,1)</f>
        <v>73000</v>
      </c>
      <c r="I1873" t="s">
        <v>2441</v>
      </c>
      <c r="J1873" t="s">
        <v>1901</v>
      </c>
      <c r="K1873" t="s">
        <v>1869</v>
      </c>
      <c r="L1873" t="s">
        <v>1869</v>
      </c>
      <c r="M1873" s="11" t="s">
        <v>3918</v>
      </c>
      <c r="N1873" t="s">
        <v>1860</v>
      </c>
      <c r="P1873" s="15" t="str">
        <f t="shared" ca="1" si="58"/>
        <v>50-74.9K</v>
      </c>
      <c r="Q1873" s="15">
        <v>5</v>
      </c>
      <c r="S1873">
        <v>4</v>
      </c>
      <c r="U1873">
        <v>10</v>
      </c>
      <c r="V1873" s="15">
        <f t="shared" ca="1" si="59"/>
        <v>4</v>
      </c>
    </row>
    <row r="1874" spans="1:22">
      <c r="A1874" t="s">
        <v>2134</v>
      </c>
      <c r="B1874" s="1">
        <v>41055.028726851851</v>
      </c>
      <c r="C1874" s="2">
        <v>50000</v>
      </c>
      <c r="D1874">
        <v>50000</v>
      </c>
      <c r="E1874" t="s">
        <v>1856</v>
      </c>
      <c r="F1874" s="5">
        <v>50000</v>
      </c>
      <c r="G1874" s="5">
        <v>50000</v>
      </c>
      <c r="H1874" s="5">
        <f ca="1">OFFSET(F1874,0,Brains!$D$1,1,1)</f>
        <v>50000</v>
      </c>
      <c r="I1874" t="s">
        <v>2135</v>
      </c>
      <c r="J1874" t="s">
        <v>1901</v>
      </c>
      <c r="K1874" t="s">
        <v>1869</v>
      </c>
      <c r="L1874" t="s">
        <v>1869</v>
      </c>
      <c r="M1874" s="11" t="s">
        <v>3918</v>
      </c>
      <c r="N1874" t="s">
        <v>1860</v>
      </c>
      <c r="P1874" s="15" t="str">
        <f t="shared" ca="1" si="58"/>
        <v>50-74.9K</v>
      </c>
      <c r="Q1874" s="15">
        <v>5</v>
      </c>
      <c r="S1874">
        <v>4</v>
      </c>
      <c r="U1874">
        <v>10</v>
      </c>
      <c r="V1874" s="15">
        <f t="shared" ca="1" si="59"/>
        <v>4</v>
      </c>
    </row>
    <row r="1875" spans="1:22">
      <c r="A1875" t="s">
        <v>2160</v>
      </c>
      <c r="B1875" s="1">
        <v>41055.029120370367</v>
      </c>
      <c r="C1875" s="2">
        <v>50000</v>
      </c>
      <c r="D1875">
        <v>50000</v>
      </c>
      <c r="E1875" t="s">
        <v>1856</v>
      </c>
      <c r="F1875" s="5">
        <v>50000</v>
      </c>
      <c r="G1875" s="5">
        <v>50000</v>
      </c>
      <c r="H1875" s="5">
        <f ca="1">OFFSET(F1875,0,Brains!$D$1,1,1)</f>
        <v>50000</v>
      </c>
      <c r="I1875" t="s">
        <v>2161</v>
      </c>
      <c r="J1875" t="s">
        <v>1901</v>
      </c>
      <c r="K1875" t="s">
        <v>1869</v>
      </c>
      <c r="L1875" t="s">
        <v>1869</v>
      </c>
      <c r="M1875" s="11" t="s">
        <v>3918</v>
      </c>
      <c r="N1875" t="s">
        <v>1860</v>
      </c>
      <c r="P1875" s="15" t="str">
        <f t="shared" ca="1" si="58"/>
        <v>50-74.9K</v>
      </c>
      <c r="Q1875" s="15">
        <v>5</v>
      </c>
      <c r="S1875">
        <v>4</v>
      </c>
      <c r="U1875">
        <v>10</v>
      </c>
      <c r="V1875" s="15">
        <f t="shared" ca="1" si="59"/>
        <v>4</v>
      </c>
    </row>
    <row r="1876" spans="1:22">
      <c r="A1876" t="s">
        <v>2573</v>
      </c>
      <c r="B1876" s="1">
        <v>41055.062638888892</v>
      </c>
      <c r="C1876" s="2">
        <v>47000</v>
      </c>
      <c r="D1876">
        <v>47000</v>
      </c>
      <c r="E1876" t="s">
        <v>1856</v>
      </c>
      <c r="F1876" s="5">
        <v>47000</v>
      </c>
      <c r="G1876" s="5">
        <v>47000</v>
      </c>
      <c r="H1876" s="5">
        <f ca="1">OFFSET(F1876,0,Brains!$D$1,1,1)</f>
        <v>47000</v>
      </c>
      <c r="I1876" t="s">
        <v>2574</v>
      </c>
      <c r="J1876" t="s">
        <v>1901</v>
      </c>
      <c r="K1876" t="s">
        <v>1869</v>
      </c>
      <c r="L1876" t="s">
        <v>1869</v>
      </c>
      <c r="M1876" s="11" t="s">
        <v>3918</v>
      </c>
      <c r="N1876" t="s">
        <v>1860</v>
      </c>
      <c r="P1876" s="15" t="str">
        <f t="shared" ca="1" si="58"/>
        <v>30-49.9K</v>
      </c>
      <c r="Q1876" s="15">
        <v>5</v>
      </c>
      <c r="S1876">
        <v>4</v>
      </c>
      <c r="U1876">
        <v>10</v>
      </c>
      <c r="V1876" s="15">
        <f t="shared" ca="1" si="59"/>
        <v>3</v>
      </c>
    </row>
    <row r="1877" spans="1:22">
      <c r="A1877" t="s">
        <v>2600</v>
      </c>
      <c r="B1877" s="1">
        <v>41055.065925925926</v>
      </c>
      <c r="C1877" s="2">
        <v>45000</v>
      </c>
      <c r="D1877">
        <v>45000</v>
      </c>
      <c r="E1877" t="s">
        <v>1856</v>
      </c>
      <c r="F1877" s="5">
        <v>45000</v>
      </c>
      <c r="G1877" s="5">
        <v>45000</v>
      </c>
      <c r="H1877" s="5">
        <f ca="1">OFFSET(F1877,0,Brains!$D$1,1,1)</f>
        <v>45000</v>
      </c>
      <c r="I1877" t="s">
        <v>2601</v>
      </c>
      <c r="J1877" t="s">
        <v>1901</v>
      </c>
      <c r="K1877" t="s">
        <v>1869</v>
      </c>
      <c r="L1877" t="s">
        <v>1869</v>
      </c>
      <c r="M1877" s="11" t="s">
        <v>3918</v>
      </c>
      <c r="N1877" t="s">
        <v>1860</v>
      </c>
      <c r="P1877" s="15" t="str">
        <f t="shared" ca="1" si="58"/>
        <v>30-49.9K</v>
      </c>
      <c r="Q1877" s="15">
        <v>5</v>
      </c>
      <c r="S1877">
        <v>4</v>
      </c>
      <c r="U1877">
        <v>10</v>
      </c>
      <c r="V1877" s="15">
        <f t="shared" ca="1" si="59"/>
        <v>3</v>
      </c>
    </row>
    <row r="1878" spans="1:22">
      <c r="A1878" t="s">
        <v>2018</v>
      </c>
      <c r="B1878" s="1">
        <v>41054.292268518519</v>
      </c>
      <c r="C1878" s="2">
        <v>41000</v>
      </c>
      <c r="D1878">
        <v>41000</v>
      </c>
      <c r="E1878" t="s">
        <v>1856</v>
      </c>
      <c r="F1878" s="5">
        <v>41000</v>
      </c>
      <c r="G1878" s="5">
        <v>41000</v>
      </c>
      <c r="H1878" s="5">
        <f ca="1">OFFSET(F1878,0,Brains!$D$1,1,1)</f>
        <v>41000</v>
      </c>
      <c r="I1878" t="s">
        <v>1901</v>
      </c>
      <c r="J1878" t="s">
        <v>1901</v>
      </c>
      <c r="K1878" t="s">
        <v>1869</v>
      </c>
      <c r="L1878" t="s">
        <v>1869</v>
      </c>
      <c r="M1878" s="11" t="s">
        <v>3918</v>
      </c>
      <c r="N1878" t="s">
        <v>1860</v>
      </c>
      <c r="P1878" s="15" t="str">
        <f t="shared" ca="1" si="58"/>
        <v>30-49.9K</v>
      </c>
      <c r="Q1878" s="15">
        <v>5</v>
      </c>
      <c r="S1878">
        <v>4</v>
      </c>
      <c r="U1878">
        <v>10</v>
      </c>
      <c r="V1878" s="15">
        <f t="shared" ca="1" si="59"/>
        <v>3</v>
      </c>
    </row>
    <row r="1879" spans="1:22">
      <c r="A1879" t="s">
        <v>2481</v>
      </c>
      <c r="B1879" s="1">
        <v>41055.052222222221</v>
      </c>
      <c r="C1879" s="2" t="s">
        <v>2482</v>
      </c>
      <c r="D1879">
        <v>36000</v>
      </c>
      <c r="E1879" t="s">
        <v>1856</v>
      </c>
      <c r="F1879" s="5">
        <v>36000</v>
      </c>
      <c r="G1879" s="5">
        <v>36000</v>
      </c>
      <c r="H1879" s="5">
        <f ca="1">OFFSET(F1879,0,Brains!$D$1,1,1)</f>
        <v>36000</v>
      </c>
      <c r="I1879" t="s">
        <v>2483</v>
      </c>
      <c r="J1879" t="s">
        <v>1901</v>
      </c>
      <c r="K1879" t="s">
        <v>1949</v>
      </c>
      <c r="L1879" t="s">
        <v>1949</v>
      </c>
      <c r="M1879" s="11" t="s">
        <v>3918</v>
      </c>
      <c r="N1879" t="s">
        <v>1860</v>
      </c>
      <c r="P1879" s="15" t="str">
        <f t="shared" ca="1" si="58"/>
        <v>30-49.9K</v>
      </c>
      <c r="Q1879" s="15">
        <v>5</v>
      </c>
      <c r="S1879">
        <v>4</v>
      </c>
      <c r="U1879">
        <v>10</v>
      </c>
      <c r="V1879" s="15">
        <f t="shared" ca="1" si="59"/>
        <v>3</v>
      </c>
    </row>
    <row r="1880" spans="1:22">
      <c r="A1880" t="s">
        <v>2890</v>
      </c>
      <c r="B1880" s="1">
        <v>41055.135995370372</v>
      </c>
      <c r="C1880" s="2">
        <v>20000</v>
      </c>
      <c r="D1880">
        <v>20000</v>
      </c>
      <c r="E1880" t="s">
        <v>1856</v>
      </c>
      <c r="F1880" s="5">
        <v>20000</v>
      </c>
      <c r="G1880" s="5">
        <v>20000</v>
      </c>
      <c r="H1880" s="5">
        <f ca="1">OFFSET(F1880,0,Brains!$D$1,1,1)</f>
        <v>20000</v>
      </c>
      <c r="I1880" t="s">
        <v>1901</v>
      </c>
      <c r="J1880" t="s">
        <v>1901</v>
      </c>
      <c r="K1880" t="s">
        <v>1859</v>
      </c>
      <c r="L1880" t="s">
        <v>1859</v>
      </c>
      <c r="M1880" s="11" t="s">
        <v>3918</v>
      </c>
      <c r="N1880" t="s">
        <v>1860</v>
      </c>
      <c r="P1880" s="15" t="str">
        <f t="shared" ca="1" si="58"/>
        <v>15-29.9K</v>
      </c>
      <c r="Q1880" s="15">
        <v>5</v>
      </c>
      <c r="S1880">
        <v>4</v>
      </c>
      <c r="U1880">
        <v>10</v>
      </c>
      <c r="V1880" s="15">
        <f t="shared" ca="1" si="59"/>
        <v>2</v>
      </c>
    </row>
    <row r="1881" spans="1:22">
      <c r="A1881" t="s">
        <v>1950</v>
      </c>
      <c r="B1881" s="1">
        <v>41054.206319444442</v>
      </c>
      <c r="C1881" s="2" t="s">
        <v>1951</v>
      </c>
      <c r="D1881">
        <v>360000</v>
      </c>
      <c r="E1881" t="s">
        <v>1908</v>
      </c>
      <c r="F1881" s="5">
        <v>6410.8500074793246</v>
      </c>
      <c r="G1881" s="5">
        <v>17926.501344487599</v>
      </c>
      <c r="H1881" s="5">
        <f ca="1">OFFSET(F1881,0,Brains!$D$1,1,1)</f>
        <v>17926.501344487599</v>
      </c>
      <c r="I1881" t="s">
        <v>1901</v>
      </c>
      <c r="J1881" t="s">
        <v>1901</v>
      </c>
      <c r="K1881" t="s">
        <v>1859</v>
      </c>
      <c r="L1881" t="s">
        <v>1859</v>
      </c>
      <c r="M1881" s="11" t="s">
        <v>3918</v>
      </c>
      <c r="N1881" t="s">
        <v>1860</v>
      </c>
      <c r="P1881" s="15" t="str">
        <f t="shared" ca="1" si="58"/>
        <v>15-29.9K</v>
      </c>
      <c r="Q1881" s="15">
        <v>5</v>
      </c>
      <c r="S1881">
        <v>4</v>
      </c>
      <c r="U1881">
        <v>10</v>
      </c>
      <c r="V1881" s="15">
        <f t="shared" ca="1" si="59"/>
        <v>2</v>
      </c>
    </row>
    <row r="1882" spans="1:22">
      <c r="A1882" t="s">
        <v>2875</v>
      </c>
      <c r="B1882" s="1">
        <v>41055.132881944446</v>
      </c>
      <c r="C1882" s="2" t="s">
        <v>2876</v>
      </c>
      <c r="D1882">
        <v>5250</v>
      </c>
      <c r="E1882" t="s">
        <v>1856</v>
      </c>
      <c r="F1882" s="5">
        <v>5250</v>
      </c>
      <c r="G1882" s="5">
        <v>5250</v>
      </c>
      <c r="H1882" s="5">
        <f ca="1">OFFSET(F1882,0,Brains!$D$1,1,1)</f>
        <v>5250</v>
      </c>
      <c r="I1882" t="s">
        <v>2877</v>
      </c>
      <c r="J1882" t="s">
        <v>1901</v>
      </c>
      <c r="K1882" t="s">
        <v>2878</v>
      </c>
      <c r="L1882" t="s">
        <v>2878</v>
      </c>
      <c r="M1882" s="11" t="s">
        <v>3918</v>
      </c>
      <c r="N1882" t="s">
        <v>1860</v>
      </c>
      <c r="P1882" s="15" t="str">
        <f t="shared" ca="1" si="58"/>
        <v>0-14.9K</v>
      </c>
      <c r="Q1882" s="15">
        <v>5</v>
      </c>
      <c r="S1882">
        <v>4</v>
      </c>
      <c r="U1882">
        <v>10</v>
      </c>
      <c r="V1882" s="15">
        <f t="shared" ca="1" si="59"/>
        <v>1</v>
      </c>
    </row>
    <row r="1883" spans="1:22">
      <c r="A1883" t="s">
        <v>2556</v>
      </c>
      <c r="B1883" s="1">
        <v>41055.06045138889</v>
      </c>
      <c r="C1883" s="2">
        <v>400000</v>
      </c>
      <c r="D1883">
        <v>400000</v>
      </c>
      <c r="E1883" t="s">
        <v>1856</v>
      </c>
      <c r="F1883" s="5">
        <v>400000</v>
      </c>
      <c r="G1883" s="5">
        <v>400000</v>
      </c>
      <c r="H1883" s="5">
        <f ca="1">OFFSET(F1883,0,Brains!$D$1,1,1)</f>
        <v>400000</v>
      </c>
      <c r="I1883" t="s">
        <v>2557</v>
      </c>
      <c r="J1883" t="s">
        <v>1901</v>
      </c>
      <c r="K1883" t="s">
        <v>1869</v>
      </c>
      <c r="L1883" t="s">
        <v>1869</v>
      </c>
      <c r="M1883" t="s">
        <v>3941</v>
      </c>
      <c r="N1883" t="s">
        <v>1866</v>
      </c>
      <c r="P1883" s="15" t="str">
        <f t="shared" ca="1" si="58"/>
        <v>250K+</v>
      </c>
      <c r="Q1883" s="15">
        <v>8</v>
      </c>
      <c r="S1883">
        <v>5</v>
      </c>
      <c r="U1883">
        <v>10</v>
      </c>
      <c r="V1883" s="15">
        <f t="shared" ca="1" si="59"/>
        <v>8</v>
      </c>
    </row>
    <row r="1884" spans="1:22">
      <c r="A1884" t="s">
        <v>2274</v>
      </c>
      <c r="B1884" s="1">
        <v>41055.034270833334</v>
      </c>
      <c r="C1884" s="2">
        <v>75000</v>
      </c>
      <c r="D1884">
        <v>75000</v>
      </c>
      <c r="E1884" t="s">
        <v>1856</v>
      </c>
      <c r="F1884" s="5">
        <v>75000</v>
      </c>
      <c r="G1884" s="5">
        <v>75000</v>
      </c>
      <c r="H1884" s="5">
        <f ca="1">OFFSET(F1884,0,Brains!$D$1,1,1)</f>
        <v>75000</v>
      </c>
      <c r="I1884" t="s">
        <v>2275</v>
      </c>
      <c r="J1884" t="s">
        <v>1901</v>
      </c>
      <c r="K1884" t="s">
        <v>1869</v>
      </c>
      <c r="L1884" t="s">
        <v>1869</v>
      </c>
      <c r="M1884" t="s">
        <v>3941</v>
      </c>
      <c r="N1884" t="s">
        <v>1866</v>
      </c>
      <c r="P1884" s="15" t="str">
        <f t="shared" ca="1" si="58"/>
        <v>75-99.9K</v>
      </c>
      <c r="Q1884" s="15">
        <v>8</v>
      </c>
      <c r="S1884">
        <v>5</v>
      </c>
      <c r="U1884">
        <v>10</v>
      </c>
      <c r="V1884" s="15">
        <f t="shared" ca="1" si="59"/>
        <v>5</v>
      </c>
    </row>
  </sheetData>
  <phoneticPr fontId="0" type="noConversion"/>
  <conditionalFormatting sqref="E274:R274 A307:R419 A306:C306 E306:R306 A2:R2 A1772:C1772 E1772:R1772 A1711:R1771 A1710:C1710 E1710:R1710 A1703:R1709 A1702:C1702 E1702:R1702 A1644:R1701 A1643:C1643 E1643:R1643 A1298:C1298 E1298:R1298 A1087:R1297 A1086:C1086 E1086:R1086 A1075:R1085 A1074:C1074 E1074:R1074 A1046:R1073 A1045:C1045 E1045:R1045 A870:R1044 A869:C869 E869:R869 A804:R868 A803:C803 E803:R803 A800:R802 A799:C799 E799:R799 A783:R798 A782:C782 E782:R782 A747:R781 A746:C746 E746:R746 A710:R745 A709:C709 E709:R709 A706:R708 A705:C705 E705:R705 A695:R704 A694:C694 E694:R694 A688:R693 A687:C687 E687:R687 A656:R686 A655:C655 E655:R655 A632:R654 A631:C631 E631:R631 A593:R630 A592:C592 E592:R592 A421:R591 A420:C420 E420:R420 A35:R40 A3:C34 E3:R34 A43:R43 A41:C42 E41:R42 A45:R48 A44:C44 E44:R44 A51:R55 A49:C50 E49:R50 A57:R57 A56:C56 E56:R56 A59:R75 A58:C58 E58:R58 A77:R87 A76:C76 E76:R76 A89:R97 A88:C88 E88:R88 A99:R99 A98:C98 E98:R98 A101:R135 A100:C100 E100:R100 A137:R150 A136:C136 E136:R136 A152:R154 A151:C151 E151:R151 A156:R211 A155:C155 E155:R155 A213:R237 A212:C212 E212:R212 A239:R273 A238:C238 E238:R238 A275:R305 A274:C274 M628:M1401 M1403:M1877 A1773:R1884 O3:Q566 O568:Q967 O969:Q1260 O1262:Q1329 A1299:R1642 M3:M626 H3:H1884">
    <cfRule type="expression" dxfId="33" priority="2" stopIfTrue="1">
      <formula>$F2="ERR"</formula>
    </cfRule>
  </conditionalFormatting>
  <conditionalFormatting sqref="L2:M1884">
    <cfRule type="expression" dxfId="32" priority="1" stopIfTrue="1">
      <formula>$F2="ERR"</formula>
    </cfRule>
  </conditionalFormatting>
  <pageMargins left="0.75" right="0.75" top="1" bottom="1" header="0.5" footer="0.5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V105"/>
  <sheetViews>
    <sheetView topLeftCell="G1" workbookViewId="0">
      <selection activeCell="J3" sqref="J3:J4"/>
    </sheetView>
  </sheetViews>
  <sheetFormatPr defaultRowHeight="12.75"/>
  <cols>
    <col min="1" max="1" width="15.140625" bestFit="1" customWidth="1"/>
    <col min="2" max="2" width="17" bestFit="1" customWidth="1"/>
    <col min="5" max="5" width="10" bestFit="1" customWidth="1"/>
    <col min="8" max="8" width="17" bestFit="1" customWidth="1"/>
    <col min="10" max="10" width="10.42578125" bestFit="1" customWidth="1"/>
    <col min="12" max="12" width="17" bestFit="1" customWidth="1"/>
    <col min="13" max="13" width="11" bestFit="1" customWidth="1"/>
    <col min="14" max="15" width="11" customWidth="1"/>
    <col min="20" max="20" width="10.85546875" bestFit="1" customWidth="1"/>
    <col min="21" max="21" width="10.7109375" bestFit="1" customWidth="1"/>
    <col min="22" max="22" width="10.7109375" customWidth="1"/>
  </cols>
  <sheetData>
    <row r="1" spans="1:22" s="8" customFormat="1" ht="22.5" customHeight="1">
      <c r="A1" s="8" t="s">
        <v>3910</v>
      </c>
      <c r="L1" s="8" t="s">
        <v>3964</v>
      </c>
    </row>
    <row r="2" spans="1:22" s="10" customFormat="1">
      <c r="A2" s="10" t="s">
        <v>3911</v>
      </c>
      <c r="B2" s="10" t="s">
        <v>3912</v>
      </c>
      <c r="C2" s="10" t="s">
        <v>3940</v>
      </c>
      <c r="D2" s="10" t="s">
        <v>3913</v>
      </c>
      <c r="E2" s="10" t="s">
        <v>3909</v>
      </c>
      <c r="F2" s="10" t="s">
        <v>3934</v>
      </c>
      <c r="G2" s="10" t="s">
        <v>3939</v>
      </c>
      <c r="H2" s="10" t="s">
        <v>3966</v>
      </c>
      <c r="I2" s="10" t="s">
        <v>3957</v>
      </c>
      <c r="J2" s="10" t="s">
        <v>3973</v>
      </c>
      <c r="K2" s="10" t="s">
        <v>3974</v>
      </c>
      <c r="L2" s="10" t="s">
        <v>3912</v>
      </c>
      <c r="M2" s="7" t="s">
        <v>3958</v>
      </c>
      <c r="N2" s="7" t="s">
        <v>3968</v>
      </c>
      <c r="O2" s="10" t="s">
        <v>3969</v>
      </c>
      <c r="P2" s="7" t="s">
        <v>3959</v>
      </c>
      <c r="Q2" s="7" t="s">
        <v>3957</v>
      </c>
      <c r="R2" s="7" t="s">
        <v>3960</v>
      </c>
      <c r="S2" s="7" t="s">
        <v>3957</v>
      </c>
      <c r="T2" s="7" t="s">
        <v>3961</v>
      </c>
      <c r="U2" s="7" t="s">
        <v>3963</v>
      </c>
      <c r="V2" s="7" t="s">
        <v>3957</v>
      </c>
    </row>
    <row r="3" spans="1:22">
      <c r="A3" s="7" t="s">
        <v>1897</v>
      </c>
      <c r="B3" t="s">
        <v>3845</v>
      </c>
      <c r="C3" s="11" t="s">
        <v>3919</v>
      </c>
      <c r="D3" s="7" t="s">
        <v>3920</v>
      </c>
      <c r="E3" s="7" t="s">
        <v>3925</v>
      </c>
      <c r="F3" s="7" t="s">
        <v>3912</v>
      </c>
      <c r="G3" s="7" t="s">
        <v>3911</v>
      </c>
      <c r="H3" s="7" t="s">
        <v>3967</v>
      </c>
      <c r="I3">
        <v>1</v>
      </c>
      <c r="J3" s="38" t="s">
        <v>3971</v>
      </c>
      <c r="K3" s="38" t="s">
        <v>3911</v>
      </c>
      <c r="L3" s="7" t="s">
        <v>3967</v>
      </c>
      <c r="M3" s="18">
        <f ca="1">SUM(List1[Selected Salary])/Reference!U3</f>
        <v>52505.971745271469</v>
      </c>
      <c r="N3" s="18"/>
      <c r="O3" s="18"/>
      <c r="P3">
        <v>4.8175783324482211</v>
      </c>
      <c r="R3">
        <v>6.1373340414232613</v>
      </c>
      <c r="T3" t="s">
        <v>1858</v>
      </c>
      <c r="U3">
        <v>1883</v>
      </c>
    </row>
    <row r="4" spans="1:22">
      <c r="A4" t="s">
        <v>1858</v>
      </c>
      <c r="B4" t="s">
        <v>3914</v>
      </c>
      <c r="C4" s="11" t="s">
        <v>3916</v>
      </c>
      <c r="D4" s="7" t="s">
        <v>3921</v>
      </c>
      <c r="E4" s="7" t="s">
        <v>3926</v>
      </c>
      <c r="F4" s="7" t="s">
        <v>3911</v>
      </c>
      <c r="G4" s="7" t="s">
        <v>3940</v>
      </c>
      <c r="H4" t="s">
        <v>3845</v>
      </c>
      <c r="I4">
        <v>2</v>
      </c>
      <c r="J4" s="38" t="s">
        <v>3972</v>
      </c>
      <c r="K4" s="38" t="s">
        <v>3940</v>
      </c>
      <c r="L4" t="s">
        <v>3845</v>
      </c>
      <c r="M4" s="5">
        <f ca="1">SUMIF(List1[clean Country],Reference!L4,List1[Selected Salary])/Reference!U4</f>
        <v>20571</v>
      </c>
      <c r="N4" s="22">
        <v>61</v>
      </c>
      <c r="O4" s="23">
        <v>67</v>
      </c>
      <c r="P4">
        <v>5</v>
      </c>
      <c r="Q4">
        <v>40</v>
      </c>
      <c r="R4">
        <v>8</v>
      </c>
      <c r="S4">
        <v>29</v>
      </c>
      <c r="T4" t="s">
        <v>1891</v>
      </c>
      <c r="U4">
        <v>1</v>
      </c>
      <c r="V4">
        <v>57</v>
      </c>
    </row>
    <row r="5" spans="1:22">
      <c r="A5" t="s">
        <v>1962</v>
      </c>
      <c r="B5" t="s">
        <v>437</v>
      </c>
      <c r="C5" s="11" t="s">
        <v>3917</v>
      </c>
      <c r="D5" s="7" t="s">
        <v>3922</v>
      </c>
      <c r="E5" s="7" t="s">
        <v>3927</v>
      </c>
      <c r="F5" s="7" t="s">
        <v>3940</v>
      </c>
      <c r="G5" s="7" t="s">
        <v>3913</v>
      </c>
      <c r="H5" t="s">
        <v>3914</v>
      </c>
      <c r="I5">
        <v>3</v>
      </c>
      <c r="K5" t="s">
        <v>3913</v>
      </c>
      <c r="L5" t="s">
        <v>3914</v>
      </c>
      <c r="M5" s="5">
        <f ca="1">SUMIF(List1[clean Country],Reference!L5,List1[Selected Salary])/Reference!U5</f>
        <v>21000</v>
      </c>
      <c r="N5" s="22">
        <v>60</v>
      </c>
      <c r="O5" s="23">
        <v>64</v>
      </c>
      <c r="P5">
        <v>1.5</v>
      </c>
      <c r="Q5">
        <v>99</v>
      </c>
      <c r="R5">
        <v>0</v>
      </c>
      <c r="S5">
        <v>92</v>
      </c>
      <c r="T5" t="s">
        <v>1858</v>
      </c>
      <c r="U5">
        <v>1</v>
      </c>
      <c r="V5">
        <v>58</v>
      </c>
    </row>
    <row r="6" spans="1:22">
      <c r="A6" t="s">
        <v>1864</v>
      </c>
      <c r="B6" t="s">
        <v>1500</v>
      </c>
      <c r="C6" s="11" t="s">
        <v>3918</v>
      </c>
      <c r="D6" s="7" t="s">
        <v>3923</v>
      </c>
      <c r="E6" s="7" t="s">
        <v>3928</v>
      </c>
      <c r="F6" s="7" t="s">
        <v>3913</v>
      </c>
      <c r="G6" s="7" t="s">
        <v>3909</v>
      </c>
      <c r="H6" t="s">
        <v>437</v>
      </c>
      <c r="I6">
        <v>4</v>
      </c>
      <c r="L6" t="s">
        <v>437</v>
      </c>
      <c r="M6" s="5">
        <f ca="1">SUMIF(List1[clean Country],Reference!L6,List1[Selected Salary])/Reference!U6</f>
        <v>24000</v>
      </c>
      <c r="N6" s="22">
        <v>57</v>
      </c>
      <c r="O6" s="23">
        <v>60</v>
      </c>
      <c r="P6">
        <v>5</v>
      </c>
      <c r="Q6">
        <v>41</v>
      </c>
      <c r="R6">
        <v>21</v>
      </c>
      <c r="S6">
        <v>1</v>
      </c>
      <c r="T6" t="s">
        <v>1882</v>
      </c>
      <c r="U6">
        <v>1</v>
      </c>
      <c r="V6">
        <v>59</v>
      </c>
    </row>
    <row r="7" spans="1:22">
      <c r="A7" t="s">
        <v>1891</v>
      </c>
      <c r="B7" t="s">
        <v>3691</v>
      </c>
      <c r="C7" s="11" t="s">
        <v>3941</v>
      </c>
      <c r="D7" s="7" t="s">
        <v>3924</v>
      </c>
      <c r="E7" s="7" t="s">
        <v>3929</v>
      </c>
      <c r="F7" s="7" t="s">
        <v>3909</v>
      </c>
      <c r="H7" t="s">
        <v>1500</v>
      </c>
      <c r="I7">
        <v>5</v>
      </c>
      <c r="K7" s="10" t="s">
        <v>3978</v>
      </c>
      <c r="L7" t="s">
        <v>1500</v>
      </c>
      <c r="M7" s="5">
        <f ca="1">SUMIF(List1[clean Country],Reference!L7,List1[Selected Salary])/Reference!U7</f>
        <v>6000</v>
      </c>
      <c r="N7" s="22">
        <v>95</v>
      </c>
      <c r="O7" s="23">
        <v>96</v>
      </c>
      <c r="P7">
        <v>8</v>
      </c>
      <c r="Q7">
        <v>1</v>
      </c>
      <c r="R7">
        <v>5</v>
      </c>
      <c r="S7">
        <v>60</v>
      </c>
      <c r="T7" t="s">
        <v>1921</v>
      </c>
      <c r="U7">
        <v>1</v>
      </c>
      <c r="V7">
        <v>60</v>
      </c>
    </row>
    <row r="8" spans="1:22">
      <c r="A8" t="s">
        <v>1876</v>
      </c>
      <c r="B8" t="s">
        <v>43</v>
      </c>
      <c r="E8" s="7" t="s">
        <v>3930</v>
      </c>
      <c r="H8" t="s">
        <v>3691</v>
      </c>
      <c r="I8">
        <v>6</v>
      </c>
      <c r="J8" s="7"/>
      <c r="K8" s="38" t="s">
        <v>3940</v>
      </c>
      <c r="L8" t="s">
        <v>3691</v>
      </c>
      <c r="M8" s="5">
        <f ca="1">SUMIF(List1[clean Country],Reference!L8,List1[Selected Salary])/Reference!U8</f>
        <v>5000</v>
      </c>
      <c r="N8" s="22">
        <v>98</v>
      </c>
      <c r="O8" s="23">
        <v>99</v>
      </c>
      <c r="P8">
        <v>1.5</v>
      </c>
      <c r="Q8">
        <v>100</v>
      </c>
      <c r="R8">
        <v>13</v>
      </c>
      <c r="S8">
        <v>11</v>
      </c>
      <c r="T8" t="s">
        <v>1962</v>
      </c>
      <c r="U8">
        <v>1</v>
      </c>
      <c r="V8">
        <v>61</v>
      </c>
    </row>
    <row r="9" spans="1:22">
      <c r="A9" t="s">
        <v>1882</v>
      </c>
      <c r="B9" t="s">
        <v>1975</v>
      </c>
      <c r="E9" s="7" t="s">
        <v>3931</v>
      </c>
      <c r="H9" t="s">
        <v>43</v>
      </c>
      <c r="I9">
        <v>7</v>
      </c>
      <c r="J9" s="7"/>
      <c r="K9" s="38" t="s">
        <v>3913</v>
      </c>
      <c r="L9" t="s">
        <v>43</v>
      </c>
      <c r="M9" s="5">
        <f ca="1">SUMIF(List1[clean Country],Reference!L9,List1[Selected Salary])/Reference!U9</f>
        <v>12000</v>
      </c>
      <c r="N9" s="22">
        <v>82</v>
      </c>
      <c r="O9" s="23">
        <v>86</v>
      </c>
      <c r="P9">
        <v>8</v>
      </c>
      <c r="Q9">
        <v>2</v>
      </c>
      <c r="R9">
        <v>3</v>
      </c>
      <c r="S9">
        <v>77</v>
      </c>
      <c r="T9" t="s">
        <v>1882</v>
      </c>
      <c r="U9">
        <v>1</v>
      </c>
      <c r="V9">
        <v>62</v>
      </c>
    </row>
    <row r="10" spans="1:22">
      <c r="A10" t="s">
        <v>1986</v>
      </c>
      <c r="B10" t="s">
        <v>792</v>
      </c>
      <c r="E10" s="7" t="s">
        <v>3932</v>
      </c>
      <c r="H10" t="s">
        <v>1975</v>
      </c>
      <c r="I10">
        <v>8</v>
      </c>
      <c r="J10" s="7"/>
      <c r="K10" s="38" t="s">
        <v>3909</v>
      </c>
      <c r="L10" t="s">
        <v>1975</v>
      </c>
      <c r="M10" s="5">
        <f ca="1">SUMIF(List1[clean Country],Reference!L10,List1[Selected Salary])/Reference!U10</f>
        <v>60028.558037256924</v>
      </c>
      <c r="N10" s="22">
        <v>8</v>
      </c>
      <c r="O10" s="23">
        <v>24</v>
      </c>
      <c r="P10">
        <v>4.1728395061728394</v>
      </c>
      <c r="Q10">
        <v>77</v>
      </c>
      <c r="R10">
        <v>9.5</v>
      </c>
      <c r="S10">
        <v>22</v>
      </c>
      <c r="T10" t="s">
        <v>1858</v>
      </c>
      <c r="U10">
        <v>81</v>
      </c>
      <c r="V10">
        <v>4</v>
      </c>
    </row>
    <row r="11" spans="1:22">
      <c r="A11" t="s">
        <v>1921</v>
      </c>
      <c r="B11" t="s">
        <v>1319</v>
      </c>
      <c r="H11" t="s">
        <v>792</v>
      </c>
      <c r="I11">
        <v>9</v>
      </c>
      <c r="J11" s="7"/>
      <c r="K11" s="7"/>
      <c r="L11" t="s">
        <v>792</v>
      </c>
      <c r="M11" s="5">
        <f ca="1">SUMIF(List1[clean Country],Reference!L11,List1[Selected Salary])/Reference!U11</f>
        <v>50247.973750458514</v>
      </c>
      <c r="N11" s="22">
        <v>30</v>
      </c>
      <c r="O11" s="23">
        <v>31</v>
      </c>
      <c r="P11">
        <v>5</v>
      </c>
      <c r="Q11">
        <v>42</v>
      </c>
      <c r="R11">
        <v>20</v>
      </c>
      <c r="S11">
        <v>2</v>
      </c>
      <c r="T11" t="s">
        <v>1882</v>
      </c>
      <c r="U11">
        <v>1</v>
      </c>
      <c r="V11">
        <v>63</v>
      </c>
    </row>
    <row r="12" spans="1:22">
      <c r="A12" t="s">
        <v>1901</v>
      </c>
      <c r="B12" t="s">
        <v>1716</v>
      </c>
      <c r="C12" s="12"/>
      <c r="H12" t="s">
        <v>1319</v>
      </c>
      <c r="I12">
        <v>10</v>
      </c>
      <c r="J12" s="7"/>
      <c r="K12" s="7"/>
      <c r="L12" t="s">
        <v>1319</v>
      </c>
      <c r="M12" s="5">
        <f ca="1">SUMIF(List1[clean Country],Reference!L12,List1[Selected Salary])/Reference!U12</f>
        <v>36000</v>
      </c>
      <c r="N12" s="22">
        <v>42</v>
      </c>
      <c r="O12" s="23">
        <v>45</v>
      </c>
      <c r="P12">
        <v>5</v>
      </c>
      <c r="Q12">
        <v>43</v>
      </c>
      <c r="R12">
        <v>5</v>
      </c>
      <c r="S12">
        <v>61</v>
      </c>
      <c r="T12" t="s">
        <v>1962</v>
      </c>
      <c r="U12">
        <v>1</v>
      </c>
      <c r="V12">
        <v>64</v>
      </c>
    </row>
    <row r="13" spans="1:22">
      <c r="B13" t="s">
        <v>2726</v>
      </c>
      <c r="C13" s="12"/>
      <c r="H13" t="s">
        <v>1716</v>
      </c>
      <c r="I13">
        <v>11</v>
      </c>
      <c r="J13" s="7"/>
      <c r="K13" s="7"/>
      <c r="L13" t="s">
        <v>1716</v>
      </c>
      <c r="M13" s="5">
        <f ca="1">SUMIF(List1[clean Country],Reference!L13,List1[Selected Salary])/Reference!U13</f>
        <v>8400</v>
      </c>
      <c r="N13" s="22">
        <v>93</v>
      </c>
      <c r="O13" s="23">
        <v>94</v>
      </c>
      <c r="P13">
        <v>8</v>
      </c>
      <c r="Q13">
        <v>3</v>
      </c>
      <c r="R13">
        <v>0.3</v>
      </c>
      <c r="S13">
        <v>91</v>
      </c>
      <c r="T13" t="s">
        <v>1858</v>
      </c>
      <c r="U13">
        <v>1</v>
      </c>
      <c r="V13">
        <v>65</v>
      </c>
    </row>
    <row r="14" spans="1:22">
      <c r="B14" t="s">
        <v>1940</v>
      </c>
      <c r="H14" t="s">
        <v>2726</v>
      </c>
      <c r="I14">
        <v>12</v>
      </c>
      <c r="L14" t="s">
        <v>2726</v>
      </c>
      <c r="M14" s="5">
        <f ca="1">SUMIF(List1[clean Country],Reference!L14,List1[Selected Salary])/Reference!U14</f>
        <v>23468.633673033502</v>
      </c>
      <c r="N14" s="22">
        <v>89</v>
      </c>
      <c r="O14" s="23">
        <v>62</v>
      </c>
      <c r="P14">
        <v>2</v>
      </c>
      <c r="Q14">
        <v>97</v>
      </c>
      <c r="R14">
        <v>6</v>
      </c>
      <c r="S14">
        <v>48</v>
      </c>
      <c r="T14" t="s">
        <v>1858</v>
      </c>
      <c r="U14">
        <v>2</v>
      </c>
      <c r="V14">
        <v>46</v>
      </c>
    </row>
    <row r="15" spans="1:22">
      <c r="B15" t="s">
        <v>2358</v>
      </c>
      <c r="H15" t="s">
        <v>1940</v>
      </c>
      <c r="I15">
        <v>13</v>
      </c>
      <c r="L15" t="s">
        <v>1940</v>
      </c>
      <c r="M15" s="5">
        <f ca="1">SUMIF(List1[clean Country],Reference!L15,List1[Selected Salary])/Reference!U15</f>
        <v>41241.024455688828</v>
      </c>
      <c r="N15" s="22">
        <v>40</v>
      </c>
      <c r="O15" s="23">
        <v>41</v>
      </c>
      <c r="P15">
        <v>3.5</v>
      </c>
      <c r="Q15">
        <v>85</v>
      </c>
      <c r="R15">
        <v>7.875</v>
      </c>
      <c r="S15">
        <v>36</v>
      </c>
      <c r="T15" t="s">
        <v>1858</v>
      </c>
      <c r="U15">
        <v>4</v>
      </c>
      <c r="V15">
        <v>34</v>
      </c>
    </row>
    <row r="16" spans="1:22">
      <c r="B16" t="s">
        <v>3430</v>
      </c>
      <c r="H16" t="s">
        <v>2358</v>
      </c>
      <c r="I16">
        <v>14</v>
      </c>
      <c r="L16" t="s">
        <v>2358</v>
      </c>
      <c r="M16" s="5">
        <f ca="1">SUMIF(List1[clean Country],Reference!L16,List1[Selected Salary])/Reference!U16</f>
        <v>78000</v>
      </c>
      <c r="N16" s="22">
        <v>14</v>
      </c>
      <c r="O16" s="23">
        <v>11</v>
      </c>
      <c r="P16">
        <v>5</v>
      </c>
      <c r="Q16">
        <v>44</v>
      </c>
      <c r="R16">
        <v>0</v>
      </c>
      <c r="S16">
        <v>93</v>
      </c>
      <c r="T16" t="s">
        <v>1897</v>
      </c>
      <c r="U16">
        <v>1</v>
      </c>
      <c r="V16">
        <v>66</v>
      </c>
    </row>
    <row r="17" spans="2:22">
      <c r="B17" t="s">
        <v>1109</v>
      </c>
      <c r="H17" t="s">
        <v>3430</v>
      </c>
      <c r="I17">
        <v>15</v>
      </c>
      <c r="L17" t="s">
        <v>3430</v>
      </c>
      <c r="M17" s="5">
        <f ca="1">SUMIF(List1[clean Country],Reference!L17,List1[Selected Salary])/Reference!U17</f>
        <v>4800</v>
      </c>
      <c r="N17" s="22">
        <v>99</v>
      </c>
      <c r="O17" s="23">
        <v>100</v>
      </c>
      <c r="P17">
        <v>5</v>
      </c>
      <c r="Q17">
        <v>45</v>
      </c>
      <c r="R17">
        <v>2</v>
      </c>
      <c r="S17">
        <v>81</v>
      </c>
      <c r="T17" t="s">
        <v>1858</v>
      </c>
      <c r="U17">
        <v>1</v>
      </c>
      <c r="V17">
        <v>67</v>
      </c>
    </row>
    <row r="18" spans="2:22">
      <c r="B18" t="s">
        <v>2081</v>
      </c>
      <c r="H18" t="s">
        <v>1109</v>
      </c>
      <c r="I18">
        <v>16</v>
      </c>
      <c r="L18" t="s">
        <v>1109</v>
      </c>
      <c r="M18" s="5">
        <f ca="1">SUMIF(List1[clean Country],Reference!L18,List1[Selected Salary])/Reference!U18</f>
        <v>9600</v>
      </c>
      <c r="N18" s="22">
        <v>91</v>
      </c>
      <c r="O18" s="23">
        <v>93</v>
      </c>
      <c r="P18">
        <v>8</v>
      </c>
      <c r="Q18">
        <v>4</v>
      </c>
      <c r="R18">
        <v>2</v>
      </c>
      <c r="S18">
        <v>82</v>
      </c>
      <c r="T18" t="s">
        <v>1858</v>
      </c>
      <c r="U18">
        <v>1</v>
      </c>
      <c r="V18">
        <v>68</v>
      </c>
    </row>
    <row r="19" spans="2:22">
      <c r="B19" t="s">
        <v>1177</v>
      </c>
      <c r="H19" t="s">
        <v>2081</v>
      </c>
      <c r="I19">
        <v>17</v>
      </c>
      <c r="L19" t="s">
        <v>2081</v>
      </c>
      <c r="M19" s="5">
        <f ca="1">SUMIF(List1[clean Country],Reference!L19,List1[Selected Salary])/Reference!U19</f>
        <v>43374.281914893618</v>
      </c>
      <c r="N19" s="22">
        <v>38</v>
      </c>
      <c r="O19" s="23">
        <v>36</v>
      </c>
      <c r="P19">
        <v>5.6749999999999998</v>
      </c>
      <c r="Q19">
        <v>27</v>
      </c>
      <c r="R19">
        <v>4</v>
      </c>
      <c r="S19">
        <v>68</v>
      </c>
      <c r="T19" t="s">
        <v>1858</v>
      </c>
      <c r="U19">
        <v>20</v>
      </c>
      <c r="V19">
        <v>8</v>
      </c>
    </row>
    <row r="20" spans="2:22">
      <c r="B20" t="s">
        <v>3331</v>
      </c>
      <c r="H20" t="s">
        <v>1177</v>
      </c>
      <c r="I20">
        <v>18</v>
      </c>
      <c r="L20" t="s">
        <v>1177</v>
      </c>
      <c r="M20" s="5">
        <f ca="1">SUMIF(List1[clean Country],Reference!L20,List1[Selected Salary])/Reference!U20</f>
        <v>14400</v>
      </c>
      <c r="N20" s="22">
        <v>74</v>
      </c>
      <c r="O20" s="23">
        <v>81</v>
      </c>
      <c r="P20">
        <v>8</v>
      </c>
      <c r="Q20">
        <v>5</v>
      </c>
      <c r="R20">
        <v>15</v>
      </c>
      <c r="S20">
        <v>9</v>
      </c>
      <c r="T20" t="s">
        <v>1858</v>
      </c>
      <c r="U20">
        <v>1</v>
      </c>
      <c r="V20">
        <v>69</v>
      </c>
    </row>
    <row r="21" spans="2:22">
      <c r="B21" t="s">
        <v>1981</v>
      </c>
      <c r="H21" t="s">
        <v>3331</v>
      </c>
      <c r="I21">
        <v>19</v>
      </c>
      <c r="L21" t="s">
        <v>3331</v>
      </c>
      <c r="M21" s="5">
        <f ca="1">SUMIF(List1[clean Country],Reference!L21,List1[Selected Salary])/Reference!U21</f>
        <v>3000</v>
      </c>
      <c r="N21" s="22">
        <v>101</v>
      </c>
      <c r="O21" s="23">
        <v>102</v>
      </c>
      <c r="P21">
        <v>2.5</v>
      </c>
      <c r="Q21">
        <v>91</v>
      </c>
      <c r="R21">
        <v>2</v>
      </c>
      <c r="S21">
        <v>83</v>
      </c>
      <c r="T21" t="s">
        <v>1962</v>
      </c>
      <c r="U21">
        <v>1</v>
      </c>
      <c r="V21">
        <v>70</v>
      </c>
    </row>
    <row r="22" spans="2:22">
      <c r="B22" t="s">
        <v>749</v>
      </c>
      <c r="H22" t="s">
        <v>1981</v>
      </c>
      <c r="I22">
        <v>20</v>
      </c>
      <c r="L22" t="s">
        <v>1981</v>
      </c>
      <c r="M22" s="5">
        <f ca="1">SUMIF(List1[clean Country],Reference!L22,List1[Selected Salary])/Reference!U22</f>
        <v>74417.255145690273</v>
      </c>
      <c r="N22" s="22">
        <v>9</v>
      </c>
      <c r="O22" s="23">
        <v>15</v>
      </c>
      <c r="P22">
        <v>4.5517241379310347</v>
      </c>
      <c r="Q22">
        <v>71</v>
      </c>
      <c r="R22">
        <v>3.6206896551724137</v>
      </c>
      <c r="S22">
        <v>72</v>
      </c>
      <c r="T22" t="s">
        <v>1858</v>
      </c>
      <c r="U22">
        <v>58</v>
      </c>
      <c r="V22">
        <v>5</v>
      </c>
    </row>
    <row r="23" spans="2:22">
      <c r="B23" t="s">
        <v>3017</v>
      </c>
      <c r="H23" t="s">
        <v>749</v>
      </c>
      <c r="I23">
        <v>21</v>
      </c>
      <c r="L23" t="s">
        <v>749</v>
      </c>
      <c r="M23" s="5">
        <f ca="1">SUMIF(List1[clean Country],Reference!L23,List1[Selected Salary])/Reference!U23</f>
        <v>86528.970469265827</v>
      </c>
      <c r="N23" s="22">
        <v>10</v>
      </c>
      <c r="O23" s="23">
        <v>9</v>
      </c>
      <c r="P23">
        <v>5.25</v>
      </c>
      <c r="Q23">
        <v>30</v>
      </c>
      <c r="R23">
        <v>20</v>
      </c>
      <c r="S23">
        <v>3</v>
      </c>
      <c r="T23" t="s">
        <v>1882</v>
      </c>
      <c r="U23">
        <v>2</v>
      </c>
      <c r="V23">
        <v>47</v>
      </c>
    </row>
    <row r="24" spans="2:22">
      <c r="B24" t="s">
        <v>35</v>
      </c>
      <c r="H24" t="s">
        <v>3017</v>
      </c>
      <c r="I24">
        <v>22</v>
      </c>
      <c r="L24" t="s">
        <v>3017</v>
      </c>
      <c r="M24" s="5">
        <f ca="1">SUMIF(List1[clean Country],Reference!L24,List1[Selected Salary])/Reference!U24</f>
        <v>95000</v>
      </c>
      <c r="N24" s="22">
        <v>7</v>
      </c>
      <c r="O24" s="23">
        <v>6</v>
      </c>
      <c r="P24">
        <v>2.5</v>
      </c>
      <c r="Q24">
        <v>92</v>
      </c>
      <c r="R24">
        <v>0</v>
      </c>
      <c r="S24">
        <v>94</v>
      </c>
      <c r="T24" t="s">
        <v>1891</v>
      </c>
      <c r="U24">
        <v>1</v>
      </c>
      <c r="V24">
        <v>71</v>
      </c>
    </row>
    <row r="25" spans="2:22">
      <c r="B25" t="s">
        <v>2152</v>
      </c>
      <c r="H25" t="s">
        <v>35</v>
      </c>
      <c r="I25">
        <v>23</v>
      </c>
      <c r="L25" t="s">
        <v>35</v>
      </c>
      <c r="M25" s="5">
        <f ca="1">SUMIF(List1[clean Country],Reference!L25,List1[Selected Salary])/Reference!U25</f>
        <v>20826.097215667767</v>
      </c>
      <c r="N25" s="22">
        <v>70</v>
      </c>
      <c r="O25" s="23">
        <v>65</v>
      </c>
      <c r="P25">
        <v>5</v>
      </c>
      <c r="Q25">
        <v>46</v>
      </c>
      <c r="R25">
        <v>8</v>
      </c>
      <c r="S25">
        <v>30</v>
      </c>
      <c r="T25" t="s">
        <v>1897</v>
      </c>
      <c r="U25">
        <v>2</v>
      </c>
      <c r="V25">
        <v>48</v>
      </c>
    </row>
    <row r="26" spans="2:22">
      <c r="B26" t="s">
        <v>2755</v>
      </c>
      <c r="H26" t="s">
        <v>2152</v>
      </c>
      <c r="I26">
        <v>24</v>
      </c>
      <c r="L26" t="s">
        <v>2152</v>
      </c>
      <c r="M26" s="5">
        <f ca="1">SUMIF(List1[clean Country],Reference!L26,List1[Selected Salary])/Reference!U26</f>
        <v>12362</v>
      </c>
      <c r="N26" s="22">
        <v>81</v>
      </c>
      <c r="O26" s="23">
        <v>85</v>
      </c>
      <c r="P26">
        <v>4.8</v>
      </c>
      <c r="Q26">
        <v>66</v>
      </c>
      <c r="R26">
        <v>5.6</v>
      </c>
      <c r="S26">
        <v>57</v>
      </c>
      <c r="T26" t="s">
        <v>1858</v>
      </c>
      <c r="U26">
        <v>5</v>
      </c>
      <c r="V26">
        <v>28</v>
      </c>
    </row>
    <row r="27" spans="2:22">
      <c r="B27" t="s">
        <v>3585</v>
      </c>
      <c r="H27" t="s">
        <v>2755</v>
      </c>
      <c r="I27">
        <v>25</v>
      </c>
      <c r="L27" t="s">
        <v>2755</v>
      </c>
      <c r="M27" s="5">
        <f ca="1">SUMIF(List1[clean Country],Reference!L27,List1[Selected Salary])/Reference!U27</f>
        <v>35591.712215584084</v>
      </c>
      <c r="N27" s="22">
        <v>53</v>
      </c>
      <c r="O27" s="23">
        <v>48</v>
      </c>
      <c r="P27">
        <v>8</v>
      </c>
      <c r="Q27">
        <v>6</v>
      </c>
      <c r="R27">
        <v>0</v>
      </c>
      <c r="S27">
        <v>95</v>
      </c>
      <c r="T27" t="s">
        <v>1858</v>
      </c>
      <c r="U27">
        <v>1</v>
      </c>
      <c r="V27">
        <v>72</v>
      </c>
    </row>
    <row r="28" spans="2:22">
      <c r="B28" t="s">
        <v>3800</v>
      </c>
      <c r="H28" t="s">
        <v>3585</v>
      </c>
      <c r="I28">
        <v>26</v>
      </c>
      <c r="L28" t="s">
        <v>3585</v>
      </c>
      <c r="M28" s="5">
        <f ca="1">SUMIF(List1[clean Country],Reference!L28,List1[Selected Salary])/Reference!U28</f>
        <v>43148.784250275108</v>
      </c>
      <c r="N28" s="22">
        <v>36</v>
      </c>
      <c r="O28" s="23">
        <v>37</v>
      </c>
      <c r="P28">
        <v>4</v>
      </c>
      <c r="Q28">
        <v>81</v>
      </c>
      <c r="R28">
        <v>2.6666666666666665</v>
      </c>
      <c r="S28">
        <v>80</v>
      </c>
      <c r="T28" t="s">
        <v>1882</v>
      </c>
      <c r="U28">
        <v>3</v>
      </c>
      <c r="V28">
        <v>39</v>
      </c>
    </row>
    <row r="29" spans="2:22">
      <c r="B29" t="s">
        <v>3478</v>
      </c>
      <c r="H29" t="s">
        <v>3800</v>
      </c>
      <c r="I29">
        <v>27</v>
      </c>
      <c r="L29" t="s">
        <v>3800</v>
      </c>
      <c r="M29" s="5">
        <f ca="1">SUMIF(List1[clean Country],Reference!L29,List1[Selected Salary])/Reference!U29</f>
        <v>36000</v>
      </c>
      <c r="N29" s="22">
        <v>43</v>
      </c>
      <c r="O29" s="23">
        <v>46</v>
      </c>
      <c r="P29">
        <v>2.5</v>
      </c>
      <c r="Q29">
        <v>93</v>
      </c>
      <c r="R29">
        <v>9</v>
      </c>
      <c r="S29">
        <v>26</v>
      </c>
      <c r="T29" t="s">
        <v>1864</v>
      </c>
      <c r="U29">
        <v>1</v>
      </c>
      <c r="V29">
        <v>73</v>
      </c>
    </row>
    <row r="30" spans="2:22">
      <c r="B30" t="s">
        <v>2804</v>
      </c>
      <c r="H30" t="s">
        <v>3478</v>
      </c>
      <c r="I30">
        <v>28</v>
      </c>
      <c r="L30" t="s">
        <v>3478</v>
      </c>
      <c r="M30" s="5">
        <f ca="1">SUMIF(List1[clean Country],Reference!L30,List1[Selected Salary])/Reference!U30</f>
        <v>62446.005065622834</v>
      </c>
      <c r="N30" s="22">
        <v>12</v>
      </c>
      <c r="O30" s="23">
        <v>22</v>
      </c>
      <c r="P30">
        <v>4.083333333333333</v>
      </c>
      <c r="Q30">
        <v>79</v>
      </c>
      <c r="R30">
        <v>17</v>
      </c>
      <c r="S30">
        <v>6</v>
      </c>
      <c r="T30" t="s">
        <v>1858</v>
      </c>
      <c r="U30">
        <v>6</v>
      </c>
      <c r="V30">
        <v>23</v>
      </c>
    </row>
    <row r="31" spans="2:22">
      <c r="B31" t="s">
        <v>2491</v>
      </c>
      <c r="H31" t="s">
        <v>2804</v>
      </c>
      <c r="I31">
        <v>29</v>
      </c>
      <c r="L31" t="s">
        <v>2804</v>
      </c>
      <c r="M31" s="5">
        <f ca="1">SUMIF(List1[clean Country],Reference!L31,List1[Selected Salary])/Reference!U31</f>
        <v>15694.823539121822</v>
      </c>
      <c r="N31" s="22">
        <v>87</v>
      </c>
      <c r="O31" s="23">
        <v>78</v>
      </c>
      <c r="P31">
        <v>8</v>
      </c>
      <c r="Q31">
        <v>7</v>
      </c>
      <c r="R31">
        <v>1.5</v>
      </c>
      <c r="S31">
        <v>87</v>
      </c>
      <c r="T31" t="s">
        <v>1858</v>
      </c>
      <c r="U31">
        <v>2</v>
      </c>
      <c r="V31">
        <v>49</v>
      </c>
    </row>
    <row r="32" spans="2:22">
      <c r="B32" t="s">
        <v>3424</v>
      </c>
      <c r="H32" t="s">
        <v>2491</v>
      </c>
      <c r="I32">
        <v>30</v>
      </c>
      <c r="L32" t="s">
        <v>2491</v>
      </c>
      <c r="M32" s="5">
        <f ca="1">SUMIF(List1[clean Country],Reference!L32,List1[Selected Salary])/Reference!U32</f>
        <v>24890.49508692366</v>
      </c>
      <c r="N32" s="22">
        <v>49</v>
      </c>
      <c r="O32" s="23">
        <v>56</v>
      </c>
      <c r="P32">
        <v>3.25</v>
      </c>
      <c r="Q32">
        <v>89</v>
      </c>
      <c r="R32">
        <v>4.75</v>
      </c>
      <c r="S32">
        <v>66</v>
      </c>
      <c r="T32" t="s">
        <v>1897</v>
      </c>
      <c r="U32">
        <v>4</v>
      </c>
      <c r="V32">
        <v>35</v>
      </c>
    </row>
    <row r="33" spans="2:22">
      <c r="B33" t="s">
        <v>2893</v>
      </c>
      <c r="H33" t="s">
        <v>3424</v>
      </c>
      <c r="I33">
        <v>31</v>
      </c>
      <c r="L33" t="s">
        <v>3424</v>
      </c>
      <c r="M33" s="5">
        <f ca="1">SUMIF(List1[clean Country],Reference!L33,List1[Selected Salary])/Reference!U33</f>
        <v>41753.653444676405</v>
      </c>
      <c r="N33" s="22">
        <v>64</v>
      </c>
      <c r="O33" s="23">
        <v>39</v>
      </c>
      <c r="P33">
        <v>8</v>
      </c>
      <c r="Q33">
        <v>8</v>
      </c>
      <c r="R33">
        <v>5</v>
      </c>
      <c r="S33">
        <v>62</v>
      </c>
      <c r="T33" t="s">
        <v>1858</v>
      </c>
      <c r="U33">
        <v>1</v>
      </c>
      <c r="V33">
        <v>74</v>
      </c>
    </row>
    <row r="34" spans="2:22">
      <c r="B34" t="s">
        <v>1801</v>
      </c>
      <c r="H34" t="s">
        <v>2893</v>
      </c>
      <c r="I34">
        <v>32</v>
      </c>
      <c r="L34" t="s">
        <v>2893</v>
      </c>
      <c r="M34" s="5">
        <f ca="1">SUMIF(List1[clean Country],Reference!L34,List1[Selected Salary])/Reference!U34</f>
        <v>12000</v>
      </c>
      <c r="N34" s="22">
        <v>83</v>
      </c>
      <c r="O34" s="23">
        <v>87</v>
      </c>
      <c r="P34">
        <v>8</v>
      </c>
      <c r="Q34">
        <v>9</v>
      </c>
      <c r="R34">
        <v>0</v>
      </c>
      <c r="S34">
        <v>96</v>
      </c>
      <c r="T34" t="s">
        <v>1858</v>
      </c>
      <c r="U34">
        <v>1</v>
      </c>
      <c r="V34">
        <v>75</v>
      </c>
    </row>
    <row r="35" spans="2:22">
      <c r="B35" t="s">
        <v>864</v>
      </c>
      <c r="H35" t="s">
        <v>1801</v>
      </c>
      <c r="I35">
        <v>33</v>
      </c>
      <c r="L35" t="s">
        <v>1801</v>
      </c>
      <c r="M35" s="5">
        <f ca="1">SUMIF(List1[clean Country],Reference!L35,List1[Selected Salary])/Reference!U35</f>
        <v>7454.1821296031976</v>
      </c>
      <c r="N35" s="22">
        <v>102</v>
      </c>
      <c r="O35" s="23">
        <v>95</v>
      </c>
      <c r="P35">
        <v>5</v>
      </c>
      <c r="Q35">
        <v>47</v>
      </c>
      <c r="R35">
        <v>3</v>
      </c>
      <c r="S35">
        <v>78</v>
      </c>
      <c r="T35" t="s">
        <v>1921</v>
      </c>
      <c r="U35">
        <v>1</v>
      </c>
      <c r="V35">
        <v>76</v>
      </c>
    </row>
    <row r="36" spans="2:22">
      <c r="B36" t="s">
        <v>2785</v>
      </c>
      <c r="H36" t="s">
        <v>864</v>
      </c>
      <c r="I36">
        <v>34</v>
      </c>
      <c r="L36" t="s">
        <v>864</v>
      </c>
      <c r="M36" s="5">
        <f ca="1">SUMIF(List1[clean Country],Reference!L36,List1[Selected Salary])/Reference!U36</f>
        <v>122504.56000361787</v>
      </c>
      <c r="N36" s="22">
        <v>3</v>
      </c>
      <c r="O36" s="23">
        <v>2</v>
      </c>
      <c r="P36">
        <v>3.3</v>
      </c>
      <c r="Q36">
        <v>88</v>
      </c>
      <c r="R36">
        <v>13.4</v>
      </c>
      <c r="S36">
        <v>10</v>
      </c>
      <c r="T36" t="s">
        <v>1864</v>
      </c>
      <c r="U36">
        <v>5</v>
      </c>
      <c r="V36">
        <v>29</v>
      </c>
    </row>
    <row r="37" spans="2:22">
      <c r="B37" t="s">
        <v>2015</v>
      </c>
      <c r="H37" t="s">
        <v>2785</v>
      </c>
      <c r="I37">
        <v>35</v>
      </c>
      <c r="L37" t="s">
        <v>2785</v>
      </c>
      <c r="M37" s="5">
        <f ca="1">SUMIF(List1[clean Country],Reference!L37,List1[Selected Salary])/Reference!U37</f>
        <v>74770.29138799978</v>
      </c>
      <c r="N37" s="22">
        <v>16</v>
      </c>
      <c r="O37" s="23">
        <v>14</v>
      </c>
      <c r="P37">
        <v>5.833333333333333</v>
      </c>
      <c r="Q37">
        <v>25</v>
      </c>
      <c r="R37">
        <v>3</v>
      </c>
      <c r="S37">
        <v>79</v>
      </c>
      <c r="T37" t="s">
        <v>1858</v>
      </c>
      <c r="U37">
        <v>3</v>
      </c>
      <c r="V37">
        <v>40</v>
      </c>
    </row>
    <row r="38" spans="2:22">
      <c r="B38" t="s">
        <v>1883</v>
      </c>
      <c r="H38" t="s">
        <v>2015</v>
      </c>
      <c r="I38">
        <v>36</v>
      </c>
      <c r="L38" t="s">
        <v>2015</v>
      </c>
      <c r="M38" s="5">
        <f ca="1">SUMIF(List1[clean Country],Reference!L38,List1[Selected Salary])/Reference!U38</f>
        <v>56405.548046275035</v>
      </c>
      <c r="N38" s="22">
        <v>25</v>
      </c>
      <c r="O38" s="23">
        <v>26</v>
      </c>
      <c r="P38">
        <v>5.083333333333333</v>
      </c>
      <c r="Q38">
        <v>39</v>
      </c>
      <c r="R38">
        <v>3.5</v>
      </c>
      <c r="S38">
        <v>74</v>
      </c>
      <c r="T38" t="s">
        <v>1882</v>
      </c>
      <c r="U38">
        <v>6</v>
      </c>
      <c r="V38">
        <v>24</v>
      </c>
    </row>
    <row r="39" spans="2:22">
      <c r="B39" t="s">
        <v>761</v>
      </c>
      <c r="H39" t="s">
        <v>1883</v>
      </c>
      <c r="I39">
        <v>37</v>
      </c>
      <c r="L39" t="s">
        <v>1883</v>
      </c>
      <c r="M39" s="5">
        <f ca="1">SUMIF(List1[clean Country],Reference!L39,List1[Selected Salary])/Reference!U39</f>
        <v>78891.642018065031</v>
      </c>
      <c r="N39" s="22">
        <v>13</v>
      </c>
      <c r="O39" s="23">
        <v>10</v>
      </c>
      <c r="P39">
        <v>4.3235294117647056</v>
      </c>
      <c r="Q39">
        <v>74</v>
      </c>
      <c r="R39">
        <v>5.7058823529411766</v>
      </c>
      <c r="S39">
        <v>54</v>
      </c>
      <c r="T39" t="s">
        <v>1882</v>
      </c>
      <c r="U39">
        <v>17</v>
      </c>
      <c r="V39">
        <v>11</v>
      </c>
    </row>
    <row r="40" spans="2:22">
      <c r="B40" t="s">
        <v>2130</v>
      </c>
      <c r="H40" t="s">
        <v>761</v>
      </c>
      <c r="I40">
        <v>38</v>
      </c>
      <c r="L40" t="s">
        <v>761</v>
      </c>
      <c r="M40" s="5">
        <f ca="1">SUMIF(List1[clean Country],Reference!L40,List1[Selected Salary])/Reference!U40</f>
        <v>18000</v>
      </c>
      <c r="N40" s="22">
        <v>66</v>
      </c>
      <c r="O40" s="23">
        <v>73</v>
      </c>
      <c r="P40">
        <v>5</v>
      </c>
      <c r="Q40">
        <v>48</v>
      </c>
      <c r="R40">
        <v>12</v>
      </c>
      <c r="S40">
        <v>13</v>
      </c>
      <c r="T40" t="s">
        <v>1882</v>
      </c>
      <c r="U40">
        <v>1</v>
      </c>
      <c r="V40">
        <v>77</v>
      </c>
    </row>
    <row r="41" spans="2:22">
      <c r="B41" t="s">
        <v>3097</v>
      </c>
      <c r="H41" t="s">
        <v>2130</v>
      </c>
      <c r="I41">
        <v>39</v>
      </c>
      <c r="L41" t="s">
        <v>2130</v>
      </c>
      <c r="M41" s="5">
        <f ca="1">SUMIF(List1[clean Country],Reference!L41,List1[Selected Salary])/Reference!U41</f>
        <v>29730.051135687954</v>
      </c>
      <c r="N41" s="22">
        <v>51</v>
      </c>
      <c r="O41" s="23">
        <v>54</v>
      </c>
      <c r="P41">
        <v>4.833333333333333</v>
      </c>
      <c r="Q41">
        <v>64</v>
      </c>
      <c r="R41">
        <v>9.3333333333333339</v>
      </c>
      <c r="S41">
        <v>24</v>
      </c>
      <c r="T41" t="s">
        <v>1882</v>
      </c>
      <c r="U41">
        <v>3</v>
      </c>
      <c r="V41">
        <v>41</v>
      </c>
    </row>
    <row r="42" spans="2:22">
      <c r="B42" t="s">
        <v>1671</v>
      </c>
      <c r="H42" t="s">
        <v>3097</v>
      </c>
      <c r="I42">
        <v>40</v>
      </c>
      <c r="L42" t="s">
        <v>3097</v>
      </c>
      <c r="M42" s="5">
        <f ca="1">SUMIF(List1[clean Country],Reference!L42,List1[Selected Salary])/Reference!U42</f>
        <v>6000</v>
      </c>
      <c r="N42" s="22">
        <v>96</v>
      </c>
      <c r="O42" s="23">
        <v>97</v>
      </c>
      <c r="P42">
        <v>1.5</v>
      </c>
      <c r="Q42">
        <v>101</v>
      </c>
      <c r="R42">
        <v>20</v>
      </c>
      <c r="S42">
        <v>4</v>
      </c>
      <c r="T42" t="s">
        <v>1882</v>
      </c>
      <c r="U42">
        <v>1</v>
      </c>
      <c r="V42">
        <v>78</v>
      </c>
    </row>
    <row r="43" spans="2:22">
      <c r="B43" t="s">
        <v>1905</v>
      </c>
      <c r="H43" t="s">
        <v>1671</v>
      </c>
      <c r="I43">
        <v>41</v>
      </c>
      <c r="L43" t="s">
        <v>1671</v>
      </c>
      <c r="M43" s="5">
        <f ca="1">SUMIF(List1[clean Country],Reference!L43,List1[Selected Salary])/Reference!U43</f>
        <v>20000</v>
      </c>
      <c r="N43" s="22">
        <v>62</v>
      </c>
      <c r="O43" s="23">
        <v>68</v>
      </c>
      <c r="P43">
        <v>1.5</v>
      </c>
      <c r="Q43">
        <v>102</v>
      </c>
      <c r="R43">
        <v>1</v>
      </c>
      <c r="S43">
        <v>89</v>
      </c>
      <c r="T43" t="s">
        <v>1858</v>
      </c>
      <c r="U43">
        <v>1</v>
      </c>
      <c r="V43">
        <v>79</v>
      </c>
    </row>
    <row r="44" spans="2:22">
      <c r="B44" t="s">
        <v>1878</v>
      </c>
      <c r="H44" t="s">
        <v>1905</v>
      </c>
      <c r="I44">
        <v>42</v>
      </c>
      <c r="L44" t="s">
        <v>1905</v>
      </c>
      <c r="M44" s="5">
        <f ca="1">SUMIF(List1[clean Country],Reference!L44,List1[Selected Salary])/Reference!U44</f>
        <v>24612.212267540312</v>
      </c>
      <c r="N44" s="22">
        <v>56</v>
      </c>
      <c r="O44" s="23">
        <v>58</v>
      </c>
      <c r="P44">
        <v>5.0999999999999996</v>
      </c>
      <c r="Q44">
        <v>35</v>
      </c>
      <c r="R44">
        <v>3.6</v>
      </c>
      <c r="S44">
        <v>73</v>
      </c>
      <c r="T44" t="s">
        <v>1882</v>
      </c>
      <c r="U44">
        <v>5</v>
      </c>
      <c r="V44">
        <v>30</v>
      </c>
    </row>
    <row r="45" spans="2:22">
      <c r="B45" t="s">
        <v>1859</v>
      </c>
      <c r="H45" t="s">
        <v>1878</v>
      </c>
      <c r="I45">
        <v>43</v>
      </c>
      <c r="L45" t="s">
        <v>1878</v>
      </c>
      <c r="M45" s="5">
        <f ca="1">SUMIF(List1[clean Country],Reference!L45,List1[Selected Salary])/Reference!U45</f>
        <v>41731</v>
      </c>
      <c r="N45" s="22">
        <v>39</v>
      </c>
      <c r="O45" s="23">
        <v>40</v>
      </c>
      <c r="P45">
        <v>8</v>
      </c>
      <c r="Q45">
        <v>10</v>
      </c>
      <c r="R45">
        <v>0</v>
      </c>
      <c r="S45">
        <v>97</v>
      </c>
      <c r="T45" t="s">
        <v>1858</v>
      </c>
      <c r="U45">
        <v>1</v>
      </c>
      <c r="V45">
        <v>80</v>
      </c>
    </row>
    <row r="46" spans="2:22">
      <c r="B46" t="s">
        <v>3192</v>
      </c>
      <c r="H46" t="s">
        <v>1859</v>
      </c>
      <c r="I46">
        <v>44</v>
      </c>
      <c r="L46" t="s">
        <v>1859</v>
      </c>
      <c r="M46" s="5">
        <f ca="1">SUMIF(List1[clean Country],Reference!L46,List1[Selected Salary])/Reference!U46</f>
        <v>29754.287140599659</v>
      </c>
      <c r="N46" s="22">
        <v>76</v>
      </c>
      <c r="O46" s="23">
        <v>53</v>
      </c>
      <c r="P46">
        <v>4.861946902654867</v>
      </c>
      <c r="Q46">
        <v>62</v>
      </c>
      <c r="R46">
        <v>5.4615929203539828</v>
      </c>
      <c r="S46">
        <v>58</v>
      </c>
      <c r="T46" t="s">
        <v>1882</v>
      </c>
      <c r="U46">
        <v>565</v>
      </c>
      <c r="V46">
        <v>2</v>
      </c>
    </row>
    <row r="47" spans="2:22">
      <c r="B47" t="s">
        <v>3852</v>
      </c>
      <c r="H47" t="s">
        <v>3192</v>
      </c>
      <c r="I47">
        <v>45</v>
      </c>
      <c r="L47" t="s">
        <v>3192</v>
      </c>
      <c r="M47" s="5">
        <f ca="1">SUMIF(List1[clean Country],Reference!L47,List1[Selected Salary])/Reference!U47</f>
        <v>29073.944791785889</v>
      </c>
      <c r="N47" s="22">
        <v>52</v>
      </c>
      <c r="O47" s="23">
        <v>55</v>
      </c>
      <c r="P47">
        <v>3.3125</v>
      </c>
      <c r="Q47">
        <v>87</v>
      </c>
      <c r="R47">
        <v>7.875</v>
      </c>
      <c r="S47">
        <v>37</v>
      </c>
      <c r="T47" t="s">
        <v>1858</v>
      </c>
      <c r="U47">
        <v>8</v>
      </c>
      <c r="V47">
        <v>20</v>
      </c>
    </row>
    <row r="48" spans="2:22">
      <c r="B48" t="s">
        <v>1902</v>
      </c>
      <c r="H48" t="s">
        <v>3852</v>
      </c>
      <c r="I48">
        <v>46</v>
      </c>
      <c r="L48" t="s">
        <v>3852</v>
      </c>
      <c r="M48" s="5">
        <f ca="1">SUMIF(List1[clean Country],Reference!L48,List1[Selected Salary])/Reference!U48</f>
        <v>18000</v>
      </c>
      <c r="N48" s="22">
        <v>67</v>
      </c>
      <c r="O48" s="23">
        <v>74</v>
      </c>
      <c r="P48">
        <v>3.3333333333333335</v>
      </c>
      <c r="Q48">
        <v>86</v>
      </c>
      <c r="R48">
        <v>11</v>
      </c>
      <c r="S48">
        <v>16</v>
      </c>
      <c r="T48" t="s">
        <v>1897</v>
      </c>
      <c r="U48">
        <v>3</v>
      </c>
      <c r="V48">
        <v>42</v>
      </c>
    </row>
    <row r="49" spans="2:22">
      <c r="B49" t="s">
        <v>2599</v>
      </c>
      <c r="H49" t="s">
        <v>1902</v>
      </c>
      <c r="I49">
        <v>47</v>
      </c>
      <c r="L49" t="s">
        <v>1902</v>
      </c>
      <c r="M49" s="5">
        <f ca="1">SUMIF(List1[clean Country],Reference!L49,List1[Selected Salary])/Reference!U49</f>
        <v>60963.354152743799</v>
      </c>
      <c r="N49" s="22">
        <v>24</v>
      </c>
      <c r="O49" s="23">
        <v>23</v>
      </c>
      <c r="P49">
        <v>4.0999999999999996</v>
      </c>
      <c r="Q49">
        <v>78</v>
      </c>
      <c r="R49">
        <v>7.2</v>
      </c>
      <c r="S49">
        <v>42</v>
      </c>
      <c r="T49" t="s">
        <v>1858</v>
      </c>
      <c r="U49">
        <v>5</v>
      </c>
      <c r="V49">
        <v>31</v>
      </c>
    </row>
    <row r="50" spans="2:22">
      <c r="B50" t="s">
        <v>471</v>
      </c>
      <c r="H50" t="s">
        <v>2599</v>
      </c>
      <c r="I50">
        <v>48</v>
      </c>
      <c r="L50" t="s">
        <v>2599</v>
      </c>
      <c r="M50" s="5">
        <f ca="1">SUMIF(List1[clean Country],Reference!L50,List1[Selected Salary])/Reference!U50</f>
        <v>66840</v>
      </c>
      <c r="N50" s="22">
        <v>23</v>
      </c>
      <c r="O50" s="23">
        <v>19</v>
      </c>
      <c r="P50">
        <v>5.0999999999999996</v>
      </c>
      <c r="Q50">
        <v>36</v>
      </c>
      <c r="R50">
        <v>4.2</v>
      </c>
      <c r="S50">
        <v>67</v>
      </c>
      <c r="T50" t="s">
        <v>1882</v>
      </c>
      <c r="U50">
        <v>5</v>
      </c>
      <c r="V50">
        <v>32</v>
      </c>
    </row>
    <row r="51" spans="2:22">
      <c r="B51" t="s">
        <v>3048</v>
      </c>
      <c r="H51" t="s">
        <v>471</v>
      </c>
      <c r="I51">
        <v>49</v>
      </c>
      <c r="L51" t="s">
        <v>471</v>
      </c>
      <c r="M51" s="5">
        <f ca="1">SUMIF(List1[clean Country],Reference!L51,List1[Selected Salary])/Reference!U51</f>
        <v>46730.615587926419</v>
      </c>
      <c r="N51" s="22">
        <v>33</v>
      </c>
      <c r="O51" s="23">
        <v>33</v>
      </c>
      <c r="P51">
        <v>5.583333333333333</v>
      </c>
      <c r="Q51">
        <v>28</v>
      </c>
      <c r="R51">
        <v>11.666666666666666</v>
      </c>
      <c r="S51">
        <v>14</v>
      </c>
      <c r="T51" t="s">
        <v>1858</v>
      </c>
      <c r="U51">
        <v>6</v>
      </c>
      <c r="V51">
        <v>25</v>
      </c>
    </row>
    <row r="52" spans="2:22">
      <c r="B52" t="s">
        <v>459</v>
      </c>
      <c r="H52" t="s">
        <v>3048</v>
      </c>
      <c r="I52">
        <v>50</v>
      </c>
      <c r="L52" t="s">
        <v>3048</v>
      </c>
      <c r="M52" s="5">
        <f ca="1">SUMIF(List1[clean Country],Reference!L52,List1[Selected Salary])/Reference!U52</f>
        <v>63499.518768046197</v>
      </c>
      <c r="N52" s="22">
        <v>21</v>
      </c>
      <c r="O52" s="23">
        <v>20</v>
      </c>
      <c r="P52">
        <v>5.166666666666667</v>
      </c>
      <c r="Q52">
        <v>32</v>
      </c>
      <c r="R52">
        <v>3.3333333333333335</v>
      </c>
      <c r="S52">
        <v>76</v>
      </c>
      <c r="T52" t="s">
        <v>1858</v>
      </c>
      <c r="U52">
        <v>3</v>
      </c>
      <c r="V52">
        <v>43</v>
      </c>
    </row>
    <row r="53" spans="2:22">
      <c r="B53" t="s">
        <v>133</v>
      </c>
      <c r="H53" t="s">
        <v>459</v>
      </c>
      <c r="I53">
        <v>51</v>
      </c>
      <c r="L53" t="s">
        <v>459</v>
      </c>
      <c r="M53" s="5">
        <f ca="1">SUMIF(List1[clean Country],Reference!L53,List1[Selected Salary])/Reference!U53</f>
        <v>92227.179135209342</v>
      </c>
      <c r="N53" s="22">
        <v>29</v>
      </c>
      <c r="O53" s="23">
        <v>8</v>
      </c>
      <c r="P53">
        <v>5</v>
      </c>
      <c r="Q53">
        <v>49</v>
      </c>
      <c r="R53">
        <v>9</v>
      </c>
      <c r="S53">
        <v>27</v>
      </c>
      <c r="T53" t="s">
        <v>1882</v>
      </c>
      <c r="U53">
        <v>1</v>
      </c>
      <c r="V53">
        <v>81</v>
      </c>
    </row>
    <row r="54" spans="2:22">
      <c r="B54" t="s">
        <v>511</v>
      </c>
      <c r="H54" t="s">
        <v>133</v>
      </c>
      <c r="I54">
        <v>52</v>
      </c>
      <c r="L54" t="s">
        <v>133</v>
      </c>
      <c r="M54" s="5">
        <f ca="1">SUMIF(List1[clean Country],Reference!L54,List1[Selected Salary])/Reference!U54</f>
        <v>35900</v>
      </c>
      <c r="N54" s="22">
        <v>44</v>
      </c>
      <c r="O54" s="23">
        <v>47</v>
      </c>
      <c r="P54">
        <v>5.125</v>
      </c>
      <c r="Q54">
        <v>34</v>
      </c>
      <c r="R54">
        <v>10.25</v>
      </c>
      <c r="S54">
        <v>18</v>
      </c>
      <c r="T54" t="s">
        <v>1858</v>
      </c>
      <c r="U54">
        <v>4</v>
      </c>
      <c r="V54">
        <v>36</v>
      </c>
    </row>
    <row r="55" spans="2:22">
      <c r="B55" t="s">
        <v>1253</v>
      </c>
      <c r="H55" t="s">
        <v>511</v>
      </c>
      <c r="I55">
        <v>53</v>
      </c>
      <c r="L55" t="s">
        <v>511</v>
      </c>
      <c r="M55" s="5">
        <f ca="1">SUMIF(List1[clean Country],Reference!L55,List1[Selected Salary])/Reference!U55</f>
        <v>4400</v>
      </c>
      <c r="N55" s="22">
        <v>100</v>
      </c>
      <c r="O55" s="23">
        <v>101</v>
      </c>
      <c r="P55">
        <v>2.5</v>
      </c>
      <c r="Q55">
        <v>94</v>
      </c>
      <c r="R55">
        <v>5</v>
      </c>
      <c r="S55">
        <v>63</v>
      </c>
      <c r="T55" t="s">
        <v>1882</v>
      </c>
      <c r="U55">
        <v>1</v>
      </c>
      <c r="V55">
        <v>82</v>
      </c>
    </row>
    <row r="56" spans="2:22">
      <c r="B56" t="s">
        <v>1162</v>
      </c>
      <c r="H56" t="s">
        <v>1253</v>
      </c>
      <c r="I56">
        <v>54</v>
      </c>
      <c r="L56" t="s">
        <v>1253</v>
      </c>
      <c r="M56" s="5">
        <f ca="1">SUMIF(List1[clean Country],Reference!L56,List1[Selected Salary])/Reference!U56</f>
        <v>177600</v>
      </c>
      <c r="N56" s="22">
        <v>1</v>
      </c>
      <c r="O56" s="23">
        <v>1</v>
      </c>
      <c r="P56">
        <v>5</v>
      </c>
      <c r="Q56">
        <v>50</v>
      </c>
      <c r="R56">
        <v>6</v>
      </c>
      <c r="S56">
        <v>49</v>
      </c>
      <c r="T56" t="s">
        <v>1897</v>
      </c>
      <c r="U56">
        <v>1</v>
      </c>
      <c r="V56">
        <v>83</v>
      </c>
    </row>
    <row r="57" spans="2:22">
      <c r="B57" t="s">
        <v>3369</v>
      </c>
      <c r="H57" t="s">
        <v>1162</v>
      </c>
      <c r="I57">
        <v>55</v>
      </c>
      <c r="L57" t="s">
        <v>1162</v>
      </c>
      <c r="M57" s="5">
        <f ca="1">SUMIF(List1[clean Country],Reference!L57,List1[Selected Salary])/Reference!U57</f>
        <v>24864</v>
      </c>
      <c r="N57" s="22">
        <v>55</v>
      </c>
      <c r="O57" s="23">
        <v>57</v>
      </c>
      <c r="P57">
        <v>8</v>
      </c>
      <c r="Q57">
        <v>11</v>
      </c>
      <c r="R57">
        <v>8</v>
      </c>
      <c r="S57">
        <v>31</v>
      </c>
      <c r="T57" t="s">
        <v>1882</v>
      </c>
      <c r="U57">
        <v>1</v>
      </c>
      <c r="V57">
        <v>84</v>
      </c>
    </row>
    <row r="58" spans="2:22">
      <c r="B58" t="s">
        <v>53</v>
      </c>
      <c r="H58" t="s">
        <v>3369</v>
      </c>
      <c r="I58">
        <v>56</v>
      </c>
      <c r="L58" t="s">
        <v>3369</v>
      </c>
      <c r="M58" s="5">
        <f ca="1">SUMIF(List1[clean Country],Reference!L58,List1[Selected Salary])/Reference!U58</f>
        <v>15000</v>
      </c>
      <c r="N58" s="22">
        <v>73</v>
      </c>
      <c r="O58" s="23">
        <v>80</v>
      </c>
      <c r="P58">
        <v>5</v>
      </c>
      <c r="Q58">
        <v>51</v>
      </c>
      <c r="R58">
        <v>2</v>
      </c>
      <c r="S58">
        <v>84</v>
      </c>
      <c r="T58" t="s">
        <v>1897</v>
      </c>
      <c r="U58">
        <v>1</v>
      </c>
      <c r="V58">
        <v>85</v>
      </c>
    </row>
    <row r="59" spans="2:22">
      <c r="B59" t="s">
        <v>1315</v>
      </c>
      <c r="H59" t="s">
        <v>53</v>
      </c>
      <c r="I59">
        <v>57</v>
      </c>
      <c r="L59" t="s">
        <v>53</v>
      </c>
      <c r="M59" s="5">
        <f ca="1">SUMIF(List1[clean Country],Reference!L59,List1[Selected Salary])/Reference!U59</f>
        <v>31622.974963181154</v>
      </c>
      <c r="N59" s="22">
        <v>54</v>
      </c>
      <c r="O59" s="23">
        <v>52</v>
      </c>
      <c r="P59">
        <v>4.0714285714285712</v>
      </c>
      <c r="Q59">
        <v>80</v>
      </c>
      <c r="R59">
        <v>7.7142857142857144</v>
      </c>
      <c r="S59">
        <v>38</v>
      </c>
      <c r="T59" t="s">
        <v>1882</v>
      </c>
      <c r="U59">
        <v>7</v>
      </c>
      <c r="V59">
        <v>21</v>
      </c>
    </row>
    <row r="60" spans="2:22">
      <c r="B60" t="s">
        <v>2123</v>
      </c>
      <c r="H60" t="s">
        <v>1315</v>
      </c>
      <c r="I60">
        <v>58</v>
      </c>
      <c r="L60" t="s">
        <v>1315</v>
      </c>
      <c r="M60" s="5">
        <f ca="1">SUMIF(List1[clean Country],Reference!L60,List1[Selected Salary])/Reference!U60</f>
        <v>16628.175519630484</v>
      </c>
      <c r="N60" s="22">
        <v>92</v>
      </c>
      <c r="O60" s="23">
        <v>76</v>
      </c>
      <c r="P60">
        <v>5</v>
      </c>
      <c r="Q60">
        <v>52</v>
      </c>
      <c r="R60">
        <v>7</v>
      </c>
      <c r="S60">
        <v>43</v>
      </c>
      <c r="T60" t="s">
        <v>1876</v>
      </c>
      <c r="U60">
        <v>1</v>
      </c>
      <c r="V60">
        <v>86</v>
      </c>
    </row>
    <row r="61" spans="2:22">
      <c r="B61" t="s">
        <v>591</v>
      </c>
      <c r="H61" t="s">
        <v>2123</v>
      </c>
      <c r="I61">
        <v>59</v>
      </c>
      <c r="L61" t="s">
        <v>2123</v>
      </c>
      <c r="M61" s="5">
        <f ca="1">SUMIF(List1[clean Country],Reference!L61,List1[Selected Salary])/Reference!U61</f>
        <v>32717.280910917616</v>
      </c>
      <c r="N61" s="22">
        <v>50</v>
      </c>
      <c r="O61" s="23">
        <v>50</v>
      </c>
      <c r="P61">
        <v>6.5</v>
      </c>
      <c r="Q61">
        <v>19</v>
      </c>
      <c r="R61">
        <v>3.7</v>
      </c>
      <c r="S61">
        <v>71</v>
      </c>
      <c r="T61" t="s">
        <v>1858</v>
      </c>
      <c r="U61">
        <v>10</v>
      </c>
      <c r="V61">
        <v>16</v>
      </c>
    </row>
    <row r="62" spans="2:22">
      <c r="B62" t="s">
        <v>365</v>
      </c>
      <c r="H62" t="s">
        <v>591</v>
      </c>
      <c r="I62">
        <v>60</v>
      </c>
      <c r="L62" t="s">
        <v>591</v>
      </c>
      <c r="M62" s="5">
        <f ca="1">SUMIF(List1[clean Country],Reference!L62,List1[Selected Salary])/Reference!U62</f>
        <v>10432.16322858065</v>
      </c>
      <c r="N62" s="22">
        <v>94</v>
      </c>
      <c r="O62" s="23">
        <v>91</v>
      </c>
      <c r="P62">
        <v>8</v>
      </c>
      <c r="Q62">
        <v>12</v>
      </c>
      <c r="R62">
        <v>2</v>
      </c>
      <c r="S62">
        <v>85</v>
      </c>
      <c r="T62" t="s">
        <v>1858</v>
      </c>
      <c r="U62">
        <v>1</v>
      </c>
      <c r="V62">
        <v>87</v>
      </c>
    </row>
    <row r="63" spans="2:22">
      <c r="B63" t="s">
        <v>1223</v>
      </c>
      <c r="H63" t="s">
        <v>365</v>
      </c>
      <c r="I63">
        <v>61</v>
      </c>
      <c r="L63" t="s">
        <v>365</v>
      </c>
      <c r="M63" s="5">
        <f ca="1">SUMIF(List1[clean Country],Reference!L63,List1[Selected Salary])/Reference!U63</f>
        <v>13500</v>
      </c>
      <c r="N63" s="22">
        <v>77</v>
      </c>
      <c r="O63" s="23">
        <v>82</v>
      </c>
      <c r="P63">
        <v>5</v>
      </c>
      <c r="Q63">
        <v>53</v>
      </c>
      <c r="R63">
        <v>13</v>
      </c>
      <c r="S63">
        <v>12</v>
      </c>
      <c r="T63" t="s">
        <v>1882</v>
      </c>
      <c r="U63">
        <v>1</v>
      </c>
      <c r="V63">
        <v>88</v>
      </c>
    </row>
    <row r="64" spans="2:22">
      <c r="B64" t="s">
        <v>3915</v>
      </c>
      <c r="H64" t="s">
        <v>1223</v>
      </c>
      <c r="I64">
        <v>62</v>
      </c>
      <c r="L64" t="s">
        <v>1223</v>
      </c>
      <c r="M64" s="5">
        <f ca="1">SUMIF(List1[clean Country],Reference!L64,List1[Selected Salary])/Reference!U64</f>
        <v>24096.385542168671</v>
      </c>
      <c r="N64" s="22">
        <v>75</v>
      </c>
      <c r="O64" s="23">
        <v>59</v>
      </c>
      <c r="P64">
        <v>8</v>
      </c>
      <c r="Q64">
        <v>13</v>
      </c>
      <c r="R64">
        <v>8</v>
      </c>
      <c r="S64">
        <v>32</v>
      </c>
      <c r="T64" t="s">
        <v>1864</v>
      </c>
      <c r="U64">
        <v>1</v>
      </c>
      <c r="V64">
        <v>89</v>
      </c>
    </row>
    <row r="65" spans="2:22">
      <c r="B65" t="s">
        <v>653</v>
      </c>
      <c r="H65" t="s">
        <v>3915</v>
      </c>
      <c r="I65">
        <v>63</v>
      </c>
      <c r="L65" t="s">
        <v>3915</v>
      </c>
      <c r="M65" s="5">
        <f ca="1">SUMIF(List1[clean Country],Reference!L65,List1[Selected Salary])/Reference!U65</f>
        <v>24000</v>
      </c>
      <c r="N65" s="22">
        <v>58</v>
      </c>
      <c r="O65" s="23">
        <v>61</v>
      </c>
      <c r="P65">
        <v>2.5</v>
      </c>
      <c r="Q65">
        <v>95</v>
      </c>
      <c r="R65">
        <v>0</v>
      </c>
      <c r="S65">
        <v>98</v>
      </c>
      <c r="T65" t="s">
        <v>1876</v>
      </c>
      <c r="U65">
        <v>1</v>
      </c>
      <c r="V65">
        <v>90</v>
      </c>
    </row>
    <row r="66" spans="2:22">
      <c r="B66" t="s">
        <v>1128</v>
      </c>
      <c r="H66" t="s">
        <v>653</v>
      </c>
      <c r="I66">
        <v>64</v>
      </c>
      <c r="L66" t="s">
        <v>653</v>
      </c>
      <c r="M66" s="5">
        <f ca="1">SUMIF(List1[clean Country],Reference!L66,List1[Selected Salary])/Reference!U66</f>
        <v>17700</v>
      </c>
      <c r="N66" s="22">
        <v>68</v>
      </c>
      <c r="O66" s="23">
        <v>75</v>
      </c>
      <c r="P66">
        <v>3.25</v>
      </c>
      <c r="Q66">
        <v>90</v>
      </c>
      <c r="R66">
        <v>10</v>
      </c>
      <c r="S66">
        <v>19</v>
      </c>
      <c r="T66" t="s">
        <v>1882</v>
      </c>
      <c r="U66">
        <v>2</v>
      </c>
      <c r="V66">
        <v>50</v>
      </c>
    </row>
    <row r="67" spans="2:22">
      <c r="B67" t="s">
        <v>2998</v>
      </c>
      <c r="H67" t="s">
        <v>1128</v>
      </c>
      <c r="I67">
        <v>65</v>
      </c>
      <c r="L67" t="s">
        <v>1128</v>
      </c>
      <c r="M67" s="5">
        <f ca="1">SUMIF(List1[clean Country],Reference!L67,List1[Selected Salary])/Reference!U67</f>
        <v>12000</v>
      </c>
      <c r="N67" s="22">
        <v>84</v>
      </c>
      <c r="O67" s="23">
        <v>88</v>
      </c>
      <c r="P67">
        <v>2.5</v>
      </c>
      <c r="Q67">
        <v>96</v>
      </c>
      <c r="R67">
        <v>0</v>
      </c>
      <c r="S67">
        <v>99</v>
      </c>
      <c r="T67" t="s">
        <v>1858</v>
      </c>
      <c r="U67">
        <v>1</v>
      </c>
      <c r="V67">
        <v>91</v>
      </c>
    </row>
    <row r="68" spans="2:22">
      <c r="B68" t="s">
        <v>3083</v>
      </c>
      <c r="H68" t="s">
        <v>2998</v>
      </c>
      <c r="I68">
        <v>66</v>
      </c>
      <c r="L68" t="s">
        <v>2998</v>
      </c>
      <c r="M68" s="5">
        <f ca="1">SUMIF(List1[clean Country],Reference!L68,List1[Selected Salary])/Reference!U68</f>
        <v>72190.390009479408</v>
      </c>
      <c r="N68" s="22">
        <v>17</v>
      </c>
      <c r="O68" s="23">
        <v>18</v>
      </c>
      <c r="P68">
        <v>4.7173913043478262</v>
      </c>
      <c r="Q68">
        <v>68</v>
      </c>
      <c r="R68">
        <v>8.1304347826086953</v>
      </c>
      <c r="S68">
        <v>28</v>
      </c>
      <c r="T68" t="s">
        <v>1858</v>
      </c>
      <c r="U68">
        <v>23</v>
      </c>
      <c r="V68">
        <v>7</v>
      </c>
    </row>
    <row r="69" spans="2:22">
      <c r="B69" t="s">
        <v>3467</v>
      </c>
      <c r="H69" t="s">
        <v>3083</v>
      </c>
      <c r="I69">
        <v>67</v>
      </c>
      <c r="L69" t="s">
        <v>3083</v>
      </c>
      <c r="M69" s="5">
        <f ca="1">SUMIF(List1[clean Country],Reference!L69,List1[Selected Salary])/Reference!U69</f>
        <v>55312.077294685987</v>
      </c>
      <c r="N69" s="22">
        <v>20</v>
      </c>
      <c r="O69" s="23">
        <v>28</v>
      </c>
      <c r="P69">
        <v>5.0999999999999996</v>
      </c>
      <c r="Q69">
        <v>37</v>
      </c>
      <c r="R69">
        <v>10.933333333333334</v>
      </c>
      <c r="S69">
        <v>17</v>
      </c>
      <c r="T69" t="s">
        <v>1858</v>
      </c>
      <c r="U69">
        <v>15</v>
      </c>
      <c r="V69">
        <v>12</v>
      </c>
    </row>
    <row r="70" spans="2:22">
      <c r="B70" t="s">
        <v>2909</v>
      </c>
      <c r="H70" t="s">
        <v>3467</v>
      </c>
      <c r="I70">
        <v>68</v>
      </c>
      <c r="L70" t="s">
        <v>3467</v>
      </c>
      <c r="M70" s="5">
        <f ca="1">SUMIF(List1[clean Country],Reference!L70,List1[Selected Salary])/Reference!U70</f>
        <v>18278.543327372263</v>
      </c>
      <c r="N70" s="22">
        <v>78</v>
      </c>
      <c r="O70" s="23">
        <v>71</v>
      </c>
      <c r="P70">
        <v>5.166666666666667</v>
      </c>
      <c r="Q70">
        <v>33</v>
      </c>
      <c r="R70">
        <v>5.666666666666667</v>
      </c>
      <c r="S70">
        <v>55</v>
      </c>
      <c r="T70" t="s">
        <v>1882</v>
      </c>
      <c r="U70">
        <v>3</v>
      </c>
      <c r="V70">
        <v>44</v>
      </c>
    </row>
    <row r="71" spans="2:22">
      <c r="B71" t="s">
        <v>1835</v>
      </c>
      <c r="H71" t="s">
        <v>2909</v>
      </c>
      <c r="I71">
        <v>69</v>
      </c>
      <c r="L71" t="s">
        <v>2909</v>
      </c>
      <c r="M71" s="5">
        <f ca="1">SUMIF(List1[clean Country],Reference!L71,List1[Selected Salary])/Reference!U71</f>
        <v>94671.228669948774</v>
      </c>
      <c r="N71" s="22">
        <v>6</v>
      </c>
      <c r="O71" s="23">
        <v>7</v>
      </c>
      <c r="P71">
        <v>5</v>
      </c>
      <c r="Q71">
        <v>54</v>
      </c>
      <c r="R71">
        <v>6.1428571428571432</v>
      </c>
      <c r="S71">
        <v>47</v>
      </c>
      <c r="T71" t="s">
        <v>1882</v>
      </c>
      <c r="U71">
        <v>7</v>
      </c>
      <c r="V71">
        <v>22</v>
      </c>
    </row>
    <row r="72" spans="2:22">
      <c r="B72" t="s">
        <v>1872</v>
      </c>
      <c r="H72" t="s">
        <v>1835</v>
      </c>
      <c r="I72">
        <v>70</v>
      </c>
      <c r="L72" t="s">
        <v>1835</v>
      </c>
      <c r="M72" s="5">
        <f ca="1">SUMIF(List1[clean Country],Reference!L72,List1[Selected Salary])/Reference!U72</f>
        <v>100800</v>
      </c>
      <c r="N72" s="22">
        <v>4</v>
      </c>
      <c r="O72" s="23">
        <v>4</v>
      </c>
      <c r="P72">
        <v>5</v>
      </c>
      <c r="Q72">
        <v>55</v>
      </c>
      <c r="R72">
        <v>4</v>
      </c>
      <c r="S72">
        <v>69</v>
      </c>
      <c r="T72" t="s">
        <v>1891</v>
      </c>
      <c r="U72">
        <v>1</v>
      </c>
      <c r="V72">
        <v>92</v>
      </c>
    </row>
    <row r="73" spans="2:22">
      <c r="B73" t="s">
        <v>2069</v>
      </c>
      <c r="H73" t="s">
        <v>1872</v>
      </c>
      <c r="I73">
        <v>71</v>
      </c>
      <c r="L73" t="s">
        <v>1872</v>
      </c>
      <c r="M73" s="5">
        <f ca="1">SUMIF(List1[clean Country],Reference!L73,List1[Selected Salary])/Reference!U73</f>
        <v>15501.782653181977</v>
      </c>
      <c r="N73" s="22">
        <v>85</v>
      </c>
      <c r="O73" s="23">
        <v>79</v>
      </c>
      <c r="P73">
        <v>5.2586206896551726</v>
      </c>
      <c r="Q73">
        <v>29</v>
      </c>
      <c r="R73">
        <v>5.931034482758621</v>
      </c>
      <c r="S73">
        <v>53</v>
      </c>
      <c r="T73" t="s">
        <v>1882</v>
      </c>
      <c r="U73">
        <v>29</v>
      </c>
      <c r="V73">
        <v>6</v>
      </c>
    </row>
    <row r="74" spans="2:22">
      <c r="B74" t="s">
        <v>96</v>
      </c>
      <c r="H74" t="s">
        <v>2069</v>
      </c>
      <c r="I74">
        <v>72</v>
      </c>
      <c r="L74" t="s">
        <v>2069</v>
      </c>
      <c r="M74" s="5">
        <f ca="1">SUMIF(List1[clean Country],Reference!L74,List1[Selected Salary])/Reference!U74</f>
        <v>44404.983594036574</v>
      </c>
      <c r="N74" s="22">
        <v>35</v>
      </c>
      <c r="O74" s="23">
        <v>35</v>
      </c>
      <c r="P74">
        <v>5.25</v>
      </c>
      <c r="Q74">
        <v>31</v>
      </c>
      <c r="R74">
        <v>0</v>
      </c>
      <c r="S74">
        <v>100</v>
      </c>
      <c r="T74" t="s">
        <v>1858</v>
      </c>
      <c r="U74">
        <v>2</v>
      </c>
      <c r="V74">
        <v>51</v>
      </c>
    </row>
    <row r="75" spans="2:22">
      <c r="B75" t="s">
        <v>1207</v>
      </c>
      <c r="H75" t="s">
        <v>96</v>
      </c>
      <c r="I75">
        <v>73</v>
      </c>
      <c r="L75" t="s">
        <v>96</v>
      </c>
      <c r="M75" s="5">
        <f ca="1">SUMIF(List1[clean Country],Reference!L75,List1[Selected Salary])/Reference!U75</f>
        <v>20000</v>
      </c>
      <c r="N75" s="22">
        <v>63</v>
      </c>
      <c r="O75" s="23">
        <v>69</v>
      </c>
      <c r="P75">
        <v>8</v>
      </c>
      <c r="Q75">
        <v>14</v>
      </c>
      <c r="R75">
        <v>6</v>
      </c>
      <c r="S75">
        <v>50</v>
      </c>
      <c r="T75" t="s">
        <v>1921</v>
      </c>
      <c r="U75">
        <v>1</v>
      </c>
      <c r="V75">
        <v>93</v>
      </c>
    </row>
    <row r="76" spans="2:22">
      <c r="B76" t="s">
        <v>2469</v>
      </c>
      <c r="H76" t="s">
        <v>1207</v>
      </c>
      <c r="I76">
        <v>74</v>
      </c>
      <c r="L76" t="s">
        <v>1207</v>
      </c>
      <c r="M76" s="5">
        <f ca="1">SUMIF(List1[clean Country],Reference!L76,List1[Selected Salary])/Reference!U76</f>
        <v>15840</v>
      </c>
      <c r="N76" s="22">
        <v>72</v>
      </c>
      <c r="O76" s="23">
        <v>77</v>
      </c>
      <c r="P76">
        <v>8</v>
      </c>
      <c r="Q76">
        <v>15</v>
      </c>
      <c r="R76">
        <v>8</v>
      </c>
      <c r="S76">
        <v>33</v>
      </c>
      <c r="T76" t="s">
        <v>1858</v>
      </c>
      <c r="U76">
        <v>1</v>
      </c>
      <c r="V76">
        <v>94</v>
      </c>
    </row>
    <row r="77" spans="2:22">
      <c r="B77" t="s">
        <v>1959</v>
      </c>
      <c r="H77" t="s">
        <v>2469</v>
      </c>
      <c r="I77">
        <v>75</v>
      </c>
      <c r="L77" t="s">
        <v>2469</v>
      </c>
      <c r="M77" s="5">
        <f ca="1">SUMIF(List1[clean Country],Reference!L77,List1[Selected Salary])/Reference!U77</f>
        <v>20612.414638321545</v>
      </c>
      <c r="N77" s="22">
        <v>69</v>
      </c>
      <c r="O77" s="23">
        <v>66</v>
      </c>
      <c r="P77">
        <v>5.0909090909090908</v>
      </c>
      <c r="Q77">
        <v>38</v>
      </c>
      <c r="R77">
        <v>7.3636363636363633</v>
      </c>
      <c r="S77">
        <v>40</v>
      </c>
      <c r="T77" t="s">
        <v>1882</v>
      </c>
      <c r="U77">
        <v>11</v>
      </c>
      <c r="V77">
        <v>14</v>
      </c>
    </row>
    <row r="78" spans="2:22">
      <c r="B78" t="s">
        <v>1892</v>
      </c>
      <c r="H78" t="s">
        <v>1959</v>
      </c>
      <c r="I78">
        <v>76</v>
      </c>
      <c r="L78" t="s">
        <v>1959</v>
      </c>
      <c r="M78" s="5">
        <f ca="1">SUMIF(List1[clean Country],Reference!L78,List1[Selected Salary])/Reference!U78</f>
        <v>36199.003671830164</v>
      </c>
      <c r="N78" s="22">
        <v>47</v>
      </c>
      <c r="O78" s="23">
        <v>44</v>
      </c>
      <c r="P78">
        <v>4.666666666666667</v>
      </c>
      <c r="Q78">
        <v>69</v>
      </c>
      <c r="R78">
        <v>5</v>
      </c>
      <c r="S78">
        <v>64</v>
      </c>
      <c r="T78" t="s">
        <v>1858</v>
      </c>
      <c r="U78">
        <v>6</v>
      </c>
      <c r="V78">
        <v>26</v>
      </c>
    </row>
    <row r="79" spans="2:22">
      <c r="B79" t="s">
        <v>3726</v>
      </c>
      <c r="H79" t="s">
        <v>1892</v>
      </c>
      <c r="I79">
        <v>77</v>
      </c>
      <c r="L79" t="s">
        <v>1892</v>
      </c>
      <c r="M79" s="5">
        <f ca="1">SUMIF(List1[clean Country],Reference!L79,List1[Selected Salary])/Reference!U79</f>
        <v>32589.113274007228</v>
      </c>
      <c r="N79" s="22">
        <v>48</v>
      </c>
      <c r="O79" s="23">
        <v>51</v>
      </c>
      <c r="P79">
        <v>4.5</v>
      </c>
      <c r="Q79">
        <v>72</v>
      </c>
      <c r="R79">
        <v>6.7</v>
      </c>
      <c r="S79">
        <v>44</v>
      </c>
      <c r="T79" t="s">
        <v>1897</v>
      </c>
      <c r="U79">
        <v>10</v>
      </c>
      <c r="V79">
        <v>17</v>
      </c>
    </row>
    <row r="80" spans="2:22">
      <c r="B80" t="s">
        <v>2878</v>
      </c>
      <c r="H80" t="s">
        <v>3726</v>
      </c>
      <c r="I80">
        <v>78</v>
      </c>
      <c r="L80" t="s">
        <v>3726</v>
      </c>
      <c r="M80" s="5">
        <f ca="1">SUMIF(List1[clean Country],Reference!L80,List1[Selected Salary])/Reference!U80</f>
        <v>53066.666666666664</v>
      </c>
      <c r="N80" s="22">
        <v>27</v>
      </c>
      <c r="O80" s="23">
        <v>30</v>
      </c>
      <c r="P80">
        <v>4.333333333333333</v>
      </c>
      <c r="Q80">
        <v>73</v>
      </c>
      <c r="R80">
        <v>15.333333333333334</v>
      </c>
      <c r="S80">
        <v>8</v>
      </c>
      <c r="T80" t="s">
        <v>1897</v>
      </c>
      <c r="U80">
        <v>3</v>
      </c>
      <c r="V80">
        <v>45</v>
      </c>
    </row>
    <row r="81" spans="2:22">
      <c r="B81" t="s">
        <v>2750</v>
      </c>
      <c r="H81" t="s">
        <v>2878</v>
      </c>
      <c r="I81">
        <v>79</v>
      </c>
      <c r="L81" t="s">
        <v>2878</v>
      </c>
      <c r="M81" s="5">
        <f ca="1">SUMIF(List1[clean Country],Reference!L81,List1[Selected Salary])/Reference!U81</f>
        <v>5250</v>
      </c>
      <c r="N81" s="22">
        <v>97</v>
      </c>
      <c r="O81" s="23">
        <v>98</v>
      </c>
      <c r="P81">
        <v>5</v>
      </c>
      <c r="Q81">
        <v>56</v>
      </c>
      <c r="R81">
        <v>0</v>
      </c>
      <c r="S81">
        <v>101</v>
      </c>
      <c r="T81" t="s">
        <v>1901</v>
      </c>
      <c r="U81">
        <v>1</v>
      </c>
      <c r="V81">
        <v>95</v>
      </c>
    </row>
    <row r="82" spans="2:22">
      <c r="B82" t="s">
        <v>1949</v>
      </c>
      <c r="H82" t="s">
        <v>2750</v>
      </c>
      <c r="I82">
        <v>80</v>
      </c>
      <c r="L82" t="s">
        <v>2750</v>
      </c>
      <c r="M82" s="5">
        <f ca="1">SUMIF(List1[clean Country],Reference!L82,List1[Selected Salary])/Reference!U82</f>
        <v>18268.627450980392</v>
      </c>
      <c r="N82" s="22">
        <v>71</v>
      </c>
      <c r="O82" s="23">
        <v>72</v>
      </c>
      <c r="P82">
        <v>4.583333333333333</v>
      </c>
      <c r="Q82">
        <v>70</v>
      </c>
      <c r="R82">
        <v>1.8333333333333333</v>
      </c>
      <c r="S82">
        <v>86</v>
      </c>
      <c r="T82" t="s">
        <v>1882</v>
      </c>
      <c r="U82">
        <v>6</v>
      </c>
      <c r="V82">
        <v>27</v>
      </c>
    </row>
    <row r="83" spans="2:22">
      <c r="B83" t="s">
        <v>2064</v>
      </c>
      <c r="H83" t="s">
        <v>1949</v>
      </c>
      <c r="I83">
        <v>81</v>
      </c>
      <c r="L83" t="s">
        <v>1949</v>
      </c>
      <c r="M83" s="5">
        <f ca="1">SUMIF(List1[clean Country],Reference!L83,List1[Selected Salary])/Reference!U83</f>
        <v>55905.222222222219</v>
      </c>
      <c r="N83" s="22">
        <v>26</v>
      </c>
      <c r="O83" s="23">
        <v>27</v>
      </c>
      <c r="P83">
        <v>6.0555555555555554</v>
      </c>
      <c r="Q83">
        <v>22</v>
      </c>
      <c r="R83">
        <v>5.4444444444444446</v>
      </c>
      <c r="S83">
        <v>59</v>
      </c>
      <c r="T83" t="s">
        <v>1858</v>
      </c>
      <c r="U83">
        <v>9</v>
      </c>
      <c r="V83">
        <v>19</v>
      </c>
    </row>
    <row r="84" spans="2:22">
      <c r="B84" t="s">
        <v>2344</v>
      </c>
      <c r="H84" t="s">
        <v>2064</v>
      </c>
      <c r="I84">
        <v>82</v>
      </c>
      <c r="L84" t="s">
        <v>2064</v>
      </c>
      <c r="M84" s="5">
        <f ca="1">SUMIF(List1[clean Country],Reference!L84,List1[Selected Salary])/Reference!U84</f>
        <v>37475.392009612493</v>
      </c>
      <c r="N84" s="22">
        <v>45</v>
      </c>
      <c r="O84" s="23">
        <v>42</v>
      </c>
      <c r="P84">
        <v>5.8636363636363633</v>
      </c>
      <c r="Q84">
        <v>24</v>
      </c>
      <c r="R84">
        <v>9.1818181818181817</v>
      </c>
      <c r="S84">
        <v>25</v>
      </c>
      <c r="T84" t="s">
        <v>1882</v>
      </c>
      <c r="U84">
        <v>11</v>
      </c>
      <c r="V84">
        <v>15</v>
      </c>
    </row>
    <row r="85" spans="2:22">
      <c r="B85" t="s">
        <v>1382</v>
      </c>
      <c r="H85" t="s">
        <v>2344</v>
      </c>
      <c r="I85">
        <v>83</v>
      </c>
      <c r="L85" t="s">
        <v>2344</v>
      </c>
      <c r="M85" s="5">
        <f ca="1">SUMIF(List1[clean Country],Reference!L85,List1[Selected Salary])/Reference!U85</f>
        <v>53344.482885535523</v>
      </c>
      <c r="N85" s="22">
        <v>28</v>
      </c>
      <c r="O85" s="23">
        <v>29</v>
      </c>
      <c r="P85">
        <v>5.6923076923076925</v>
      </c>
      <c r="Q85">
        <v>26</v>
      </c>
      <c r="R85">
        <v>6.1538461538461542</v>
      </c>
      <c r="S85">
        <v>46</v>
      </c>
      <c r="T85" t="s">
        <v>1858</v>
      </c>
      <c r="U85">
        <v>13</v>
      </c>
      <c r="V85">
        <v>13</v>
      </c>
    </row>
    <row r="86" spans="2:22">
      <c r="B86" t="s">
        <v>3828</v>
      </c>
      <c r="H86" t="s">
        <v>1382</v>
      </c>
      <c r="I86">
        <v>84</v>
      </c>
      <c r="L86" t="s">
        <v>1382</v>
      </c>
      <c r="M86" s="5">
        <f ca="1">SUMIF(List1[clean Country],Reference!L86,List1[Selected Salary])/Reference!U86</f>
        <v>13000</v>
      </c>
      <c r="N86" s="22">
        <v>79</v>
      </c>
      <c r="O86" s="23">
        <v>83</v>
      </c>
      <c r="P86">
        <v>8</v>
      </c>
      <c r="Q86">
        <v>16</v>
      </c>
      <c r="R86">
        <v>6</v>
      </c>
      <c r="S86">
        <v>51</v>
      </c>
      <c r="T86" t="s">
        <v>1858</v>
      </c>
      <c r="U86">
        <v>1</v>
      </c>
      <c r="V86">
        <v>96</v>
      </c>
    </row>
    <row r="87" spans="2:22">
      <c r="B87" t="s">
        <v>2845</v>
      </c>
      <c r="H87" t="s">
        <v>3828</v>
      </c>
      <c r="I87">
        <v>85</v>
      </c>
      <c r="L87" t="s">
        <v>3828</v>
      </c>
      <c r="M87" s="5">
        <f ca="1">SUMIF(List1[clean Country],Reference!L87,List1[Selected Salary])/Reference!U87</f>
        <v>18842.990156421944</v>
      </c>
      <c r="N87" s="22">
        <v>65</v>
      </c>
      <c r="O87" s="23">
        <v>70</v>
      </c>
      <c r="P87">
        <v>5</v>
      </c>
      <c r="Q87">
        <v>57</v>
      </c>
      <c r="R87">
        <v>4</v>
      </c>
      <c r="S87">
        <v>70</v>
      </c>
      <c r="T87" t="s">
        <v>1858</v>
      </c>
      <c r="U87">
        <v>1</v>
      </c>
      <c r="V87">
        <v>97</v>
      </c>
    </row>
    <row r="88" spans="2:22">
      <c r="B88" t="s">
        <v>1922</v>
      </c>
      <c r="H88" t="s">
        <v>2845</v>
      </c>
      <c r="I88">
        <v>86</v>
      </c>
      <c r="L88" t="s">
        <v>2845</v>
      </c>
      <c r="M88" s="5">
        <f ca="1">SUMIF(List1[clean Country],Reference!L88,List1[Selected Salary])/Reference!U88</f>
        <v>78000</v>
      </c>
      <c r="N88" s="22">
        <v>15</v>
      </c>
      <c r="O88" s="23">
        <v>12</v>
      </c>
      <c r="P88">
        <v>5</v>
      </c>
      <c r="Q88">
        <v>58</v>
      </c>
      <c r="R88">
        <v>0</v>
      </c>
      <c r="S88">
        <v>102</v>
      </c>
      <c r="T88" t="s">
        <v>1882</v>
      </c>
      <c r="U88">
        <v>1</v>
      </c>
      <c r="V88">
        <v>98</v>
      </c>
    </row>
    <row r="89" spans="2:22">
      <c r="B89" t="s">
        <v>2957</v>
      </c>
      <c r="H89" t="s">
        <v>1922</v>
      </c>
      <c r="I89">
        <v>87</v>
      </c>
      <c r="L89" t="s">
        <v>1922</v>
      </c>
      <c r="M89" s="5">
        <f ca="1">SUMIF(List1[clean Country],Reference!L89,List1[Selected Salary])/Reference!U89</f>
        <v>59833.278450003716</v>
      </c>
      <c r="N89" s="22">
        <v>31</v>
      </c>
      <c r="O89" s="23">
        <v>25</v>
      </c>
      <c r="P89">
        <v>6</v>
      </c>
      <c r="Q89">
        <v>23</v>
      </c>
      <c r="R89">
        <v>9.3684210526315788</v>
      </c>
      <c r="S89">
        <v>23</v>
      </c>
      <c r="T89" t="s">
        <v>1858</v>
      </c>
      <c r="U89">
        <v>19</v>
      </c>
      <c r="V89">
        <v>9</v>
      </c>
    </row>
    <row r="90" spans="2:22">
      <c r="B90" t="s">
        <v>3169</v>
      </c>
      <c r="H90" t="s">
        <v>2957</v>
      </c>
      <c r="I90">
        <v>88</v>
      </c>
      <c r="L90" t="s">
        <v>2957</v>
      </c>
      <c r="M90" s="5">
        <f ca="1">SUMIF(List1[clean Country],Reference!L90,List1[Selected Salary])/Reference!U90</f>
        <v>45732.266736343867</v>
      </c>
      <c r="N90" s="22">
        <v>34</v>
      </c>
      <c r="O90" s="23">
        <v>34</v>
      </c>
      <c r="P90">
        <v>3.85</v>
      </c>
      <c r="Q90">
        <v>82</v>
      </c>
      <c r="R90">
        <v>11.2</v>
      </c>
      <c r="S90">
        <v>15</v>
      </c>
      <c r="T90" t="s">
        <v>1858</v>
      </c>
      <c r="U90">
        <v>10</v>
      </c>
      <c r="V90">
        <v>18</v>
      </c>
    </row>
    <row r="91" spans="2:22">
      <c r="B91" t="s">
        <v>2654</v>
      </c>
      <c r="H91" t="s">
        <v>3169</v>
      </c>
      <c r="I91">
        <v>89</v>
      </c>
      <c r="L91" t="s">
        <v>3169</v>
      </c>
      <c r="M91" s="5">
        <f ca="1">SUMIF(List1[clean Country],Reference!L91,List1[Selected Salary])/Reference!U91</f>
        <v>23369.088763779793</v>
      </c>
      <c r="N91" s="22">
        <v>59</v>
      </c>
      <c r="O91" s="23">
        <v>63</v>
      </c>
      <c r="P91">
        <v>6.2</v>
      </c>
      <c r="Q91">
        <v>21</v>
      </c>
      <c r="R91">
        <v>7.9</v>
      </c>
      <c r="S91">
        <v>35</v>
      </c>
      <c r="T91" t="s">
        <v>1882</v>
      </c>
      <c r="U91">
        <v>5</v>
      </c>
      <c r="V91">
        <v>33</v>
      </c>
    </row>
    <row r="92" spans="2:22">
      <c r="B92" t="s">
        <v>1918</v>
      </c>
      <c r="H92" t="s">
        <v>2654</v>
      </c>
      <c r="I92">
        <v>90</v>
      </c>
      <c r="L92" t="s">
        <v>2654</v>
      </c>
      <c r="M92" s="5">
        <f ca="1">SUMIF(List1[clean Country],Reference!L92,List1[Selected Salary])/Reference!U92</f>
        <v>75343.18901795143</v>
      </c>
      <c r="N92" s="22">
        <v>11</v>
      </c>
      <c r="O92" s="23">
        <v>13</v>
      </c>
      <c r="P92">
        <v>2</v>
      </c>
      <c r="Q92">
        <v>98</v>
      </c>
      <c r="R92">
        <v>10</v>
      </c>
      <c r="S92">
        <v>20</v>
      </c>
      <c r="T92" t="s">
        <v>1962</v>
      </c>
      <c r="U92">
        <v>2</v>
      </c>
      <c r="V92">
        <v>52</v>
      </c>
    </row>
    <row r="93" spans="2:22">
      <c r="B93" t="s">
        <v>2369</v>
      </c>
      <c r="H93" t="s">
        <v>1918</v>
      </c>
      <c r="I93">
        <v>91</v>
      </c>
      <c r="L93" t="s">
        <v>1918</v>
      </c>
      <c r="M93" s="5">
        <f ca="1">SUMIF(List1[clean Country],Reference!L93,List1[Selected Salary])/Reference!U93</f>
        <v>121789.53771289537</v>
      </c>
      <c r="N93" s="22">
        <v>2</v>
      </c>
      <c r="O93" s="23">
        <v>3</v>
      </c>
      <c r="P93">
        <v>4.25</v>
      </c>
      <c r="Q93">
        <v>75</v>
      </c>
      <c r="R93">
        <v>6.5</v>
      </c>
      <c r="S93">
        <v>45</v>
      </c>
      <c r="T93" t="s">
        <v>1882</v>
      </c>
      <c r="U93">
        <v>4</v>
      </c>
      <c r="V93">
        <v>37</v>
      </c>
    </row>
    <row r="94" spans="2:22">
      <c r="B94" t="s">
        <v>1390</v>
      </c>
      <c r="H94" t="s">
        <v>2369</v>
      </c>
      <c r="I94">
        <v>92</v>
      </c>
      <c r="L94" t="s">
        <v>2369</v>
      </c>
      <c r="M94" s="5">
        <f ca="1">SUMIF(List1[clean Country],Reference!L94,List1[Selected Salary])/Reference!U94</f>
        <v>73000</v>
      </c>
      <c r="N94" s="22">
        <v>18</v>
      </c>
      <c r="O94" s="23">
        <v>16</v>
      </c>
      <c r="P94">
        <v>6.5</v>
      </c>
      <c r="Q94">
        <v>20</v>
      </c>
      <c r="R94">
        <v>0.5</v>
      </c>
      <c r="S94">
        <v>90</v>
      </c>
      <c r="T94" t="s">
        <v>1876</v>
      </c>
      <c r="U94">
        <v>2</v>
      </c>
      <c r="V94">
        <v>53</v>
      </c>
    </row>
    <row r="95" spans="2:22">
      <c r="B95" t="s">
        <v>2175</v>
      </c>
      <c r="H95" t="s">
        <v>1390</v>
      </c>
      <c r="I95">
        <v>93</v>
      </c>
      <c r="L95" t="s">
        <v>1390</v>
      </c>
      <c r="M95" s="5">
        <f ca="1">SUMIF(List1[clean Country],Reference!L95,List1[Selected Salary])/Reference!U95</f>
        <v>11000</v>
      </c>
      <c r="N95" s="22">
        <v>88</v>
      </c>
      <c r="O95" s="23">
        <v>90</v>
      </c>
      <c r="P95">
        <v>5</v>
      </c>
      <c r="Q95">
        <v>59</v>
      </c>
      <c r="R95">
        <v>8</v>
      </c>
      <c r="S95">
        <v>34</v>
      </c>
      <c r="T95" t="s">
        <v>1858</v>
      </c>
      <c r="U95">
        <v>1</v>
      </c>
      <c r="V95">
        <v>99</v>
      </c>
    </row>
    <row r="96" spans="2:22">
      <c r="B96" t="s">
        <v>2143</v>
      </c>
      <c r="H96" t="s">
        <v>2175</v>
      </c>
      <c r="I96">
        <v>94</v>
      </c>
      <c r="L96" t="s">
        <v>2175</v>
      </c>
      <c r="M96" s="5">
        <f ca="1">SUMIF(List1[clean Country],Reference!L96,List1[Selected Salary])/Reference!U96</f>
        <v>48000</v>
      </c>
      <c r="N96" s="22">
        <v>32</v>
      </c>
      <c r="O96" s="23">
        <v>32</v>
      </c>
      <c r="P96">
        <v>3.75</v>
      </c>
      <c r="Q96">
        <v>83</v>
      </c>
      <c r="R96">
        <v>5</v>
      </c>
      <c r="S96">
        <v>65</v>
      </c>
      <c r="T96" t="s">
        <v>1897</v>
      </c>
      <c r="U96">
        <v>2</v>
      </c>
      <c r="V96">
        <v>54</v>
      </c>
    </row>
    <row r="97" spans="2:22">
      <c r="B97" t="s">
        <v>679</v>
      </c>
      <c r="H97" t="s">
        <v>2143</v>
      </c>
      <c r="I97">
        <v>95</v>
      </c>
      <c r="L97" t="s">
        <v>2143</v>
      </c>
      <c r="M97" s="5">
        <f ca="1">SUMIF(List1[clean Country],Reference!L97,List1[Selected Salary])/Reference!U97</f>
        <v>42033.370648844335</v>
      </c>
      <c r="N97" s="22">
        <v>37</v>
      </c>
      <c r="O97" s="23">
        <v>38</v>
      </c>
      <c r="P97">
        <v>4.8157894736842106</v>
      </c>
      <c r="Q97">
        <v>65</v>
      </c>
      <c r="R97">
        <v>7.2368421052631575</v>
      </c>
      <c r="S97">
        <v>41</v>
      </c>
      <c r="T97" t="s">
        <v>1882</v>
      </c>
      <c r="U97">
        <v>19</v>
      </c>
      <c r="V97">
        <v>10</v>
      </c>
    </row>
    <row r="98" spans="2:22">
      <c r="B98" t="s">
        <v>1956</v>
      </c>
      <c r="H98" t="s">
        <v>679</v>
      </c>
      <c r="I98">
        <v>96</v>
      </c>
      <c r="L98" t="s">
        <v>679</v>
      </c>
      <c r="M98" s="5">
        <f ca="1">SUMIF(List1[clean Country],Reference!L98,List1[Selected Salary])/Reference!U98</f>
        <v>100000</v>
      </c>
      <c r="N98" s="22">
        <v>5</v>
      </c>
      <c r="O98" s="23">
        <v>5</v>
      </c>
      <c r="P98">
        <v>5</v>
      </c>
      <c r="Q98">
        <v>60</v>
      </c>
      <c r="R98">
        <v>17</v>
      </c>
      <c r="S98">
        <v>7</v>
      </c>
      <c r="T98" t="s">
        <v>1858</v>
      </c>
      <c r="U98">
        <v>1</v>
      </c>
      <c r="V98">
        <v>100</v>
      </c>
    </row>
    <row r="99" spans="2:22">
      <c r="B99" t="s">
        <v>1887</v>
      </c>
      <c r="H99" t="s">
        <v>1956</v>
      </c>
      <c r="I99">
        <v>97</v>
      </c>
      <c r="L99" t="s">
        <v>1956</v>
      </c>
      <c r="M99" s="5">
        <f ca="1">SUMIF(List1[clean Country],Reference!L99,List1[Selected Salary])/Reference!U99</f>
        <v>63474.010559173752</v>
      </c>
      <c r="N99" s="22">
        <v>22</v>
      </c>
      <c r="O99" s="23">
        <v>21</v>
      </c>
      <c r="P99">
        <v>4.837662337662338</v>
      </c>
      <c r="Q99">
        <v>63</v>
      </c>
      <c r="R99">
        <v>7.4837662337662341</v>
      </c>
      <c r="S99">
        <v>39</v>
      </c>
      <c r="T99" t="s">
        <v>1858</v>
      </c>
      <c r="U99">
        <v>154</v>
      </c>
      <c r="V99">
        <v>3</v>
      </c>
    </row>
    <row r="100" spans="2:22">
      <c r="B100" t="s">
        <v>3686</v>
      </c>
      <c r="H100" t="s">
        <v>1887</v>
      </c>
      <c r="I100">
        <v>98</v>
      </c>
      <c r="L100" t="s">
        <v>1887</v>
      </c>
      <c r="M100" s="5">
        <f ca="1">SUMIF(List1[clean Country],Reference!L100,List1[Selected Salary])/Reference!U100</f>
        <v>11650</v>
      </c>
      <c r="N100" s="22">
        <v>86</v>
      </c>
      <c r="O100" s="23">
        <v>89</v>
      </c>
      <c r="P100">
        <v>4.25</v>
      </c>
      <c r="Q100">
        <v>76</v>
      </c>
      <c r="R100">
        <v>1.25</v>
      </c>
      <c r="S100">
        <v>88</v>
      </c>
      <c r="T100" t="s">
        <v>1858</v>
      </c>
      <c r="U100">
        <v>4</v>
      </c>
      <c r="V100">
        <v>38</v>
      </c>
    </row>
    <row r="101" spans="2:22">
      <c r="B101" t="s">
        <v>1869</v>
      </c>
      <c r="H101" t="s">
        <v>3686</v>
      </c>
      <c r="I101">
        <v>99</v>
      </c>
      <c r="L101" t="s">
        <v>3686</v>
      </c>
      <c r="M101" s="5">
        <f ca="1">SUMIF(List1[clean Country],Reference!L101,List1[Selected Salary])/Reference!U101</f>
        <v>35000</v>
      </c>
      <c r="N101" s="22">
        <v>46</v>
      </c>
      <c r="O101" s="23">
        <v>49</v>
      </c>
      <c r="P101">
        <v>8</v>
      </c>
      <c r="Q101">
        <v>17</v>
      </c>
      <c r="R101">
        <v>10</v>
      </c>
      <c r="S101">
        <v>21</v>
      </c>
      <c r="T101" t="s">
        <v>1882</v>
      </c>
      <c r="U101">
        <v>1</v>
      </c>
      <c r="V101">
        <v>101</v>
      </c>
    </row>
    <row r="102" spans="2:22">
      <c r="B102" t="s">
        <v>1123</v>
      </c>
      <c r="H102" t="s">
        <v>1869</v>
      </c>
      <c r="I102">
        <v>100</v>
      </c>
      <c r="L102" t="s">
        <v>1869</v>
      </c>
      <c r="M102" s="5">
        <f ca="1">SUMIF(List1[clean Country],Reference!L102,List1[Selected Salary])/Reference!U102</f>
        <v>72701.336569579289</v>
      </c>
      <c r="N102" s="22">
        <v>19</v>
      </c>
      <c r="O102" s="23">
        <v>17</v>
      </c>
      <c r="P102">
        <v>4.7556634304207117</v>
      </c>
      <c r="Q102">
        <v>67</v>
      </c>
      <c r="R102">
        <v>5.6456310679611654</v>
      </c>
      <c r="S102">
        <v>56</v>
      </c>
      <c r="T102" t="s">
        <v>1858</v>
      </c>
      <c r="U102">
        <v>618</v>
      </c>
      <c r="V102">
        <v>1</v>
      </c>
    </row>
    <row r="103" spans="2:22">
      <c r="B103" t="s">
        <v>3866</v>
      </c>
      <c r="H103" t="s">
        <v>1123</v>
      </c>
      <c r="I103">
        <v>101</v>
      </c>
      <c r="L103" t="s">
        <v>1123</v>
      </c>
      <c r="M103" s="5">
        <f ca="1">SUMIF(List1[clean Country],Reference!L103,List1[Selected Salary])/Reference!U103</f>
        <v>10000</v>
      </c>
      <c r="N103" s="22">
        <v>90</v>
      </c>
      <c r="O103" s="23">
        <v>92</v>
      </c>
      <c r="P103">
        <v>3.75</v>
      </c>
      <c r="Q103">
        <v>84</v>
      </c>
      <c r="R103">
        <v>6</v>
      </c>
      <c r="S103">
        <v>52</v>
      </c>
      <c r="T103" t="s">
        <v>1897</v>
      </c>
      <c r="U103">
        <v>2</v>
      </c>
      <c r="V103">
        <v>55</v>
      </c>
    </row>
    <row r="104" spans="2:22">
      <c r="B104" t="s">
        <v>3806</v>
      </c>
      <c r="H104" t="s">
        <v>3866</v>
      </c>
      <c r="I104">
        <v>102</v>
      </c>
      <c r="L104" t="s">
        <v>3866</v>
      </c>
      <c r="M104" s="5">
        <f ca="1">SUMIF(List1[clean Country],Reference!L104,List1[Selected Salary])/Reference!U104</f>
        <v>13000</v>
      </c>
      <c r="N104" s="22">
        <v>80</v>
      </c>
      <c r="O104" s="23">
        <v>84</v>
      </c>
      <c r="P104">
        <v>8</v>
      </c>
      <c r="Q104">
        <v>18</v>
      </c>
      <c r="R104">
        <v>3.5</v>
      </c>
      <c r="S104">
        <v>75</v>
      </c>
      <c r="T104" t="s">
        <v>1897</v>
      </c>
      <c r="U104">
        <v>2</v>
      </c>
      <c r="V104">
        <v>56</v>
      </c>
    </row>
    <row r="105" spans="2:22">
      <c r="H105" t="s">
        <v>3806</v>
      </c>
      <c r="L105" t="s">
        <v>3806</v>
      </c>
      <c r="M105" s="5">
        <f ca="1">SUMIF(List1[clean Country],Reference!L105,List1[Selected Salary])/Reference!U105</f>
        <v>36400</v>
      </c>
      <c r="N105" s="22">
        <v>41</v>
      </c>
      <c r="O105" s="23">
        <v>43</v>
      </c>
      <c r="P105">
        <v>5</v>
      </c>
      <c r="Q105">
        <v>61</v>
      </c>
      <c r="R105">
        <v>20</v>
      </c>
      <c r="S105">
        <v>5</v>
      </c>
      <c r="T105" t="s">
        <v>1858</v>
      </c>
      <c r="U105">
        <v>1</v>
      </c>
      <c r="V105">
        <v>102</v>
      </c>
    </row>
  </sheetData>
  <sortState ref="L4:V105">
    <sortCondition ref="L4:L10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L24"/>
  <sheetViews>
    <sheetView zoomScaleNormal="100" workbookViewId="0">
      <selection activeCell="F19" sqref="F19"/>
    </sheetView>
  </sheetViews>
  <sheetFormatPr defaultRowHeight="12.75"/>
  <cols>
    <col min="1" max="2" width="9.140625" customWidth="1"/>
    <col min="3" max="3" width="9.85546875" bestFit="1" customWidth="1"/>
    <col min="4" max="4" width="13.5703125" bestFit="1" customWidth="1"/>
    <col min="5" max="5" width="13.140625" bestFit="1" customWidth="1"/>
  </cols>
  <sheetData>
    <row r="1" spans="1:12">
      <c r="A1" s="9" t="s">
        <v>3936</v>
      </c>
      <c r="B1" s="9"/>
      <c r="C1" t="b">
        <v>1</v>
      </c>
      <c r="D1">
        <f>--C1</f>
        <v>1</v>
      </c>
    </row>
    <row r="2" spans="1:12">
      <c r="A2" s="7"/>
      <c r="B2" s="7"/>
      <c r="C2" t="str">
        <f>Dashboard!$L$17</f>
        <v>Percentage</v>
      </c>
      <c r="D2">
        <f>MATCH($C$2,TypeRange,0)</f>
        <v>2</v>
      </c>
    </row>
    <row r="3" spans="1:12">
      <c r="A3" t="str">
        <f>G5 &amp; "- " &amp;C7&amp;" vs "&amp;C10</f>
        <v>Salary Earned - India vs All</v>
      </c>
    </row>
    <row r="4" spans="1:12">
      <c r="A4" s="9" t="s">
        <v>3946</v>
      </c>
      <c r="B4" s="9"/>
    </row>
    <row r="5" spans="1:12">
      <c r="A5" s="7" t="s">
        <v>3947</v>
      </c>
      <c r="B5" s="7">
        <v>1</v>
      </c>
      <c r="C5" s="7" t="str">
        <f>Dashboard!$L$11</f>
        <v>Salary</v>
      </c>
      <c r="D5" s="7">
        <f ca="1">COUNTA(INDIRECT(C5))</f>
        <v>8</v>
      </c>
      <c r="E5" t="str">
        <f>CHOOSE(MATCH(C5,Fields1,0),"$J$2:$J$1884","$M$2:$M$1884","$O$2:$O$1884","$P$2:$P$1884")</f>
        <v>$P$2:$P$1884</v>
      </c>
      <c r="G5" t="str">
        <f>CHOOSE(MATCH(C5,Fields1,0),"Job Title ","Hours per Day in Excel ","Years of Experience ","Salary Earned ")</f>
        <v xml:space="preserve">Salary Earned </v>
      </c>
    </row>
    <row r="6" spans="1:12">
      <c r="A6" s="7" t="s">
        <v>3933</v>
      </c>
      <c r="B6" s="7"/>
      <c r="C6" t="str">
        <f ca="1">IF(COLUMN()&gt;$D$5+2,"",INDEX(INDIRECT($C$5),COLUMN()-2))</f>
        <v>0-14.9K</v>
      </c>
      <c r="D6" t="str">
        <f t="shared" ref="D6:L6" ca="1" si="0">IF(COLUMN()&gt;$D$5+2,"",INDEX(INDIRECT($C$5),COLUMN()-2))</f>
        <v>15-29.9K</v>
      </c>
      <c r="E6" t="str">
        <f t="shared" ca="1" si="0"/>
        <v>30-49.9K</v>
      </c>
      <c r="F6" t="str">
        <f t="shared" ca="1" si="0"/>
        <v>50-74.9K</v>
      </c>
      <c r="G6" t="str">
        <f t="shared" ca="1" si="0"/>
        <v>75-99.9K</v>
      </c>
      <c r="H6" t="str">
        <f t="shared" ca="1" si="0"/>
        <v>100-149.9K</v>
      </c>
      <c r="I6" t="str">
        <f t="shared" ca="1" si="0"/>
        <v>150-249.9K</v>
      </c>
      <c r="J6" t="str">
        <f t="shared" ca="1" si="0"/>
        <v>250K+</v>
      </c>
      <c r="K6" t="str">
        <f t="shared" ca="1" si="0"/>
        <v/>
      </c>
      <c r="L6" t="str">
        <f t="shared" ca="1" si="0"/>
        <v/>
      </c>
    </row>
    <row r="7" spans="1:12">
      <c r="A7" s="7" t="s">
        <v>3948</v>
      </c>
      <c r="B7" s="7">
        <v>44</v>
      </c>
      <c r="C7" t="str">
        <f>Dashboard!$L$13</f>
        <v>India</v>
      </c>
      <c r="D7" s="5">
        <f t="array" aca="1" ref="D7" ca="1">SUM((Data!$H$2:$H$1884)*(Data!$L$2:$L$1884=C7))</f>
        <v>16811172.234438807</v>
      </c>
      <c r="E7" s="18">
        <f ca="1">D7/SUM(C8:L8)</f>
        <v>29754.287140599659</v>
      </c>
    </row>
    <row r="8" spans="1:12">
      <c r="A8" s="14"/>
      <c r="B8" s="14"/>
      <c r="C8">
        <f t="array" aca="1" ref="C8" ca="1">IF($C$7=0,"",IF(C6="","",IF($C$7="All",COUNTIF(INDIRECT("Data!"&amp;$E$5),C$6),SUM((INDIRECT("Data!"&amp;$E$5)=C$6)*(Data!$L$2:$L$1884=$C$7)))))</f>
        <v>208</v>
      </c>
      <c r="D8">
        <f t="array" aca="1" ref="D8" ca="1">IF($C$7=0,"",IF(D6="","",IF($C$7="All",COUNTIF(INDIRECT("Data!"&amp;$E$5),D$6),SUM((INDIRECT("Data!"&amp;$E$5)=D$6)*(Data!$L$2:$L$1884=$C$7)))))</f>
        <v>201</v>
      </c>
      <c r="E8">
        <f t="array" aca="1" ref="E8" ca="1">IF($C$7=0,"",IF(E6="","",IF($C$7="All",COUNTIF(INDIRECT("Data!"&amp;$E$5),E$6),SUM((INDIRECT("Data!"&amp;$E$5)=E$6)*(Data!$L$2:$L$1884=$C$7)))))</f>
        <v>91</v>
      </c>
      <c r="F8">
        <f t="array" aca="1" ref="F8" ca="1">IF($C$7=0,"",IF(F6="","",IF($C$7="All",COUNTIF(INDIRECT("Data!"&amp;$E$5),F$6),SUM((INDIRECT("Data!"&amp;$E$5)=F$6)*(Data!$L$2:$L$1884=$C$7)))))</f>
        <v>37</v>
      </c>
      <c r="G8">
        <f t="array" aca="1" ref="G8" ca="1">IF($C$7=0,"",IF(G6="","",IF($C$7="All",COUNTIF(INDIRECT("Data!"&amp;$E$5),G$6),SUM((INDIRECT("Data!"&amp;$E$5)=G$6)*(Data!$L$2:$L$1884=$C$7)))))</f>
        <v>9</v>
      </c>
      <c r="H8">
        <f t="array" aca="1" ref="H8" ca="1">IF($C$7=0,"",IF(H6="","",IF($C$7="All",COUNTIF(INDIRECT("Data!"&amp;$E$5),H$6),SUM((INDIRECT("Data!"&amp;$E$5)=H$6)*(Data!$L$2:$L$1884=$C$7)))))</f>
        <v>10</v>
      </c>
      <c r="I8">
        <f t="array" aca="1" ref="I8" ca="1">IF($C$7=0,"",IF(I6="","",IF($C$7="All",COUNTIF(INDIRECT("Data!"&amp;$E$5),I$6),SUM((INDIRECT("Data!"&amp;$E$5)=I$6)*(Data!$L$2:$L$1884=$C$7)))))</f>
        <v>6</v>
      </c>
      <c r="J8">
        <f t="array" aca="1" ref="J8" ca="1">IF($C$7=0,"",IF(J6="","",IF($C$7="All",COUNTIF(INDIRECT("Data!"&amp;$E$5),J$6),SUM((INDIRECT("Data!"&amp;$E$5)=J$6)*(Data!$L$2:$L$1884=$C$7)))))</f>
        <v>3</v>
      </c>
      <c r="K8" t="str">
        <f t="array" aca="1" ref="K8" ca="1">IF($C$7=0,"",IF(K6="","",IF($C$7="All",COUNTIF(INDIRECT("Data!"&amp;$E$5),K$6),SUM((INDIRECT("Data!"&amp;$E$5)=K$6)*(Data!$L$2:$L$1884=$C$7)))))</f>
        <v/>
      </c>
      <c r="L8" t="str">
        <f t="array" aca="1" ref="L8" ca="1">IF($C$7=0,"",IF(L6="","",IF($C$7="All",COUNTIF(INDIRECT("Data!"&amp;$E$5),L$6),SUM((INDIRECT("Data!"&amp;$E$5)=L$6)*(Data!$L$2:$L$1884=$C$7)))))</f>
        <v/>
      </c>
    </row>
    <row r="9" spans="1:12">
      <c r="A9" s="14"/>
      <c r="B9" s="14"/>
      <c r="C9" s="37">
        <f ca="1">IF(C8="","",C8/SUM($C$8:$L$8))</f>
        <v>0.36814159292035398</v>
      </c>
      <c r="D9" s="37">
        <f t="shared" ref="D9:L9" ca="1" si="1">IF(D8="","",D8/SUM($C$8:$L$8))</f>
        <v>0.35575221238938054</v>
      </c>
      <c r="E9" s="37">
        <f t="shared" ca="1" si="1"/>
        <v>0.16106194690265488</v>
      </c>
      <c r="F9" s="37">
        <f t="shared" ca="1" si="1"/>
        <v>6.5486725663716813E-2</v>
      </c>
      <c r="G9" s="37">
        <f t="shared" ca="1" si="1"/>
        <v>1.5929203539823009E-2</v>
      </c>
      <c r="H9" s="37">
        <f t="shared" ca="1" si="1"/>
        <v>1.7699115044247787E-2</v>
      </c>
      <c r="I9" s="37">
        <f t="shared" ca="1" si="1"/>
        <v>1.0619469026548672E-2</v>
      </c>
      <c r="J9" s="37">
        <f t="shared" ca="1" si="1"/>
        <v>5.3097345132743362E-3</v>
      </c>
      <c r="K9" s="37" t="str">
        <f t="shared" ca="1" si="1"/>
        <v/>
      </c>
      <c r="L9" s="37" t="str">
        <f t="shared" ca="1" si="1"/>
        <v/>
      </c>
    </row>
    <row r="10" spans="1:12">
      <c r="A10" s="7" t="s">
        <v>3949</v>
      </c>
      <c r="B10" s="7">
        <v>1</v>
      </c>
      <c r="C10" t="str">
        <f>Dashboard!$L$15</f>
        <v>All</v>
      </c>
    </row>
    <row r="11" spans="1:12">
      <c r="A11" s="14"/>
      <c r="B11" s="14"/>
      <c r="C11">
        <f t="array" aca="1" ref="C11" ca="1">IF($C$10=0,"",IF(C6="","",IF($C$10="All",COUNTIF(INDIRECT("Data!"&amp;$E$5),C$6),SUM((INDIRECT("Data!"&amp;$E$5)=C$6)*(Data!$L$2:$L$1884=$C$10)))))</f>
        <v>298</v>
      </c>
      <c r="D11">
        <f t="array" aca="1" ref="D11" ca="1">IF($C$10=0,"",IF(D6="","",IF($C$10="All",COUNTIF(INDIRECT("Data!"&amp;$E$5),D$6),SUM((INDIRECT("Data!"&amp;$E$5)=D$6)*(Data!$L$2:$L$1884=$C$10)))))</f>
        <v>323</v>
      </c>
      <c r="E11">
        <f t="array" aca="1" ref="E11" ca="1">IF($C$10=0,"",IF(E6="","",IF($C$10="All",COUNTIF(INDIRECT("Data!"&amp;$E$5),E$6),SUM((INDIRECT("Data!"&amp;$E$5)=E$6)*(Data!$L$2:$L$1884=$C$10)))))</f>
        <v>426</v>
      </c>
      <c r="F11">
        <f t="array" aca="1" ref="F11" ca="1">IF($C$10=0,"",IF(F6="","",IF($C$10="All",COUNTIF(INDIRECT("Data!"&amp;$E$5),F$6),SUM((INDIRECT("Data!"&amp;$E$5)=F$6)*(Data!$L$2:$L$1884=$C$10)))))</f>
        <v>433</v>
      </c>
      <c r="G11">
        <f t="array" aca="1" ref="G11" ca="1">IF($C$10=0,"",IF(G6="","",IF($C$10="All",COUNTIF(INDIRECT("Data!"&amp;$E$5),G$6),SUM((INDIRECT("Data!"&amp;$E$5)=G$6)*(Data!$L$2:$L$1884=$C$10)))))</f>
        <v>222</v>
      </c>
      <c r="H11">
        <f t="array" aca="1" ref="H11" ca="1">IF($C$10=0,"",IF(H6="","",IF($C$10="All",COUNTIF(INDIRECT("Data!"&amp;$E$5),H$6),SUM((INDIRECT("Data!"&amp;$E$5)=H$6)*(Data!$L$2:$L$1884=$C$10)))))</f>
        <v>130</v>
      </c>
      <c r="I11">
        <f t="array" aca="1" ref="I11" ca="1">IF($C$10=0,"",IF(I6="","",IF($C$10="All",COUNTIF(INDIRECT("Data!"&amp;$E$5),I$6),SUM((INDIRECT("Data!"&amp;$E$5)=I$6)*(Data!$L$2:$L$1884=$C$10)))))</f>
        <v>39</v>
      </c>
      <c r="J11">
        <f t="array" aca="1" ref="J11" ca="1">IF($C$10=0,"",IF(J6="","",IF($C$10="All",COUNTIF(INDIRECT("Data!"&amp;$E$5),J$6),SUM((INDIRECT("Data!"&amp;$E$5)=J$6)*(Data!$L$2:$L$1884=$C$10)))))</f>
        <v>12</v>
      </c>
      <c r="K11" t="str">
        <f t="array" aca="1" ref="K11" ca="1">IF($C$10=0,"",IF(K6="","",IF($C$10="All",COUNTIF(INDIRECT("Data!"&amp;$E$5),K$6),SUM((INDIRECT("Data!"&amp;$E$5)=K$6)*(Data!$L$2:$L$1884=$C$10)))))</f>
        <v/>
      </c>
      <c r="L11" t="str">
        <f t="array" aca="1" ref="L11" ca="1">IF($C$10=0,"",IF(L6="","",IF($C$10="All",COUNTIF(INDIRECT("Data!"&amp;$E$5),L$6),SUM((INDIRECT("Data!"&amp;$E$5)=L$6)*(Data!$L$2:$L$1884=$C$10)))))</f>
        <v/>
      </c>
    </row>
    <row r="12" spans="1:12">
      <c r="A12" s="14"/>
      <c r="B12" s="14"/>
      <c r="C12" s="37">
        <f ca="1">IF(C11="","",C11/SUM($C$11:$L$11))</f>
        <v>0.15825809877854488</v>
      </c>
      <c r="D12" s="37">
        <f t="shared" ref="D12:L12" ca="1" si="2">IF(D11="","",D11/SUM($C$11:$L$11))</f>
        <v>0.17153478491768454</v>
      </c>
      <c r="E12" s="37">
        <f t="shared" ca="1" si="2"/>
        <v>0.22623473181093998</v>
      </c>
      <c r="F12" s="37">
        <f t="shared" ca="1" si="2"/>
        <v>0.2299522039298991</v>
      </c>
      <c r="G12" s="37">
        <f t="shared" ca="1" si="2"/>
        <v>0.11789697291556028</v>
      </c>
      <c r="H12" s="37">
        <f t="shared" ca="1" si="2"/>
        <v>6.9038767923526284E-2</v>
      </c>
      <c r="I12" s="37">
        <f t="shared" ca="1" si="2"/>
        <v>2.0711630377057887E-2</v>
      </c>
      <c r="J12" s="37">
        <f t="shared" ca="1" si="2"/>
        <v>6.3728093467870419E-3</v>
      </c>
      <c r="K12" s="37" t="str">
        <f t="shared" ca="1" si="2"/>
        <v/>
      </c>
      <c r="L12" s="37" t="str">
        <f t="shared" ca="1" si="2"/>
        <v/>
      </c>
    </row>
    <row r="13" spans="1:12">
      <c r="A13" s="14"/>
      <c r="B13" s="14"/>
    </row>
    <row r="14" spans="1:12">
      <c r="A14" s="35" t="s">
        <v>3965</v>
      </c>
      <c r="B14" s="36"/>
      <c r="C14" s="36" t="str">
        <f ca="1">IF(D15=1,B15,IF(D16=1,B16,IF(D17=1,B17,IF(D19=1,B19,B15))))</f>
        <v>USA</v>
      </c>
      <c r="D14" s="36" t="str">
        <f>Dashboard!P10</f>
        <v>USA</v>
      </c>
      <c r="E14" s="36"/>
      <c r="F14" s="36"/>
    </row>
    <row r="15" spans="1:12">
      <c r="A15" s="36">
        <f>Dashboard!R11</f>
        <v>17</v>
      </c>
      <c r="B15" s="36" t="str">
        <f ca="1">INDEX(Reference!$L$4:$L$105,MATCH(A15,OFFSET(Reference!$N$4,0,Brains!$D$1,102,1),0))</f>
        <v>USA</v>
      </c>
      <c r="C15" s="36"/>
      <c r="D15" s="36">
        <f ca="1">COUNTIF($B$15:$B$19,B15)</f>
        <v>4</v>
      </c>
      <c r="E15" s="36">
        <f ca="1">VLOOKUP(C14,Reference!$L:$V,3+Brains!D1,FALSE)</f>
        <v>17</v>
      </c>
      <c r="F15" s="36">
        <f>VLOOKUP(D14,Reference!$L:$V,3+Brains!D1,FALSE)</f>
        <v>17</v>
      </c>
    </row>
    <row r="16" spans="1:12">
      <c r="A16" s="36">
        <f>Dashboard!R12</f>
        <v>67</v>
      </c>
      <c r="B16" s="36" t="str">
        <f ca="1">INDEX(Reference!$L$4:$L$105,MATCH(A16,OFFSET(Reference!$Q$4,0,0,102,1),0))</f>
        <v>USA</v>
      </c>
      <c r="C16" s="36"/>
      <c r="D16" s="36">
        <f t="shared" ref="D16:D19" ca="1" si="3">COUNTIF($B$15:$B$19,B16)</f>
        <v>4</v>
      </c>
      <c r="E16" s="36">
        <f ca="1">VLOOKUP(C14,Reference!$L:$V,6,FALSE)</f>
        <v>67</v>
      </c>
      <c r="F16" s="36">
        <f>VLOOKUP(D14,Reference!$L:$V,6,FALSE)</f>
        <v>67</v>
      </c>
    </row>
    <row r="17" spans="1:6">
      <c r="A17" s="36">
        <f>Dashboard!R13</f>
        <v>56</v>
      </c>
      <c r="B17" s="36" t="str">
        <f ca="1">INDEX(Reference!$L$4:$L$105,MATCH(A17,OFFSET(Reference!$S$4,0,0,102,1),0))</f>
        <v>USA</v>
      </c>
      <c r="C17" s="36"/>
      <c r="D17" s="36">
        <f t="shared" ca="1" si="3"/>
        <v>4</v>
      </c>
      <c r="E17" s="36">
        <f ca="1">VLOOKUP(C14,Reference!$L:$V,8,FALSE)</f>
        <v>56</v>
      </c>
      <c r="F17" s="36">
        <f>VLOOKUP(D14,Reference!$L:$V,8,FALSE)</f>
        <v>56</v>
      </c>
    </row>
    <row r="18" spans="1:6">
      <c r="A18" s="36">
        <f>Dashboard!R14</f>
        <v>0</v>
      </c>
      <c r="B18" s="36"/>
      <c r="C18" s="36"/>
      <c r="D18" s="36">
        <f t="shared" ca="1" si="3"/>
        <v>0</v>
      </c>
      <c r="E18" s="36"/>
      <c r="F18" s="36"/>
    </row>
    <row r="19" spans="1:6">
      <c r="A19" s="36">
        <f>Dashboard!R15</f>
        <v>1</v>
      </c>
      <c r="B19" s="36" t="str">
        <f ca="1">INDEX(Reference!$L$4:$L$105,MATCH(A19,OFFSET(Reference!$V$4,0,0,102,1),0))</f>
        <v>USA</v>
      </c>
      <c r="C19" s="36"/>
      <c r="D19" s="36">
        <f t="shared" ca="1" si="3"/>
        <v>4</v>
      </c>
      <c r="E19" s="36">
        <f ca="1">VLOOKUP(C14,Reference!$L:$V,11,FALSE)</f>
        <v>1</v>
      </c>
      <c r="F19" s="36">
        <f>VLOOKUP(D14,Reference!$L:$V,11,FALSE)</f>
        <v>1</v>
      </c>
    </row>
    <row r="20" spans="1:6">
      <c r="A20" s="38" t="str">
        <f>"A Closer Look - " &amp;C22&amp; ": "&amp;C23&amp;"/"&amp;C24</f>
        <v>A Closer Look - UK: JobType/Salary</v>
      </c>
    </row>
    <row r="21" spans="1:6">
      <c r="A21" s="39" t="s">
        <v>3975</v>
      </c>
      <c r="B21" s="36"/>
      <c r="C21" s="36"/>
    </row>
    <row r="22" spans="1:6">
      <c r="A22" s="39" t="s">
        <v>3912</v>
      </c>
      <c r="B22" s="36"/>
      <c r="C22" s="36" t="str">
        <f>Dashboard!$C$29</f>
        <v>UK</v>
      </c>
    </row>
    <row r="23" spans="1:6">
      <c r="A23" s="39" t="s">
        <v>3976</v>
      </c>
      <c r="B23" s="36"/>
      <c r="C23" s="36" t="str">
        <f>Dashboard!$C$32</f>
        <v>JobType</v>
      </c>
    </row>
    <row r="24" spans="1:6">
      <c r="A24" s="39" t="s">
        <v>3977</v>
      </c>
      <c r="B24" s="36"/>
      <c r="C24" s="36" t="str">
        <f>Dashboard!$C$35</f>
        <v>Salary</v>
      </c>
    </row>
  </sheetData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T50"/>
  <sheetViews>
    <sheetView showGridLines="0" tabSelected="1" zoomScaleNormal="100" workbookViewId="0">
      <selection activeCell="G1" sqref="G1"/>
    </sheetView>
  </sheetViews>
  <sheetFormatPr defaultColWidth="0" defaultRowHeight="12.75" zeroHeight="1"/>
  <cols>
    <col min="1" max="1" width="9.140625" customWidth="1"/>
    <col min="2" max="2" width="1.5703125" customWidth="1"/>
    <col min="3" max="5" width="9.140625" customWidth="1"/>
    <col min="6" max="6" width="4" customWidth="1"/>
    <col min="7" max="7" width="12.85546875" customWidth="1"/>
    <col min="8" max="10" width="6.28515625" customWidth="1"/>
    <col min="11" max="11" width="2.42578125" customWidth="1"/>
    <col min="12" max="12" width="16.42578125" customWidth="1"/>
    <col min="13" max="13" width="5.140625" customWidth="1"/>
    <col min="14" max="14" width="2.85546875" customWidth="1"/>
    <col min="15" max="15" width="0.5703125" customWidth="1"/>
    <col min="16" max="16" width="17.7109375" customWidth="1"/>
    <col min="17" max="17" width="11.7109375" customWidth="1"/>
    <col min="18" max="18" width="5.140625" style="26" customWidth="1"/>
    <col min="19" max="19" width="4" customWidth="1"/>
    <col min="20" max="20" width="15.140625" hidden="1" customWidth="1"/>
  </cols>
  <sheetData>
    <row r="1" spans="1:18" s="6" customFormat="1" ht="27" customHeight="1">
      <c r="A1" s="6" t="s">
        <v>3908</v>
      </c>
      <c r="R1" s="25"/>
    </row>
    <row r="2" spans="1:18"/>
    <row r="3" spans="1:18" ht="18" customHeight="1"/>
    <row r="4" spans="1:18">
      <c r="A4" s="16"/>
      <c r="B4" s="41" t="str">
        <f>Brains!A3</f>
        <v>Salary Earned - India vs All</v>
      </c>
      <c r="C4" s="41"/>
      <c r="D4" s="41"/>
      <c r="E4" s="41"/>
      <c r="F4" s="41"/>
      <c r="G4" s="41"/>
      <c r="H4" s="41"/>
      <c r="I4" s="41"/>
      <c r="J4" s="16"/>
      <c r="K4" s="16"/>
      <c r="L4" s="16"/>
      <c r="M4" s="16"/>
      <c r="N4" s="16"/>
      <c r="O4" s="16"/>
      <c r="P4" s="16"/>
      <c r="Q4" s="16"/>
      <c r="R4" s="27"/>
    </row>
    <row r="5" spans="1:18">
      <c r="A5" s="16"/>
      <c r="B5" s="41"/>
      <c r="C5" s="41"/>
      <c r="D5" s="41"/>
      <c r="E5" s="41"/>
      <c r="F5" s="41"/>
      <c r="G5" s="41"/>
      <c r="H5" s="41"/>
      <c r="I5" s="41"/>
      <c r="J5" s="16"/>
      <c r="K5" s="16"/>
      <c r="L5" s="16"/>
      <c r="M5" s="16"/>
      <c r="N5" s="16"/>
      <c r="O5" s="16"/>
      <c r="P5" s="16"/>
      <c r="Q5" s="16"/>
      <c r="R5" s="27"/>
    </row>
    <row r="6" spans="1:18"/>
    <row r="7" spans="1:18" ht="3" customHeight="1">
      <c r="K7" s="16"/>
      <c r="L7" s="19"/>
      <c r="M7" s="16"/>
      <c r="O7" s="16"/>
      <c r="P7" s="16"/>
      <c r="Q7" s="16"/>
      <c r="R7" s="27"/>
    </row>
    <row r="8" spans="1:18" ht="15">
      <c r="K8" s="16"/>
      <c r="L8" s="31" t="s">
        <v>3952</v>
      </c>
      <c r="M8" s="32"/>
      <c r="O8" s="16"/>
      <c r="P8" s="31" t="s">
        <v>3965</v>
      </c>
      <c r="Q8" s="33"/>
      <c r="R8" s="34"/>
    </row>
    <row r="9" spans="1:18" ht="3.75" customHeight="1" thickBot="1">
      <c r="K9" s="16"/>
      <c r="L9" s="20"/>
      <c r="M9" s="16"/>
      <c r="O9" s="16"/>
      <c r="P9" s="16"/>
      <c r="Q9" s="16"/>
      <c r="R9" s="27"/>
    </row>
    <row r="10" spans="1:18" ht="12.75" customHeight="1" thickBot="1">
      <c r="K10" s="16"/>
      <c r="L10" s="21"/>
      <c r="M10" s="16"/>
      <c r="O10" s="16"/>
      <c r="P10" s="42" t="s">
        <v>1869</v>
      </c>
      <c r="Q10" s="30" t="s">
        <v>3970</v>
      </c>
      <c r="R10" s="30" t="s">
        <v>3957</v>
      </c>
    </row>
    <row r="11" spans="1:18" ht="12.75" customHeight="1" thickBot="1">
      <c r="K11" s="16"/>
      <c r="L11" s="42" t="s">
        <v>3909</v>
      </c>
      <c r="M11" s="16"/>
      <c r="O11" s="16"/>
      <c r="P11" s="20" t="s">
        <v>3953</v>
      </c>
      <c r="Q11" s="24">
        <f ca="1">VLOOKUP($P$10,Reference!$L:$M,2,FALSE)</f>
        <v>72701.336569579289</v>
      </c>
      <c r="R11" s="42">
        <v>17</v>
      </c>
    </row>
    <row r="12" spans="1:18" ht="12.75" customHeight="1" thickBot="1">
      <c r="K12" s="16"/>
      <c r="L12" s="16"/>
      <c r="M12" s="16"/>
      <c r="O12" s="16"/>
      <c r="P12" s="20" t="s">
        <v>3954</v>
      </c>
      <c r="Q12" s="24">
        <f>VLOOKUP($P$10,Reference!$L:$P,5,FALSE)</f>
        <v>4.7556634304207117</v>
      </c>
      <c r="R12" s="42">
        <v>67</v>
      </c>
    </row>
    <row r="13" spans="1:18" ht="12.75" customHeight="1" thickBot="1">
      <c r="K13" s="16"/>
      <c r="L13" s="42" t="s">
        <v>1859</v>
      </c>
      <c r="M13" s="16"/>
      <c r="O13" s="16"/>
      <c r="P13" s="20" t="s">
        <v>3955</v>
      </c>
      <c r="Q13" s="24">
        <f>VLOOKUP($P$10,Reference!$L:$R,7,FALSE)</f>
        <v>5.6456310679611654</v>
      </c>
      <c r="R13" s="42">
        <v>56</v>
      </c>
    </row>
    <row r="14" spans="1:18" ht="12.75" customHeight="1" thickBot="1">
      <c r="K14" s="16"/>
      <c r="L14" s="16"/>
      <c r="M14" s="16"/>
      <c r="O14" s="16"/>
      <c r="P14" s="20" t="s">
        <v>3956</v>
      </c>
      <c r="Q14" s="28"/>
      <c r="R14" s="28"/>
    </row>
    <row r="15" spans="1:18" ht="12.75" customHeight="1" thickBot="1">
      <c r="K15" s="16"/>
      <c r="L15" s="42" t="s">
        <v>3967</v>
      </c>
      <c r="M15" s="16"/>
      <c r="O15" s="16"/>
      <c r="P15" s="20" t="s">
        <v>3962</v>
      </c>
      <c r="Q15" s="29">
        <f>VLOOKUP($P$10,Reference!$L:$U,10,FALSE)</f>
        <v>618</v>
      </c>
      <c r="R15" s="42">
        <v>1</v>
      </c>
    </row>
    <row r="16" spans="1:18" ht="12.75" customHeight="1" thickBot="1">
      <c r="K16" s="16"/>
      <c r="L16" s="20"/>
      <c r="M16" s="16"/>
      <c r="O16" s="16"/>
      <c r="P16" s="16"/>
      <c r="Q16" s="16"/>
      <c r="R16" s="27"/>
    </row>
    <row r="17" spans="2:19" ht="12.75" customHeight="1" thickBot="1">
      <c r="K17" s="16"/>
      <c r="L17" s="42" t="s">
        <v>3972</v>
      </c>
      <c r="M17" s="16"/>
      <c r="O17" s="16"/>
      <c r="P17" s="16"/>
      <c r="Q17" s="16"/>
      <c r="R17" s="27"/>
    </row>
    <row r="18" spans="2:19" ht="24.75" customHeight="1">
      <c r="K18" s="16"/>
      <c r="L18" s="16"/>
      <c r="M18" s="16"/>
      <c r="O18" s="16"/>
      <c r="P18" s="16"/>
      <c r="Q18" s="16"/>
      <c r="R18" s="27"/>
    </row>
    <row r="19" spans="2:19"/>
    <row r="20" spans="2:19"/>
    <row r="21" spans="2:19"/>
    <row r="22" spans="2:19">
      <c r="B22" s="16"/>
      <c r="C22" s="16"/>
      <c r="D22" s="16"/>
      <c r="E22" s="16"/>
      <c r="F22" s="16"/>
      <c r="G22" s="16"/>
      <c r="H22" s="16"/>
      <c r="I22" s="41" t="str">
        <f>Brains!A20</f>
        <v>A Closer Look - UK: JobType/Salary</v>
      </c>
      <c r="J22" s="41"/>
      <c r="K22" s="41"/>
      <c r="L22" s="41"/>
      <c r="M22" s="41"/>
      <c r="N22" s="41"/>
      <c r="O22" s="41"/>
      <c r="P22" s="41"/>
      <c r="Q22" s="41"/>
      <c r="R22" s="27"/>
      <c r="S22" s="16"/>
    </row>
    <row r="23" spans="2:19">
      <c r="B23" s="16"/>
      <c r="C23" s="16"/>
      <c r="D23" s="16"/>
      <c r="E23" s="16"/>
      <c r="F23" s="16"/>
      <c r="G23" s="16"/>
      <c r="H23" s="16"/>
      <c r="I23" s="41"/>
      <c r="J23" s="41"/>
      <c r="K23" s="41"/>
      <c r="L23" s="41"/>
      <c r="M23" s="41"/>
      <c r="N23" s="41"/>
      <c r="O23" s="41"/>
      <c r="P23" s="41"/>
      <c r="Q23" s="41"/>
      <c r="R23" s="27"/>
      <c r="S23" s="16"/>
    </row>
    <row r="24" spans="2:19"/>
    <row r="25" spans="2:19" ht="3.75" customHeight="1">
      <c r="B25" s="16"/>
      <c r="C25" s="16"/>
      <c r="D25" s="16"/>
      <c r="E25" s="16"/>
      <c r="F25" s="16"/>
    </row>
    <row r="26" spans="2:19" ht="15">
      <c r="B26" s="32"/>
      <c r="C26" s="31" t="s">
        <v>3952</v>
      </c>
      <c r="D26" s="32"/>
      <c r="E26" s="32"/>
      <c r="F26" s="16"/>
    </row>
    <row r="27" spans="2:19">
      <c r="B27" s="16"/>
      <c r="C27" s="16"/>
      <c r="D27" s="16"/>
      <c r="E27" s="16"/>
      <c r="F27" s="16"/>
    </row>
    <row r="28" spans="2:19" ht="13.5" thickBot="1">
      <c r="B28" s="16"/>
      <c r="C28" s="40" t="s">
        <v>3979</v>
      </c>
      <c r="D28" s="16"/>
      <c r="E28" s="16"/>
      <c r="F28" s="16"/>
    </row>
    <row r="29" spans="2:19" ht="13.5" thickBot="1">
      <c r="B29" s="16"/>
      <c r="C29" s="43" t="s">
        <v>1956</v>
      </c>
      <c r="D29" s="44"/>
      <c r="E29" s="16"/>
      <c r="F29" s="16"/>
    </row>
    <row r="30" spans="2:19">
      <c r="B30" s="16"/>
      <c r="C30" s="16"/>
      <c r="D30" s="16"/>
      <c r="E30" s="16"/>
      <c r="F30" s="16"/>
    </row>
    <row r="31" spans="2:19" ht="13.5" thickBot="1">
      <c r="B31" s="16"/>
      <c r="C31" s="40" t="s">
        <v>3980</v>
      </c>
      <c r="D31" s="16"/>
      <c r="E31" s="16"/>
      <c r="F31" s="16"/>
    </row>
    <row r="32" spans="2:19" ht="13.5" thickBot="1">
      <c r="B32" s="16"/>
      <c r="C32" s="43" t="s">
        <v>3911</v>
      </c>
      <c r="D32" s="44"/>
      <c r="E32" s="16"/>
      <c r="F32" s="16"/>
    </row>
    <row r="33" spans="2:6">
      <c r="B33" s="16"/>
      <c r="C33" s="16"/>
      <c r="D33" s="16"/>
      <c r="E33" s="16"/>
      <c r="F33" s="16"/>
    </row>
    <row r="34" spans="2:6" ht="13.5" thickBot="1">
      <c r="B34" s="16"/>
      <c r="C34" s="40" t="s">
        <v>3981</v>
      </c>
      <c r="D34" s="16"/>
      <c r="E34" s="16"/>
      <c r="F34" s="16"/>
    </row>
    <row r="35" spans="2:6" ht="13.5" thickBot="1">
      <c r="B35" s="16"/>
      <c r="C35" s="43" t="s">
        <v>3909</v>
      </c>
      <c r="D35" s="44"/>
      <c r="E35" s="16"/>
      <c r="F35" s="16"/>
    </row>
    <row r="36" spans="2:6">
      <c r="B36" s="16"/>
      <c r="C36" s="16"/>
      <c r="D36" s="16"/>
      <c r="E36" s="16"/>
      <c r="F36" s="16"/>
    </row>
    <row r="37" spans="2:6">
      <c r="B37" s="16"/>
      <c r="C37" s="16"/>
      <c r="D37" s="16"/>
      <c r="E37" s="16"/>
      <c r="F37" s="16"/>
    </row>
    <row r="38" spans="2:6"/>
    <row r="39" spans="2:6"/>
    <row r="40" spans="2:6"/>
    <row r="41" spans="2:6"/>
    <row r="42" spans="2:6"/>
    <row r="43" spans="2:6"/>
    <row r="44" spans="2:6"/>
    <row r="45" spans="2:6"/>
    <row r="46" spans="2:6" hidden="1"/>
    <row r="47" spans="2:6" hidden="1"/>
    <row r="48" spans="2:6" hidden="1"/>
    <row r="49" hidden="1"/>
    <row r="50" hidden="1"/>
  </sheetData>
  <mergeCells count="5">
    <mergeCell ref="C29:D29"/>
    <mergeCell ref="C32:D32"/>
    <mergeCell ref="C35:D35"/>
    <mergeCell ref="I22:Q23"/>
    <mergeCell ref="B4:I5"/>
  </mergeCells>
  <phoneticPr fontId="0" type="noConversion"/>
  <dataValidations count="7">
    <dataValidation type="list" allowBlank="1" showInputMessage="1" showErrorMessage="1" sqref="P10 L13 L15">
      <formula1>CountryAll</formula1>
    </dataValidation>
    <dataValidation type="list" allowBlank="1" showInputMessage="1" showErrorMessage="1" sqref="R15 R11:R13">
      <formula1>Rank</formula1>
    </dataValidation>
    <dataValidation type="list" allowBlank="1" showInputMessage="1" showErrorMessage="1" sqref="C29:D29">
      <formula1>CountryAll</formula1>
    </dataValidation>
    <dataValidation type="list" allowBlank="1" showInputMessage="1" showErrorMessage="1" sqref="C32:D32">
      <formula1>Fields2</formula1>
    </dataValidation>
    <dataValidation type="list" allowBlank="1" showInputMessage="1" showErrorMessage="1" sqref="C35:D35">
      <formula1>Fields3</formula1>
    </dataValidation>
    <dataValidation type="list" allowBlank="1" showInputMessage="1" showErrorMessage="1" sqref="L11">
      <formula1>Fields1</formula1>
    </dataValidation>
    <dataValidation type="list" allowBlank="1" showInputMessage="1" showErrorMessage="1" sqref="L17">
      <formula1>TypeRange</formula1>
    </dataValidation>
  </dataValidations>
  <pageMargins left="0.75" right="0.75" top="1" bottom="1" header="0.5" footer="0.5"/>
  <pageSetup scale="76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Data</vt:lpstr>
      <vt:lpstr>Reference</vt:lpstr>
      <vt:lpstr>Brains</vt:lpstr>
      <vt:lpstr>Dashboard</vt:lpstr>
      <vt:lpstr>bcCountry</vt:lpstr>
      <vt:lpstr>bcxAxis</vt:lpstr>
      <vt:lpstr>bcyAxis</vt:lpstr>
      <vt:lpstr>Country</vt:lpstr>
      <vt:lpstr>CountryAll</vt:lpstr>
      <vt:lpstr>Experience</vt:lpstr>
      <vt:lpstr>Fields</vt:lpstr>
      <vt:lpstr>Fields1</vt:lpstr>
      <vt:lpstr>Fields2</vt:lpstr>
      <vt:lpstr>Fields3</vt:lpstr>
      <vt:lpstr>Hours</vt:lpstr>
      <vt:lpstr>JobType</vt:lpstr>
      <vt:lpstr>Dashboard!Print_Area</vt:lpstr>
      <vt:lpstr>Rank</vt:lpstr>
      <vt:lpstr>Salary</vt:lpstr>
      <vt:lpstr>TypeRange</vt:lpstr>
    </vt:vector>
  </TitlesOfParts>
  <Company>Trinity Health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spearb</dc:creator>
  <cp:lastModifiedBy>Brant Spear</cp:lastModifiedBy>
  <cp:lastPrinted>2012-06-29T19:58:49Z</cp:lastPrinted>
  <dcterms:created xsi:type="dcterms:W3CDTF">2012-06-28T15:32:09Z</dcterms:created>
  <dcterms:modified xsi:type="dcterms:W3CDTF">2012-07-11T20:23:31Z</dcterms:modified>
</cp:coreProperties>
</file>